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updateLinks="never" codeName="EstaPastaDeTrabalho" hidePivotFieldList="1"/>
  <xr:revisionPtr revIDLastSave="0" documentId="13_ncr:1_{C20928A5-0D30-4AD7-A674-EAB5ECCE9CFC}" xr6:coauthVersionLast="47" xr6:coauthVersionMax="47" xr10:uidLastSave="{00000000-0000-0000-0000-000000000000}"/>
  <bookViews>
    <workbookView xWindow="-120" yWindow="-120" windowWidth="20730" windowHeight="11040" tabRatio="844" firstSheet="50" activeTab="56" xr2:uid="{00000000-000D-0000-FFFF-FFFF00000000}"/>
  </bookViews>
  <sheets>
    <sheet name="IntInf4anos" sheetId="27" state="hidden" r:id="rId1"/>
    <sheet name="IntAut4anos" sheetId="26" state="hidden" r:id="rId2"/>
    <sheet name="IntMec4anos" sheetId="25" state="hidden" r:id="rId3"/>
    <sheet name="IntMec" sheetId="4" state="hidden" r:id="rId4"/>
    <sheet name="IntInf" sheetId="15" state="hidden" r:id="rId5"/>
    <sheet name="IntAut" sheetId="8" state="hidden" r:id="rId6"/>
    <sheet name="LicMat 2022" sheetId="63" state="hidden" r:id="rId7"/>
    <sheet name="ConcMSI (40 vagas) 2022" sheetId="61" state="hidden" r:id="rId8"/>
    <sheet name="ConcEletroTurmaUnica 2022" sheetId="60" state="hidden" r:id="rId9"/>
    <sheet name="EspecEduc 2022" sheetId="58" state="hidden" r:id="rId10"/>
    <sheet name="EspecLetras 2022" sheetId="57" state="hidden" r:id="rId11"/>
    <sheet name="ADS 2022" sheetId="55" state="hidden" r:id="rId12"/>
    <sheet name="ECA 2022" sheetId="54" state="hidden" r:id="rId13"/>
    <sheet name="LicMat (real)" sheetId="52" state="hidden" r:id="rId14"/>
    <sheet name="LicMat" sheetId="6" state="hidden" r:id="rId15"/>
    <sheet name="ADS" sheetId="17" state="hidden" r:id="rId16"/>
    <sheet name="MecanicaPira" sheetId="24" state="hidden" r:id="rId17"/>
    <sheet name="FabMec (antigo)" sheetId="13" state="hidden" r:id="rId18"/>
    <sheet name="ECA" sheetId="3" state="hidden" r:id="rId19"/>
    <sheet name="FabMec (novo) (real)" sheetId="29" state="hidden" r:id="rId20"/>
    <sheet name="FabMec (novo)" sheetId="14" state="hidden" r:id="rId21"/>
    <sheet name="ConcMecaHto" sheetId="43" state="hidden" r:id="rId22"/>
    <sheet name="ConcMecaBra" sheetId="21" state="hidden" r:id="rId23"/>
    <sheet name="ConcEletro20vagas" sheetId="28" state="hidden" r:id="rId24"/>
    <sheet name="ConcEletro" sheetId="5" state="hidden" r:id="rId25"/>
    <sheet name="FormacaoNLicenc" sheetId="42" state="hidden" r:id="rId26"/>
    <sheet name="ConcMSI (25 vagas)" sheetId="44" state="hidden" r:id="rId27"/>
    <sheet name="ConcMSI" sheetId="18" state="hidden" r:id="rId28"/>
    <sheet name="ConcEletroTurmaUnica" sheetId="50" state="hidden" r:id="rId29"/>
    <sheet name="EJAFICInfo" sheetId="53" state="hidden" r:id="rId30"/>
    <sheet name="EspecEduc" sheetId="35" state="hidden" r:id="rId31"/>
    <sheet name="EspecLetras" sheetId="33" state="hidden" r:id="rId32"/>
    <sheet name="FabMec 2022" sheetId="64" state="hidden" r:id="rId33"/>
    <sheet name="EJAFICUsinagem" sheetId="49" state="hidden" r:id="rId34"/>
    <sheet name="EJAFICSolda" sheetId="39" state="hidden" r:id="rId35"/>
    <sheet name="Taquara" sheetId="19" state="hidden" r:id="rId36"/>
    <sheet name="MecaIFC" sheetId="23" state="hidden" r:id="rId37"/>
    <sheet name="MecaEESC" sheetId="22" state="hidden" r:id="rId38"/>
    <sheet name="ProejaIntMec" sheetId="41" state="hidden" r:id="rId39"/>
    <sheet name="IntMec (mínimo)" sheetId="45" state="hidden" r:id="rId40"/>
    <sheet name="IntMec (2018)" sheetId="30" state="hidden" r:id="rId41"/>
    <sheet name="IntAuto (mínimo)" sheetId="46" state="hidden" r:id="rId42"/>
    <sheet name="IntAuto (2018)" sheetId="32" state="hidden" r:id="rId43"/>
    <sheet name="IntInfo (mínimo)" sheetId="47" state="hidden" r:id="rId44"/>
    <sheet name="IntInfo (2018)" sheetId="31" state="hidden" r:id="rId45"/>
    <sheet name="ConcEletro (real)" sheetId="36" state="hidden" r:id="rId46"/>
    <sheet name="ECA (mínimo)" sheetId="48" state="hidden" r:id="rId47"/>
    <sheet name="OptativasSemestrais" sheetId="38" state="hidden" r:id="rId48"/>
    <sheet name="OptativasIntegrado (2018)" sheetId="37" state="hidden" r:id="rId49"/>
    <sheet name="EJAFICELETRO" sheetId="40" state="hidden" r:id="rId50"/>
    <sheet name="Cadastro dos cursos" sheetId="2" r:id="rId51"/>
    <sheet name="Resumo das disciplinas" sheetId="1" state="hidden" r:id="rId52"/>
    <sheet name="Progressão temporal das turmas" sheetId="7" r:id="rId53"/>
    <sheet name="Alocação de docentes" sheetId="9" r:id="rId54"/>
    <sheet name="Alocação de ambientes" sheetId="12" r:id="rId55"/>
    <sheet name="Relatório consolidado" sheetId="20" r:id="rId56"/>
    <sheet name="LEIA-ME" sheetId="34" r:id="rId57"/>
    <sheet name="Tabela geral" sheetId="16" state="hidden" r:id="rId58"/>
  </sheets>
  <functionGroups builtInGroupCount="19"/>
  <externalReferences>
    <externalReference r:id="rId59"/>
    <externalReference r:id="rId60"/>
    <externalReference r:id="rId61"/>
    <externalReference r:id="rId62"/>
    <externalReference r:id="rId63"/>
  </externalReferences>
  <definedNames>
    <definedName name="Ambientes" localSheetId="11">'[1]Cadastro dos cursos'!$A$26:$A$31</definedName>
    <definedName name="Ambientes" localSheetId="8">'[1]Cadastro dos cursos'!$A$26:$A$31</definedName>
    <definedName name="Ambientes" localSheetId="7">'[1]Cadastro dos cursos'!$A$26:$A$31</definedName>
    <definedName name="Ambientes" localSheetId="12">'[1]Cadastro dos cursos'!$A$26:$A$31</definedName>
    <definedName name="Ambientes" localSheetId="49">'[2]Cadastro dos cursos'!$A$25:$A$30</definedName>
    <definedName name="Ambientes" localSheetId="9">'[1]Cadastro dos cursos'!$A$26:$A$31</definedName>
    <definedName name="Ambientes" localSheetId="10">'[1]Cadastro dos cursos'!$A$26:$A$31</definedName>
    <definedName name="Ambientes" localSheetId="6">'[3]Cadastro dos cursos'!$A$26:$A$31</definedName>
    <definedName name="Ambientes">'Cadastro dos cursos'!$A$26:$A$31</definedName>
    <definedName name="_xlnm.Print_Area" localSheetId="52">'Progressão temporal das turmas'!$A$1:$AC$60</definedName>
    <definedName name="Áreas" localSheetId="11">'[1]Cadastro dos cursos'!$A$3:$A$22</definedName>
    <definedName name="Áreas" localSheetId="8">'[1]Cadastro dos cursos'!$A$3:$A$22</definedName>
    <definedName name="Áreas" localSheetId="7">'[1]Cadastro dos cursos'!$A$3:$A$22</definedName>
    <definedName name="Áreas" localSheetId="12">'[1]Cadastro dos cursos'!$A$3:$A$22</definedName>
    <definedName name="Áreas" localSheetId="49">'[2]Cadastro dos cursos'!$A$3:$A$21</definedName>
    <definedName name="Áreas" localSheetId="9">'[1]Cadastro dos cursos'!$A$3:$A$22</definedName>
    <definedName name="Áreas" localSheetId="10">'[1]Cadastro dos cursos'!$A$3:$A$22</definedName>
    <definedName name="Áreas" localSheetId="6">'[3]Cadastro dos cursos'!$A$3:$A$22</definedName>
    <definedName name="Áreas">'Cadastro dos cursos'!$A$3:$A$22</definedName>
    <definedName name="ccc" localSheetId="11">[4]Parâmetros!$B$3:$B$17</definedName>
    <definedName name="ccc" localSheetId="8">[4]Parâmetros!$B$3:$B$17</definedName>
    <definedName name="ccc" localSheetId="7">[4]Parâmetros!$B$3:$B$17</definedName>
    <definedName name="ccc" localSheetId="12">[4]Parâmetros!$B$3:$B$17</definedName>
    <definedName name="ccc" localSheetId="9">[4]Parâmetros!$B$3:$B$17</definedName>
    <definedName name="ccc" localSheetId="10">[4]Parâmetros!$B$3:$B$17</definedName>
    <definedName name="ccc">[5]Parâmetros!$B$3:$B$17</definedName>
    <definedName name="Cursos">'Cadastro dos cursos'!$G$1</definedName>
    <definedName name="Docentes" localSheetId="11">[4]Parâmetros!$C$3:$C$22</definedName>
    <definedName name="Docentes" localSheetId="8">[4]Parâmetros!$C$3:$C$22</definedName>
    <definedName name="Docentes" localSheetId="7">[4]Parâmetros!$C$3:$C$22</definedName>
    <definedName name="Docentes" localSheetId="12">[4]Parâmetros!$C$3:$C$22</definedName>
    <definedName name="Docentes" localSheetId="9">[4]Parâmetros!$C$3:$C$22</definedName>
    <definedName name="Docentes" localSheetId="10">[4]Parâmetros!$C$3:$C$22</definedName>
    <definedName name="Docentes">[5]Parâmetros!$C$3:$C$22</definedName>
  </definedNames>
  <calcPr calcId="191029" calcOnSave="0"/>
  <pivotCaches>
    <pivotCache cacheId="30" r:id="rId6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2" l="1"/>
  <c r="G3" i="12"/>
  <c r="H3" i="12"/>
  <c r="I3" i="12"/>
  <c r="J3" i="12"/>
  <c r="K3" i="12"/>
  <c r="L3" i="12"/>
  <c r="M3" i="12"/>
  <c r="N3" i="12"/>
  <c r="O3" i="12"/>
  <c r="Q3" i="12"/>
  <c r="S3" i="12"/>
  <c r="U3" i="12"/>
  <c r="W3" i="12"/>
  <c r="Y3" i="12"/>
  <c r="AA3" i="12"/>
  <c r="AC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F4" i="12"/>
  <c r="G4" i="12"/>
  <c r="H4" i="12"/>
  <c r="I4" i="12"/>
  <c r="J4" i="12"/>
  <c r="K4" i="12"/>
  <c r="L4" i="12"/>
  <c r="M4" i="12"/>
  <c r="N4" i="12"/>
  <c r="O4" i="12"/>
  <c r="P4" i="12"/>
  <c r="R4" i="12"/>
  <c r="T4" i="12"/>
  <c r="V4" i="12"/>
  <c r="X4" i="12"/>
  <c r="Z4" i="12"/>
  <c r="AB4" i="12"/>
  <c r="AD4" i="12"/>
  <c r="AF4" i="12"/>
  <c r="AG4" i="12"/>
  <c r="AH4" i="12"/>
  <c r="AI4" i="12"/>
  <c r="AJ4" i="12"/>
  <c r="AK4" i="12"/>
  <c r="AL4" i="12"/>
  <c r="AM4" i="12"/>
  <c r="AM7" i="12" s="1"/>
  <c r="AN4" i="12"/>
  <c r="AO4" i="12"/>
  <c r="AO7" i="12" s="1"/>
  <c r="AP4" i="12"/>
  <c r="AQ4" i="12"/>
  <c r="AQ7" i="12" s="1"/>
  <c r="AR4" i="12"/>
  <c r="F5" i="12"/>
  <c r="G5" i="12"/>
  <c r="H5" i="12"/>
  <c r="H7" i="12" s="1"/>
  <c r="I5" i="12"/>
  <c r="J5" i="12"/>
  <c r="K5" i="12"/>
  <c r="K7" i="12" s="1"/>
  <c r="L5" i="12"/>
  <c r="M5" i="12"/>
  <c r="N5" i="12"/>
  <c r="O5" i="12"/>
  <c r="P5" i="12"/>
  <c r="Q5" i="12"/>
  <c r="S5" i="12"/>
  <c r="U5" i="12"/>
  <c r="W5" i="12"/>
  <c r="Y5" i="12"/>
  <c r="AA5" i="12"/>
  <c r="AC5" i="12"/>
  <c r="AE5" i="12"/>
  <c r="AG5" i="12"/>
  <c r="AH5" i="12"/>
  <c r="AI5" i="12"/>
  <c r="AI7" i="12" s="1"/>
  <c r="AJ5" i="12"/>
  <c r="AK5" i="12"/>
  <c r="AL5" i="12"/>
  <c r="AM5" i="12"/>
  <c r="AN5" i="12"/>
  <c r="AN7" i="12" s="1"/>
  <c r="AO5" i="12"/>
  <c r="AP5" i="12"/>
  <c r="AP7" i="12" s="1"/>
  <c r="AQ5" i="12"/>
  <c r="AR5" i="12"/>
  <c r="F6" i="12"/>
  <c r="G6" i="12"/>
  <c r="H6" i="12"/>
  <c r="I6" i="12"/>
  <c r="I7" i="12" s="1"/>
  <c r="J6" i="12"/>
  <c r="K6" i="12"/>
  <c r="L6" i="12"/>
  <c r="L7" i="12" s="1"/>
  <c r="M6" i="12"/>
  <c r="N6" i="12"/>
  <c r="O6" i="12"/>
  <c r="P6" i="12"/>
  <c r="Q6" i="12"/>
  <c r="R6" i="12"/>
  <c r="T6" i="12"/>
  <c r="V6" i="12"/>
  <c r="X6" i="12"/>
  <c r="Z6" i="12"/>
  <c r="AB6" i="12"/>
  <c r="AD6" i="12"/>
  <c r="AF6" i="12"/>
  <c r="AH6" i="12"/>
  <c r="AI6" i="12"/>
  <c r="AJ6" i="12"/>
  <c r="AJ7" i="12" s="1"/>
  <c r="AK6" i="12"/>
  <c r="AK7" i="12" s="1"/>
  <c r="AL6" i="12"/>
  <c r="AM6" i="12"/>
  <c r="AN6" i="12"/>
  <c r="AO6" i="12"/>
  <c r="AP6" i="12"/>
  <c r="AQ6" i="12"/>
  <c r="AR6" i="12"/>
  <c r="AR7" i="12" s="1"/>
  <c r="F7" i="12"/>
  <c r="G7" i="12"/>
  <c r="J7" i="12"/>
  <c r="M7" i="12"/>
  <c r="N7" i="12"/>
  <c r="O7" i="12"/>
  <c r="AH7" i="12"/>
  <c r="AL7" i="12"/>
  <c r="AS7" i="12"/>
  <c r="AT7" i="12"/>
  <c r="AU7" i="12"/>
  <c r="AV7" i="12"/>
  <c r="AW7" i="12"/>
  <c r="F3" i="9"/>
  <c r="G3" i="9"/>
  <c r="H3" i="9"/>
  <c r="H7" i="9" s="1"/>
  <c r="I3" i="9"/>
  <c r="J3" i="9"/>
  <c r="K3" i="9"/>
  <c r="L3" i="9"/>
  <c r="M3" i="9"/>
  <c r="N3" i="9"/>
  <c r="O3" i="9"/>
  <c r="Q3" i="9"/>
  <c r="S3" i="9"/>
  <c r="U3" i="9"/>
  <c r="W3" i="9"/>
  <c r="Y3" i="9"/>
  <c r="AA3" i="9"/>
  <c r="AC3" i="9"/>
  <c r="AE3" i="9"/>
  <c r="AF3" i="9"/>
  <c r="AG3" i="9"/>
  <c r="AH3" i="9"/>
  <c r="AI3" i="9"/>
  <c r="AJ3" i="9"/>
  <c r="AK3" i="9"/>
  <c r="AL3" i="9"/>
  <c r="AM3" i="9"/>
  <c r="AN3" i="9"/>
  <c r="AN7" i="9" s="1"/>
  <c r="AO3" i="9"/>
  <c r="AP3" i="9"/>
  <c r="AQ3" i="9"/>
  <c r="AR3" i="9"/>
  <c r="F4" i="9"/>
  <c r="G4" i="9"/>
  <c r="H4" i="9"/>
  <c r="I4" i="9"/>
  <c r="I7" i="9" s="1"/>
  <c r="J4" i="9"/>
  <c r="K4" i="9"/>
  <c r="L4" i="9"/>
  <c r="M4" i="9"/>
  <c r="N4" i="9"/>
  <c r="O4" i="9"/>
  <c r="P4" i="9"/>
  <c r="R4" i="9"/>
  <c r="T4" i="9"/>
  <c r="V4" i="9"/>
  <c r="X4" i="9"/>
  <c r="Z4" i="9"/>
  <c r="AB4" i="9"/>
  <c r="AD4" i="9"/>
  <c r="AF4" i="9"/>
  <c r="AG4" i="9"/>
  <c r="AH4" i="9"/>
  <c r="AI4" i="9"/>
  <c r="AJ4" i="9"/>
  <c r="AK4" i="9"/>
  <c r="AL4" i="9"/>
  <c r="AM4" i="9"/>
  <c r="AN4" i="9"/>
  <c r="AO4" i="9"/>
  <c r="AO7" i="9" s="1"/>
  <c r="AP4" i="9"/>
  <c r="AQ4" i="9"/>
  <c r="AR4" i="9"/>
  <c r="F5" i="9"/>
  <c r="F7" i="9" s="1"/>
  <c r="G5" i="9"/>
  <c r="H5" i="9"/>
  <c r="I5" i="9"/>
  <c r="J5" i="9"/>
  <c r="J7" i="9" s="1"/>
  <c r="K5" i="9"/>
  <c r="K7" i="9" s="1"/>
  <c r="L5" i="9"/>
  <c r="M5" i="9"/>
  <c r="N5" i="9"/>
  <c r="N7" i="9" s="1"/>
  <c r="O5" i="9"/>
  <c r="P5" i="9"/>
  <c r="Q5" i="9"/>
  <c r="S5" i="9"/>
  <c r="U5" i="9"/>
  <c r="W5" i="9"/>
  <c r="Y5" i="9"/>
  <c r="AA5" i="9"/>
  <c r="AC5" i="9"/>
  <c r="AE5" i="9"/>
  <c r="AG5" i="9"/>
  <c r="AH5" i="9"/>
  <c r="AH7" i="9" s="1"/>
  <c r="AI5" i="9"/>
  <c r="AI7" i="9" s="1"/>
  <c r="AJ5" i="9"/>
  <c r="AK5" i="9"/>
  <c r="AL5" i="9"/>
  <c r="AL7" i="9" s="1"/>
  <c r="AM5" i="9"/>
  <c r="AN5" i="9"/>
  <c r="AO5" i="9"/>
  <c r="AP5" i="9"/>
  <c r="AP7" i="9" s="1"/>
  <c r="AQ5" i="9"/>
  <c r="AQ7" i="9" s="1"/>
  <c r="AR5" i="9"/>
  <c r="F6" i="9"/>
  <c r="G6" i="9"/>
  <c r="G7" i="9" s="1"/>
  <c r="H6" i="9"/>
  <c r="I6" i="9"/>
  <c r="J6" i="9"/>
  <c r="K6" i="9"/>
  <c r="L6" i="9"/>
  <c r="L7" i="9" s="1"/>
  <c r="M6" i="9"/>
  <c r="N6" i="9"/>
  <c r="O6" i="9"/>
  <c r="O7" i="9" s="1"/>
  <c r="P6" i="9"/>
  <c r="Q6" i="9"/>
  <c r="R6" i="9"/>
  <c r="T6" i="9"/>
  <c r="V6" i="9"/>
  <c r="X6" i="9"/>
  <c r="Z6" i="9"/>
  <c r="AB6" i="9"/>
  <c r="AD6" i="9"/>
  <c r="AF6" i="9"/>
  <c r="AH6" i="9"/>
  <c r="AI6" i="9"/>
  <c r="AJ6" i="9"/>
  <c r="AJ7" i="9" s="1"/>
  <c r="AK6" i="9"/>
  <c r="AL6" i="9"/>
  <c r="AM6" i="9"/>
  <c r="AM7" i="9" s="1"/>
  <c r="AN6" i="9"/>
  <c r="AO6" i="9"/>
  <c r="AP6" i="9"/>
  <c r="AQ6" i="9"/>
  <c r="AR6" i="9"/>
  <c r="AR7" i="9" s="1"/>
  <c r="M7" i="9"/>
  <c r="AK7" i="9"/>
  <c r="AS7" i="9"/>
  <c r="AT7" i="9"/>
  <c r="AU7" i="9"/>
  <c r="AV7" i="9"/>
  <c r="AW7" i="9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T88" i="2"/>
  <c r="R88" i="2"/>
  <c r="H6" i="64"/>
  <c r="H35" i="64" s="1"/>
  <c r="H11" i="64"/>
  <c r="H12" i="64"/>
  <c r="H14" i="64"/>
  <c r="H17" i="64"/>
  <c r="H18" i="64"/>
  <c r="H19" i="64"/>
  <c r="H20" i="64"/>
  <c r="H23" i="64"/>
  <c r="H26" i="64"/>
  <c r="H28" i="64"/>
  <c r="H29" i="64"/>
  <c r="H30" i="64"/>
  <c r="H31" i="64"/>
  <c r="H5" i="64"/>
  <c r="F35" i="64"/>
  <c r="G20" i="64"/>
  <c r="G21" i="64"/>
  <c r="H21" i="64" s="1"/>
  <c r="G22" i="64"/>
  <c r="H22" i="64" s="1"/>
  <c r="G23" i="64"/>
  <c r="G24" i="64"/>
  <c r="H24" i="64" s="1"/>
  <c r="G25" i="64"/>
  <c r="H25" i="64" s="1"/>
  <c r="G26" i="64"/>
  <c r="G27" i="64"/>
  <c r="H27" i="64" s="1"/>
  <c r="G28" i="64"/>
  <c r="G29" i="64"/>
  <c r="G30" i="64"/>
  <c r="G31" i="64"/>
  <c r="G32" i="64"/>
  <c r="H32" i="64" s="1"/>
  <c r="G33" i="64"/>
  <c r="H33" i="64" s="1"/>
  <c r="G34" i="64"/>
  <c r="H34" i="64" s="1"/>
  <c r="G13" i="64"/>
  <c r="H13" i="64" s="1"/>
  <c r="G14" i="64"/>
  <c r="G15" i="64"/>
  <c r="H15" i="64" s="1"/>
  <c r="G16" i="64"/>
  <c r="H16" i="64" s="1"/>
  <c r="G17" i="64"/>
  <c r="G18" i="64"/>
  <c r="G19" i="64"/>
  <c r="G6" i="64"/>
  <c r="G7" i="64"/>
  <c r="H7" i="64" s="1"/>
  <c r="G8" i="64"/>
  <c r="H8" i="64" s="1"/>
  <c r="G9" i="64"/>
  <c r="H9" i="64" s="1"/>
  <c r="G10" i="64"/>
  <c r="H10" i="64" s="1"/>
  <c r="G11" i="64"/>
  <c r="G12" i="64"/>
  <c r="G5" i="64"/>
  <c r="V3" i="12"/>
  <c r="AD3" i="12"/>
  <c r="W4" i="12"/>
  <c r="AE4" i="12"/>
  <c r="AG6" i="12"/>
  <c r="Z5" i="12"/>
  <c r="P3" i="12"/>
  <c r="X3" i="12"/>
  <c r="Q4" i="12"/>
  <c r="Y4" i="12"/>
  <c r="R5" i="12"/>
  <c r="R3" i="12"/>
  <c r="Z3" i="12"/>
  <c r="S4" i="12"/>
  <c r="AA4" i="12"/>
  <c r="T5" i="12"/>
  <c r="AB5" i="12"/>
  <c r="U6" i="12"/>
  <c r="AC6" i="12"/>
  <c r="X5" i="12"/>
  <c r="T3" i="12"/>
  <c r="AB3" i="12"/>
  <c r="U4" i="12"/>
  <c r="AC4" i="12"/>
  <c r="V5" i="12"/>
  <c r="AD5" i="12"/>
  <c r="W6" i="12"/>
  <c r="AE6" i="12"/>
  <c r="AF5" i="12"/>
  <c r="AA6" i="12"/>
  <c r="Y6" i="12"/>
  <c r="S6" i="12"/>
  <c r="V3" i="9"/>
  <c r="AD3" i="9"/>
  <c r="W4" i="9"/>
  <c r="AE4" i="9"/>
  <c r="X5" i="9"/>
  <c r="AF5" i="9"/>
  <c r="R3" i="9"/>
  <c r="Z3" i="9"/>
  <c r="S4" i="9"/>
  <c r="AA4" i="9"/>
  <c r="T5" i="9"/>
  <c r="AB5" i="9"/>
  <c r="U6" i="9"/>
  <c r="AC6" i="9"/>
  <c r="W6" i="9"/>
  <c r="P3" i="9"/>
  <c r="Q4" i="9"/>
  <c r="S6" i="9"/>
  <c r="Z5" i="9"/>
  <c r="AA6" i="9"/>
  <c r="T3" i="9"/>
  <c r="AB3" i="9"/>
  <c r="U4" i="9"/>
  <c r="AC4" i="9"/>
  <c r="V5" i="9"/>
  <c r="AD5" i="9"/>
  <c r="AE6" i="9"/>
  <c r="Y6" i="9"/>
  <c r="AG6" i="9"/>
  <c r="X3" i="9"/>
  <c r="Y4" i="9"/>
  <c r="R5" i="9"/>
  <c r="AF7" i="12" l="1"/>
  <c r="AC7" i="12"/>
  <c r="U7" i="12"/>
  <c r="AB7" i="12"/>
  <c r="T7" i="12"/>
  <c r="AA7" i="12"/>
  <c r="S7" i="12"/>
  <c r="Z7" i="12"/>
  <c r="R7" i="12"/>
  <c r="Y7" i="12"/>
  <c r="Q7" i="12"/>
  <c r="X7" i="12"/>
  <c r="P7" i="12"/>
  <c r="AE7" i="12"/>
  <c r="W7" i="12"/>
  <c r="AD7" i="12"/>
  <c r="V7" i="12"/>
  <c r="AG7" i="12"/>
  <c r="Y7" i="9"/>
  <c r="X7" i="9"/>
  <c r="AC7" i="9"/>
  <c r="U7" i="9"/>
  <c r="AB7" i="9"/>
  <c r="T7" i="9"/>
  <c r="Q7" i="9"/>
  <c r="P7" i="9"/>
  <c r="AA7" i="9"/>
  <c r="S7" i="9"/>
  <c r="Z7" i="9"/>
  <c r="R7" i="9"/>
  <c r="AE7" i="9"/>
  <c r="W7" i="9"/>
  <c r="AD7" i="9"/>
  <c r="V7" i="9"/>
  <c r="AG7" i="9"/>
  <c r="AF7" i="9"/>
  <c r="H36" i="64"/>
  <c r="H38" i="64" s="1"/>
  <c r="R86" i="2" l="1"/>
  <c r="T32" i="2"/>
  <c r="T33" i="2"/>
  <c r="T34" i="2"/>
  <c r="T35" i="2"/>
  <c r="T36" i="2"/>
  <c r="T37" i="2"/>
  <c r="T38" i="2"/>
  <c r="T40" i="2"/>
  <c r="T41" i="2"/>
  <c r="T42" i="2"/>
  <c r="T44" i="2"/>
  <c r="T45" i="2"/>
  <c r="T46" i="2"/>
  <c r="T48" i="2"/>
  <c r="T50" i="2"/>
  <c r="T53" i="2"/>
  <c r="T54" i="2"/>
  <c r="T55" i="2"/>
  <c r="T56" i="2"/>
  <c r="T57" i="2"/>
  <c r="T58" i="2"/>
  <c r="T59" i="2"/>
  <c r="T60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1" i="2"/>
  <c r="T82" i="2"/>
  <c r="T83" i="2"/>
  <c r="T84" i="2"/>
  <c r="T85" i="2"/>
  <c r="T87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7" i="2"/>
  <c r="T30" i="2"/>
  <c r="R54" i="2"/>
  <c r="R55" i="2"/>
  <c r="R56" i="2"/>
  <c r="R57" i="2"/>
  <c r="R58" i="2"/>
  <c r="R59" i="2"/>
  <c r="R60" i="2"/>
  <c r="R64" i="2"/>
  <c r="R65" i="2"/>
  <c r="R66" i="2"/>
  <c r="N48" i="63"/>
  <c r="N54" i="63"/>
  <c r="N60" i="63"/>
  <c r="G33" i="63"/>
  <c r="H33" i="63" s="1"/>
  <c r="G36" i="63"/>
  <c r="H36" i="63" s="1"/>
  <c r="L36" i="63" s="1"/>
  <c r="G35" i="63"/>
  <c r="H35" i="63" s="1"/>
  <c r="G30" i="63"/>
  <c r="H30" i="63" s="1"/>
  <c r="L30" i="63" s="1"/>
  <c r="F33" i="29"/>
  <c r="G59" i="63"/>
  <c r="H59" i="63" s="1"/>
  <c r="G47" i="54"/>
  <c r="H47" i="54" s="1"/>
  <c r="G31" i="54"/>
  <c r="H31" i="54" s="1"/>
  <c r="G22" i="54"/>
  <c r="H22" i="54" s="1"/>
  <c r="G22" i="63"/>
  <c r="H22" i="63" s="1"/>
  <c r="L22" i="63" s="1"/>
  <c r="G23" i="63"/>
  <c r="H23" i="63" s="1"/>
  <c r="G24" i="63"/>
  <c r="H24" i="63" s="1"/>
  <c r="G25" i="63"/>
  <c r="H25" i="63" s="1"/>
  <c r="L25" i="63" s="1"/>
  <c r="G16" i="63"/>
  <c r="H16" i="63" s="1"/>
  <c r="G17" i="63"/>
  <c r="H17" i="63" s="1"/>
  <c r="L17" i="63" s="1"/>
  <c r="G18" i="63"/>
  <c r="H18" i="63" s="1"/>
  <c r="L18" i="63" s="1"/>
  <c r="F63" i="63"/>
  <c r="F64" i="63" s="1"/>
  <c r="O64" i="63" s="1"/>
  <c r="V68" i="63" s="1"/>
  <c r="G9" i="63"/>
  <c r="H9" i="63" s="1"/>
  <c r="L9" i="63" s="1"/>
  <c r="G11" i="63"/>
  <c r="H11" i="63" s="1"/>
  <c r="L11" i="63" s="1"/>
  <c r="G12" i="63"/>
  <c r="H12" i="63" s="1"/>
  <c r="L12" i="63" s="1"/>
  <c r="G13" i="63"/>
  <c r="H13" i="63" s="1"/>
  <c r="L13" i="63" s="1"/>
  <c r="G14" i="63"/>
  <c r="H14" i="63" s="1"/>
  <c r="G15" i="63"/>
  <c r="H15" i="63" s="1"/>
  <c r="L15" i="63" s="1"/>
  <c r="G19" i="63"/>
  <c r="H19" i="63" s="1"/>
  <c r="G20" i="63"/>
  <c r="H20" i="63" s="1"/>
  <c r="L20" i="63" s="1"/>
  <c r="G21" i="63"/>
  <c r="H21" i="63" s="1"/>
  <c r="L21" i="63" s="1"/>
  <c r="G26" i="63"/>
  <c r="H26" i="63" s="1"/>
  <c r="L26" i="63" s="1"/>
  <c r="G27" i="63"/>
  <c r="H27" i="63" s="1"/>
  <c r="L27" i="63" s="1"/>
  <c r="G28" i="63"/>
  <c r="H28" i="63" s="1"/>
  <c r="L28" i="63" s="1"/>
  <c r="G29" i="63"/>
  <c r="H29" i="63" s="1"/>
  <c r="L29" i="63" s="1"/>
  <c r="G31" i="63"/>
  <c r="H31" i="63" s="1"/>
  <c r="L31" i="63" s="1"/>
  <c r="G32" i="63"/>
  <c r="H32" i="63" s="1"/>
  <c r="G34" i="63"/>
  <c r="H34" i="63" s="1"/>
  <c r="L34" i="63" s="1"/>
  <c r="G37" i="63"/>
  <c r="H37" i="63" s="1"/>
  <c r="L37" i="63" s="1"/>
  <c r="G38" i="63"/>
  <c r="H38" i="63" s="1"/>
  <c r="L38" i="63" s="1"/>
  <c r="G39" i="63"/>
  <c r="H39" i="63" s="1"/>
  <c r="G40" i="63"/>
  <c r="H40" i="63" s="1"/>
  <c r="L40" i="63" s="1"/>
  <c r="G41" i="63"/>
  <c r="H41" i="63" s="1"/>
  <c r="L41" i="63" s="1"/>
  <c r="G42" i="63"/>
  <c r="H42" i="63" s="1"/>
  <c r="L42" i="63" s="1"/>
  <c r="G43" i="63"/>
  <c r="H43" i="63" s="1"/>
  <c r="L43" i="63" s="1"/>
  <c r="G44" i="63"/>
  <c r="H44" i="63" s="1"/>
  <c r="L44" i="63" s="1"/>
  <c r="G45" i="63"/>
  <c r="H45" i="63" s="1"/>
  <c r="L45" i="63" s="1"/>
  <c r="G46" i="63"/>
  <c r="H46" i="63" s="1"/>
  <c r="L46" i="63" s="1"/>
  <c r="G47" i="63"/>
  <c r="H47" i="63" s="1"/>
  <c r="G48" i="63"/>
  <c r="H48" i="63" s="1"/>
  <c r="L62" i="63" s="1"/>
  <c r="G49" i="63"/>
  <c r="H49" i="63" s="1"/>
  <c r="L49" i="63" s="1"/>
  <c r="G50" i="63"/>
  <c r="H50" i="63" s="1"/>
  <c r="L50" i="63" s="1"/>
  <c r="G51" i="63"/>
  <c r="H51" i="63" s="1"/>
  <c r="G52" i="63"/>
  <c r="H52" i="63" s="1"/>
  <c r="L52" i="63" s="1"/>
  <c r="G53" i="63"/>
  <c r="H53" i="63" s="1"/>
  <c r="L53" i="63" s="1"/>
  <c r="G54" i="63"/>
  <c r="H54" i="63" s="1"/>
  <c r="L54" i="63" s="1"/>
  <c r="G55" i="63"/>
  <c r="H55" i="63" s="1"/>
  <c r="L55" i="63" s="1"/>
  <c r="G56" i="63"/>
  <c r="H56" i="63" s="1"/>
  <c r="L56" i="63" s="1"/>
  <c r="G57" i="63"/>
  <c r="H57" i="63" s="1"/>
  <c r="L57" i="63" s="1"/>
  <c r="G58" i="63"/>
  <c r="H58" i="63" s="1"/>
  <c r="G60" i="63"/>
  <c r="H60" i="63" s="1"/>
  <c r="L60" i="63" s="1"/>
  <c r="G61" i="63"/>
  <c r="H61" i="63" s="1"/>
  <c r="L61" i="63" s="1"/>
  <c r="G62" i="63"/>
  <c r="H62" i="63" s="1"/>
  <c r="G10" i="63"/>
  <c r="H10" i="63" s="1"/>
  <c r="G8" i="63"/>
  <c r="H8" i="63" s="1"/>
  <c r="L8" i="63" s="1"/>
  <c r="G7" i="63"/>
  <c r="H7" i="63" s="1"/>
  <c r="L7" i="63" s="1"/>
  <c r="G6" i="63"/>
  <c r="H6" i="63" s="1"/>
  <c r="L6" i="63" s="1"/>
  <c r="G5" i="63"/>
  <c r="L19" i="63" l="1"/>
  <c r="N63" i="63"/>
  <c r="H5" i="63"/>
  <c r="F73" i="63" l="1"/>
  <c r="L5" i="63"/>
  <c r="F23" i="61" l="1"/>
  <c r="F24" i="61" s="1"/>
  <c r="G22" i="61"/>
  <c r="H22" i="61" s="1"/>
  <c r="L22" i="61" s="1"/>
  <c r="H21" i="61"/>
  <c r="L21" i="61" s="1"/>
  <c r="G21" i="61"/>
  <c r="G20" i="61"/>
  <c r="H20" i="61" s="1"/>
  <c r="L20" i="61" s="1"/>
  <c r="G19" i="61"/>
  <c r="H19" i="61" s="1"/>
  <c r="H18" i="61"/>
  <c r="L18" i="61" s="1"/>
  <c r="G18" i="61"/>
  <c r="G17" i="61"/>
  <c r="H17" i="61" s="1"/>
  <c r="L17" i="61" s="1"/>
  <c r="G16" i="61"/>
  <c r="H16" i="61" s="1"/>
  <c r="L16" i="61" s="1"/>
  <c r="G15" i="61"/>
  <c r="H15" i="61" s="1"/>
  <c r="L15" i="61" s="1"/>
  <c r="G14" i="61"/>
  <c r="H14" i="61" s="1"/>
  <c r="L14" i="61" s="1"/>
  <c r="G13" i="61"/>
  <c r="H13" i="61" s="1"/>
  <c r="L13" i="61" s="1"/>
  <c r="G12" i="61"/>
  <c r="H12" i="61" s="1"/>
  <c r="L12" i="61" s="1"/>
  <c r="G11" i="61"/>
  <c r="H11" i="61" s="1"/>
  <c r="L11" i="61" s="1"/>
  <c r="G10" i="61"/>
  <c r="H10" i="61" s="1"/>
  <c r="G9" i="61"/>
  <c r="H9" i="61" s="1"/>
  <c r="G8" i="61"/>
  <c r="H8" i="61" s="1"/>
  <c r="G7" i="61"/>
  <c r="H7" i="61" s="1"/>
  <c r="G6" i="61"/>
  <c r="H6" i="61" s="1"/>
  <c r="G5" i="61"/>
  <c r="H5" i="61" s="1"/>
  <c r="F43" i="55"/>
  <c r="F30" i="60"/>
  <c r="G29" i="60"/>
  <c r="H29" i="60" s="1"/>
  <c r="H28" i="60"/>
  <c r="G28" i="60"/>
  <c r="G27" i="60"/>
  <c r="H27" i="60" s="1"/>
  <c r="G26" i="60"/>
  <c r="H26" i="60" s="1"/>
  <c r="G25" i="60"/>
  <c r="H25" i="60" s="1"/>
  <c r="H24" i="60"/>
  <c r="G24" i="60"/>
  <c r="G23" i="60"/>
  <c r="H23" i="60" s="1"/>
  <c r="G22" i="60"/>
  <c r="H22" i="60" s="1"/>
  <c r="G21" i="60"/>
  <c r="H21" i="60" s="1"/>
  <c r="H20" i="60"/>
  <c r="G20" i="60"/>
  <c r="G19" i="60"/>
  <c r="H19" i="60" s="1"/>
  <c r="G18" i="60"/>
  <c r="H18" i="60" s="1"/>
  <c r="G17" i="60"/>
  <c r="H17" i="60" s="1"/>
  <c r="H16" i="60"/>
  <c r="G16" i="60"/>
  <c r="G15" i="60"/>
  <c r="H15" i="60" s="1"/>
  <c r="G14" i="60"/>
  <c r="H14" i="60" s="1"/>
  <c r="G13" i="60"/>
  <c r="H13" i="60" s="1"/>
  <c r="H12" i="60"/>
  <c r="G12" i="60"/>
  <c r="G11" i="60"/>
  <c r="H11" i="60" s="1"/>
  <c r="G10" i="60"/>
  <c r="H10" i="60" s="1"/>
  <c r="G9" i="60"/>
  <c r="H9" i="60" s="1"/>
  <c r="H8" i="60"/>
  <c r="G8" i="60"/>
  <c r="G7" i="60"/>
  <c r="H7" i="60" s="1"/>
  <c r="G6" i="60"/>
  <c r="H6" i="60" s="1"/>
  <c r="G5" i="60"/>
  <c r="H5" i="60" s="1"/>
  <c r="G4" i="60"/>
  <c r="H4" i="60" s="1"/>
  <c r="F30" i="61" l="1"/>
  <c r="H24" i="61"/>
  <c r="H25" i="61" s="1"/>
  <c r="H27" i="61" s="1"/>
  <c r="G23" i="61"/>
  <c r="L5" i="60"/>
  <c r="H30" i="60"/>
  <c r="H31" i="60" s="1"/>
  <c r="H33" i="60" s="1"/>
  <c r="G30" i="60"/>
  <c r="G17" i="58" l="1"/>
  <c r="H17" i="58" s="1"/>
  <c r="G16" i="58"/>
  <c r="H16" i="58" s="1"/>
  <c r="G15" i="58"/>
  <c r="H15" i="58" s="1"/>
  <c r="G14" i="58"/>
  <c r="H14" i="58" s="1"/>
  <c r="G13" i="58"/>
  <c r="H13" i="58" s="1"/>
  <c r="G12" i="58"/>
  <c r="H12" i="58" s="1"/>
  <c r="G11" i="58"/>
  <c r="H11" i="58" s="1"/>
  <c r="G10" i="58"/>
  <c r="H10" i="58" s="1"/>
  <c r="G9" i="58"/>
  <c r="H9" i="58" s="1"/>
  <c r="G8" i="58"/>
  <c r="H8" i="58" s="1"/>
  <c r="G7" i="58"/>
  <c r="H7" i="58" s="1"/>
  <c r="G6" i="58"/>
  <c r="G5" i="58"/>
  <c r="H5" i="58" s="1"/>
  <c r="G11" i="57"/>
  <c r="H11" i="57" s="1"/>
  <c r="G10" i="57"/>
  <c r="H10" i="57" s="1"/>
  <c r="G9" i="57"/>
  <c r="H9" i="57" s="1"/>
  <c r="G8" i="57"/>
  <c r="H8" i="57" s="1"/>
  <c r="G7" i="57"/>
  <c r="H7" i="57" s="1"/>
  <c r="G6" i="57"/>
  <c r="H6" i="57" s="1"/>
  <c r="G5" i="57"/>
  <c r="H5" i="57" s="1"/>
  <c r="G18" i="58" l="1"/>
  <c r="H18" i="58" s="1"/>
  <c r="H19" i="58" s="1"/>
  <c r="H21" i="58" s="1"/>
  <c r="H6" i="58"/>
  <c r="G12" i="57"/>
  <c r="H12" i="57" s="1"/>
  <c r="H13" i="57" s="1"/>
  <c r="H15" i="57" s="1"/>
  <c r="F44" i="55" l="1"/>
  <c r="H44" i="55" s="1"/>
  <c r="H46" i="55" s="1"/>
  <c r="H42" i="55"/>
  <c r="G42" i="55"/>
  <c r="G41" i="55"/>
  <c r="H41" i="55" s="1"/>
  <c r="G40" i="55"/>
  <c r="H40" i="55" s="1"/>
  <c r="G39" i="55"/>
  <c r="H39" i="55" s="1"/>
  <c r="G38" i="55"/>
  <c r="H38" i="55" s="1"/>
  <c r="G37" i="55"/>
  <c r="H37" i="55" s="1"/>
  <c r="G36" i="55"/>
  <c r="H36" i="55" s="1"/>
  <c r="G35" i="55"/>
  <c r="H35" i="55" s="1"/>
  <c r="H34" i="55"/>
  <c r="G34" i="55"/>
  <c r="G33" i="55"/>
  <c r="H33" i="55" s="1"/>
  <c r="G32" i="55"/>
  <c r="H32" i="55" s="1"/>
  <c r="G31" i="55"/>
  <c r="H31" i="55" s="1"/>
  <c r="H30" i="55"/>
  <c r="G30" i="55"/>
  <c r="G29" i="55"/>
  <c r="H29" i="55" s="1"/>
  <c r="G28" i="55"/>
  <c r="H28" i="55" s="1"/>
  <c r="G27" i="55"/>
  <c r="H27" i="55" s="1"/>
  <c r="H26" i="55"/>
  <c r="G26" i="55"/>
  <c r="G25" i="55"/>
  <c r="H25" i="55" s="1"/>
  <c r="G24" i="55"/>
  <c r="H24" i="55" s="1"/>
  <c r="G23" i="55"/>
  <c r="H23" i="55" s="1"/>
  <c r="G22" i="55"/>
  <c r="H22" i="55" s="1"/>
  <c r="G21" i="55"/>
  <c r="H21" i="55" s="1"/>
  <c r="G20" i="55"/>
  <c r="H20" i="55" s="1"/>
  <c r="G19" i="55"/>
  <c r="H19" i="55" s="1"/>
  <c r="H18" i="55"/>
  <c r="G18" i="55"/>
  <c r="G17" i="55"/>
  <c r="H17" i="55" s="1"/>
  <c r="G16" i="55"/>
  <c r="H16" i="55" s="1"/>
  <c r="G15" i="55"/>
  <c r="H15" i="55" s="1"/>
  <c r="H14" i="55"/>
  <c r="G14" i="55"/>
  <c r="G13" i="55"/>
  <c r="H13" i="55" s="1"/>
  <c r="G12" i="55"/>
  <c r="H12" i="55" s="1"/>
  <c r="G11" i="55"/>
  <c r="H11" i="55" s="1"/>
  <c r="H10" i="55"/>
  <c r="G10" i="55"/>
  <c r="G9" i="55"/>
  <c r="H9" i="55" s="1"/>
  <c r="G8" i="55"/>
  <c r="H8" i="55" s="1"/>
  <c r="G7" i="55"/>
  <c r="H7" i="55" s="1"/>
  <c r="G6" i="55"/>
  <c r="H6" i="55" s="1"/>
  <c r="G5" i="55"/>
  <c r="G43" i="55" s="1"/>
  <c r="R42" i="2"/>
  <c r="G89" i="54"/>
  <c r="H89" i="54" s="1"/>
  <c r="G83" i="54"/>
  <c r="H83" i="54" s="1"/>
  <c r="G82" i="54"/>
  <c r="H82" i="54" s="1"/>
  <c r="G81" i="54"/>
  <c r="H81" i="54" s="1"/>
  <c r="G80" i="54"/>
  <c r="H80" i="54" s="1"/>
  <c r="G79" i="54"/>
  <c r="H79" i="54" s="1"/>
  <c r="G78" i="54"/>
  <c r="H78" i="54" s="1"/>
  <c r="G77" i="54"/>
  <c r="H77" i="54" s="1"/>
  <c r="G76" i="54"/>
  <c r="H76" i="54" s="1"/>
  <c r="G75" i="54"/>
  <c r="H75" i="54" s="1"/>
  <c r="G74" i="54"/>
  <c r="H74" i="54" s="1"/>
  <c r="G73" i="54"/>
  <c r="H73" i="54" s="1"/>
  <c r="G72" i="54"/>
  <c r="H72" i="54" s="1"/>
  <c r="G71" i="54"/>
  <c r="H71" i="54" s="1"/>
  <c r="G70" i="54"/>
  <c r="H70" i="54" s="1"/>
  <c r="G69" i="54"/>
  <c r="H69" i="54" s="1"/>
  <c r="G68" i="54"/>
  <c r="H68" i="54" s="1"/>
  <c r="G67" i="54"/>
  <c r="H67" i="54" s="1"/>
  <c r="G66" i="54"/>
  <c r="H66" i="54" s="1"/>
  <c r="G65" i="54"/>
  <c r="H65" i="54" s="1"/>
  <c r="G64" i="54"/>
  <c r="H64" i="54" s="1"/>
  <c r="G63" i="54"/>
  <c r="H63" i="54" s="1"/>
  <c r="G62" i="54"/>
  <c r="H62" i="54" s="1"/>
  <c r="G61" i="54"/>
  <c r="H61" i="54" s="1"/>
  <c r="G60" i="54"/>
  <c r="H60" i="54" s="1"/>
  <c r="G59" i="54"/>
  <c r="H59" i="54" s="1"/>
  <c r="G58" i="54"/>
  <c r="H58" i="54" s="1"/>
  <c r="G57" i="54"/>
  <c r="H57" i="54" s="1"/>
  <c r="G56" i="54"/>
  <c r="H56" i="54" s="1"/>
  <c r="G55" i="54"/>
  <c r="H55" i="54" s="1"/>
  <c r="G54" i="54"/>
  <c r="H54" i="54" s="1"/>
  <c r="G53" i="54"/>
  <c r="H53" i="54" s="1"/>
  <c r="G52" i="54"/>
  <c r="H52" i="54" s="1"/>
  <c r="G51" i="54"/>
  <c r="H51" i="54" s="1"/>
  <c r="G50" i="54"/>
  <c r="H50" i="54" s="1"/>
  <c r="G49" i="54"/>
  <c r="H49" i="54" s="1"/>
  <c r="G48" i="54"/>
  <c r="H48" i="54" s="1"/>
  <c r="G46" i="54"/>
  <c r="H46" i="54" s="1"/>
  <c r="G45" i="54"/>
  <c r="H45" i="54" s="1"/>
  <c r="G44" i="54"/>
  <c r="H44" i="54" s="1"/>
  <c r="G43" i="54"/>
  <c r="H43" i="54" s="1"/>
  <c r="G42" i="54"/>
  <c r="H42" i="54" s="1"/>
  <c r="G41" i="54"/>
  <c r="H41" i="54" s="1"/>
  <c r="G40" i="54"/>
  <c r="H40" i="54" s="1"/>
  <c r="G39" i="54"/>
  <c r="H39" i="54" s="1"/>
  <c r="G38" i="54"/>
  <c r="H38" i="54" s="1"/>
  <c r="G37" i="54"/>
  <c r="H37" i="54" s="1"/>
  <c r="G36" i="54"/>
  <c r="H36" i="54" s="1"/>
  <c r="H35" i="54"/>
  <c r="G35" i="54"/>
  <c r="G34" i="54"/>
  <c r="H34" i="54" s="1"/>
  <c r="G33" i="54"/>
  <c r="H33" i="54" s="1"/>
  <c r="G32" i="54"/>
  <c r="H32" i="54" s="1"/>
  <c r="G30" i="54"/>
  <c r="H30" i="54" s="1"/>
  <c r="G29" i="54"/>
  <c r="H29" i="54" s="1"/>
  <c r="G28" i="54"/>
  <c r="H28" i="54" s="1"/>
  <c r="G27" i="54"/>
  <c r="H27" i="54" s="1"/>
  <c r="G26" i="54"/>
  <c r="H26" i="54" s="1"/>
  <c r="G25" i="54"/>
  <c r="H25" i="54" s="1"/>
  <c r="G24" i="54"/>
  <c r="H24" i="54" s="1"/>
  <c r="G23" i="54"/>
  <c r="H23" i="54" s="1"/>
  <c r="G21" i="54"/>
  <c r="H21" i="54" s="1"/>
  <c r="G20" i="54"/>
  <c r="H20" i="54" s="1"/>
  <c r="G19" i="54"/>
  <c r="H19" i="54" s="1"/>
  <c r="G18" i="54"/>
  <c r="H18" i="54" s="1"/>
  <c r="G17" i="54"/>
  <c r="H17" i="54" s="1"/>
  <c r="G16" i="54"/>
  <c r="H16" i="54" s="1"/>
  <c r="G15" i="54"/>
  <c r="H15" i="54" s="1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H49" i="55" l="1"/>
  <c r="L10" i="55"/>
  <c r="H5" i="55"/>
  <c r="E53" i="55" s="1"/>
  <c r="H85" i="54"/>
  <c r="G84" i="54"/>
  <c r="H88" i="54" l="1"/>
  <c r="E96" i="54"/>
  <c r="H91" i="54" l="1"/>
  <c r="G1" i="54"/>
  <c r="R4" i="2" l="1"/>
  <c r="R3" i="2"/>
  <c r="R47" i="2"/>
  <c r="R48" i="2"/>
  <c r="R49" i="2"/>
  <c r="R50" i="2"/>
  <c r="R51" i="2"/>
  <c r="R52" i="2"/>
  <c r="R53" i="2"/>
  <c r="R34" i="2"/>
  <c r="R35" i="2"/>
  <c r="R36" i="2"/>
  <c r="R37" i="2"/>
  <c r="R38" i="2"/>
  <c r="R39" i="2"/>
  <c r="R40" i="2"/>
  <c r="R41" i="2"/>
  <c r="R43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5" i="2"/>
  <c r="R6" i="2"/>
  <c r="G11" i="35" l="1"/>
  <c r="H11" i="35" s="1"/>
  <c r="T20" i="2"/>
  <c r="G11" i="53"/>
  <c r="H11" i="53" s="1"/>
  <c r="G9" i="53"/>
  <c r="H9" i="53" s="1"/>
  <c r="G8" i="53"/>
  <c r="H8" i="53" s="1"/>
  <c r="G7" i="53"/>
  <c r="H7" i="53" s="1"/>
  <c r="G6" i="53"/>
  <c r="H6" i="53" s="1"/>
  <c r="G5" i="53"/>
  <c r="H5" i="53" s="1"/>
  <c r="T4" i="2"/>
  <c r="T5" i="2"/>
  <c r="T6" i="2"/>
  <c r="T8" i="2"/>
  <c r="T9" i="2"/>
  <c r="T10" i="2"/>
  <c r="T11" i="2"/>
  <c r="T12" i="2"/>
  <c r="T14" i="2"/>
  <c r="T3" i="2"/>
  <c r="G9" i="35"/>
  <c r="H9" i="35" s="1"/>
  <c r="G10" i="35"/>
  <c r="H10" i="35" s="1"/>
  <c r="G12" i="35"/>
  <c r="H12" i="35"/>
  <c r="G13" i="35"/>
  <c r="H13" i="35" s="1"/>
  <c r="G14" i="35"/>
  <c r="H14" i="35" s="1"/>
  <c r="G15" i="35"/>
  <c r="H15" i="35" s="1"/>
  <c r="G6" i="35"/>
  <c r="H6" i="35" s="1"/>
  <c r="G7" i="35"/>
  <c r="H7" i="35" s="1"/>
  <c r="G8" i="35"/>
  <c r="H8" i="35" s="1"/>
  <c r="AU9" i="20"/>
  <c r="BA11" i="20"/>
  <c r="BJ8" i="20"/>
  <c r="AV8" i="20"/>
  <c r="BD9" i="20"/>
  <c r="AZ11" i="20"/>
  <c r="AX11" i="20"/>
  <c r="AX8" i="20"/>
  <c r="BC9" i="20"/>
  <c r="BC8" i="20"/>
  <c r="BE11" i="20"/>
  <c r="BA10" i="20"/>
  <c r="AW9" i="20"/>
  <c r="BF9" i="20"/>
  <c r="BG12" i="20"/>
  <c r="BG10" i="20"/>
  <c r="BA9" i="20"/>
  <c r="BK12" i="20"/>
  <c r="AY12" i="20"/>
  <c r="AY9" i="20"/>
  <c r="AT9" i="20"/>
  <c r="BI12" i="20"/>
  <c r="AU12" i="20"/>
  <c r="BK10" i="20"/>
  <c r="BA8" i="20"/>
  <c r="AX10" i="20"/>
  <c r="BB12" i="20"/>
  <c r="BD8" i="20"/>
  <c r="BJ11" i="20"/>
  <c r="BL9" i="20"/>
  <c r="AV9" i="20"/>
  <c r="BL8" i="20"/>
  <c r="BI9" i="20"/>
  <c r="BB10" i="20"/>
  <c r="BD10" i="20"/>
  <c r="AZ10" i="20"/>
  <c r="AV10" i="20"/>
  <c r="BA12" i="20"/>
  <c r="BH11" i="20"/>
  <c r="BG8" i="20"/>
  <c r="AZ12" i="20"/>
  <c r="BB9" i="20"/>
  <c r="AT12" i="20"/>
  <c r="AT8" i="20"/>
  <c r="AT10" i="20"/>
  <c r="AX9" i="20"/>
  <c r="BF11" i="20"/>
  <c r="BE10" i="20"/>
  <c r="BD11" i="20"/>
  <c r="BK8" i="20"/>
  <c r="AV11" i="20"/>
  <c r="BG9" i="20"/>
  <c r="BE12" i="20"/>
  <c r="AS10" i="20"/>
  <c r="BL12" i="20"/>
  <c r="BC12" i="20"/>
  <c r="AY10" i="20"/>
  <c r="AW11" i="20"/>
  <c r="BF8" i="20"/>
  <c r="AS9" i="20"/>
  <c r="BH8" i="20"/>
  <c r="BJ10" i="20"/>
  <c r="BJ9" i="20"/>
  <c r="AS11" i="20"/>
  <c r="AW12" i="20"/>
  <c r="AU8" i="20"/>
  <c r="AU10" i="20"/>
  <c r="BK9" i="20"/>
  <c r="BI11" i="20"/>
  <c r="AW10" i="20"/>
  <c r="AZ8" i="20"/>
  <c r="AZ9" i="20"/>
  <c r="AX12" i="20"/>
  <c r="BI8" i="20"/>
  <c r="BI10" i="20"/>
  <c r="BH9" i="20"/>
  <c r="BF12" i="20"/>
  <c r="BE8" i="20"/>
  <c r="BL11" i="20"/>
  <c r="AY11" i="20"/>
  <c r="BK11" i="20"/>
  <c r="BC10" i="20"/>
  <c r="BH12" i="20"/>
  <c r="AS12" i="20"/>
  <c r="BC11" i="20"/>
  <c r="BH10" i="20"/>
  <c r="BG11" i="20"/>
  <c r="AU11" i="20"/>
  <c r="BD12" i="20"/>
  <c r="BB8" i="20"/>
  <c r="AY8" i="20"/>
  <c r="BB11" i="20"/>
  <c r="AV12" i="20"/>
  <c r="BF10" i="20"/>
  <c r="BJ12" i="20"/>
  <c r="BE9" i="20"/>
  <c r="AT11" i="20"/>
  <c r="BL10" i="20"/>
  <c r="AW8" i="20"/>
  <c r="AS8" i="20"/>
  <c r="BF15" i="20" l="1"/>
  <c r="BF17" i="20"/>
  <c r="BF19" i="20"/>
  <c r="BF16" i="20"/>
  <c r="BF18" i="20"/>
  <c r="BI15" i="20"/>
  <c r="BI17" i="20"/>
  <c r="BI19" i="20"/>
  <c r="BI16" i="20"/>
  <c r="BI18" i="20"/>
  <c r="BE15" i="20"/>
  <c r="BE17" i="20"/>
  <c r="BE19" i="20"/>
  <c r="BE16" i="20"/>
  <c r="BE18" i="20"/>
  <c r="BJ15" i="20"/>
  <c r="BJ17" i="20"/>
  <c r="BJ19" i="20"/>
  <c r="BJ16" i="20"/>
  <c r="BJ18" i="20"/>
  <c r="BL16" i="20"/>
  <c r="BL18" i="20"/>
  <c r="BL19" i="20"/>
  <c r="BL15" i="20"/>
  <c r="BL17" i="20"/>
  <c r="BH16" i="20"/>
  <c r="BH18" i="20"/>
  <c r="BH15" i="20"/>
  <c r="BH17" i="20"/>
  <c r="BH19" i="20"/>
  <c r="BD16" i="20"/>
  <c r="BD18" i="20"/>
  <c r="BD19" i="20"/>
  <c r="BD15" i="20"/>
  <c r="BD17" i="20"/>
  <c r="BK16" i="20"/>
  <c r="BK18" i="20"/>
  <c r="BK15" i="20"/>
  <c r="BK17" i="20"/>
  <c r="BK19" i="20"/>
  <c r="BG16" i="20"/>
  <c r="BG18" i="20"/>
  <c r="BG15" i="20"/>
  <c r="BG17" i="20"/>
  <c r="BG19" i="20"/>
  <c r="BC16" i="20"/>
  <c r="BC18" i="20"/>
  <c r="BC15" i="20"/>
  <c r="BC17" i="20"/>
  <c r="BC19" i="20"/>
  <c r="AS16" i="20"/>
  <c r="AS17" i="20"/>
  <c r="AS19" i="20"/>
  <c r="AS15" i="20"/>
  <c r="AS18" i="20"/>
  <c r="AY18" i="20"/>
  <c r="AY17" i="20"/>
  <c r="AY15" i="20"/>
  <c r="AY19" i="20"/>
  <c r="AY16" i="20"/>
  <c r="AV17" i="20"/>
  <c r="AV18" i="20"/>
  <c r="AV16" i="20"/>
  <c r="AV15" i="20"/>
  <c r="AV19" i="20"/>
  <c r="AU18" i="20"/>
  <c r="AU15" i="20"/>
  <c r="AU19" i="20"/>
  <c r="AU16" i="20"/>
  <c r="AU17" i="20"/>
  <c r="AX15" i="20"/>
  <c r="AX19" i="20"/>
  <c r="AX18" i="20"/>
  <c r="AX16" i="20"/>
  <c r="AX17" i="20"/>
  <c r="AZ17" i="20"/>
  <c r="AZ16" i="20"/>
  <c r="AZ18" i="20"/>
  <c r="AZ15" i="20"/>
  <c r="AZ19" i="20"/>
  <c r="AW16" i="20"/>
  <c r="AW19" i="20"/>
  <c r="AW17" i="20"/>
  <c r="AW18" i="20"/>
  <c r="AW15" i="20"/>
  <c r="BA16" i="20"/>
  <c r="BA15" i="20"/>
  <c r="BA17" i="20"/>
  <c r="BA18" i="20"/>
  <c r="BA19" i="20"/>
  <c r="AT15" i="20"/>
  <c r="AT19" i="20"/>
  <c r="AT16" i="20"/>
  <c r="AT17" i="20"/>
  <c r="AT18" i="20"/>
  <c r="BB15" i="20"/>
  <c r="BB19" i="20"/>
  <c r="BB16" i="20"/>
  <c r="BB17" i="20"/>
  <c r="BB18" i="20"/>
  <c r="F57" i="52"/>
  <c r="F58" i="52" s="1"/>
  <c r="G56" i="52"/>
  <c r="H56" i="52" s="1"/>
  <c r="L56" i="52" s="1"/>
  <c r="G55" i="52"/>
  <c r="H55" i="52" s="1"/>
  <c r="L55" i="52" s="1"/>
  <c r="G54" i="52"/>
  <c r="H54" i="52" s="1"/>
  <c r="L54" i="52" s="1"/>
  <c r="G53" i="52"/>
  <c r="H53" i="52" s="1"/>
  <c r="L53" i="52" s="1"/>
  <c r="G52" i="52"/>
  <c r="H52" i="52" s="1"/>
  <c r="L52" i="52" s="1"/>
  <c r="G51" i="52"/>
  <c r="H51" i="52" s="1"/>
  <c r="L51" i="52" s="1"/>
  <c r="G50" i="52"/>
  <c r="H50" i="52" s="1"/>
  <c r="L50" i="52" s="1"/>
  <c r="G49" i="52"/>
  <c r="H49" i="52" s="1"/>
  <c r="L49" i="52" s="1"/>
  <c r="G48" i="52"/>
  <c r="H48" i="52" s="1"/>
  <c r="L48" i="52" s="1"/>
  <c r="G47" i="52"/>
  <c r="H47" i="52" s="1"/>
  <c r="L47" i="52" s="1"/>
  <c r="G46" i="52"/>
  <c r="H46" i="52" s="1"/>
  <c r="L46" i="52" s="1"/>
  <c r="G45" i="52"/>
  <c r="H45" i="52" s="1"/>
  <c r="L45" i="52" s="1"/>
  <c r="G44" i="52"/>
  <c r="H44" i="52" s="1"/>
  <c r="L44" i="52" s="1"/>
  <c r="G43" i="52"/>
  <c r="H43" i="52" s="1"/>
  <c r="L43" i="52" s="1"/>
  <c r="G42" i="52"/>
  <c r="H42" i="52" s="1"/>
  <c r="L42" i="52" s="1"/>
  <c r="G41" i="52"/>
  <c r="H41" i="52" s="1"/>
  <c r="L41" i="52" s="1"/>
  <c r="G40" i="52"/>
  <c r="H40" i="52" s="1"/>
  <c r="L40" i="52" s="1"/>
  <c r="H39" i="52"/>
  <c r="L39" i="52" s="1"/>
  <c r="G39" i="52"/>
  <c r="G38" i="52"/>
  <c r="H38" i="52" s="1"/>
  <c r="L38" i="52" s="1"/>
  <c r="G37" i="52"/>
  <c r="H37" i="52" s="1"/>
  <c r="L37" i="52" s="1"/>
  <c r="G36" i="52"/>
  <c r="H36" i="52" s="1"/>
  <c r="L36" i="52" s="1"/>
  <c r="G35" i="52"/>
  <c r="H35" i="52" s="1"/>
  <c r="L35" i="52" s="1"/>
  <c r="G34" i="52"/>
  <c r="H34" i="52" s="1"/>
  <c r="L34" i="52" s="1"/>
  <c r="G33" i="52"/>
  <c r="H33" i="52" s="1"/>
  <c r="L33" i="52" s="1"/>
  <c r="G32" i="52"/>
  <c r="H32" i="52" s="1"/>
  <c r="L32" i="52" s="1"/>
  <c r="G31" i="52"/>
  <c r="H31" i="52" s="1"/>
  <c r="L31" i="52" s="1"/>
  <c r="G30" i="52"/>
  <c r="H30" i="52" s="1"/>
  <c r="L30" i="52" s="1"/>
  <c r="G29" i="52"/>
  <c r="H29" i="52" s="1"/>
  <c r="L29" i="52" s="1"/>
  <c r="G28" i="52"/>
  <c r="H28" i="52" s="1"/>
  <c r="L28" i="52" s="1"/>
  <c r="G27" i="52"/>
  <c r="H27" i="52" s="1"/>
  <c r="L27" i="52" s="1"/>
  <c r="G26" i="52"/>
  <c r="H26" i="52" s="1"/>
  <c r="L26" i="52" s="1"/>
  <c r="G25" i="52"/>
  <c r="H25" i="52" s="1"/>
  <c r="L25" i="52" s="1"/>
  <c r="G24" i="52"/>
  <c r="H24" i="52" s="1"/>
  <c r="L24" i="52" s="1"/>
  <c r="G23" i="52"/>
  <c r="H23" i="52" s="1"/>
  <c r="L23" i="52" s="1"/>
  <c r="G22" i="52"/>
  <c r="H22" i="52" s="1"/>
  <c r="L22" i="52" s="1"/>
  <c r="G21" i="52"/>
  <c r="H21" i="52" s="1"/>
  <c r="L21" i="52" s="1"/>
  <c r="G20" i="52"/>
  <c r="H20" i="52" s="1"/>
  <c r="L20" i="52" s="1"/>
  <c r="G19" i="52"/>
  <c r="H19" i="52" s="1"/>
  <c r="L19" i="52" s="1"/>
  <c r="G18" i="52"/>
  <c r="H18" i="52" s="1"/>
  <c r="L18" i="52" s="1"/>
  <c r="G17" i="52"/>
  <c r="H17" i="52" s="1"/>
  <c r="L17" i="52" s="1"/>
  <c r="G16" i="52"/>
  <c r="H16" i="52" s="1"/>
  <c r="L16" i="52" s="1"/>
  <c r="G15" i="52"/>
  <c r="H15" i="52" s="1"/>
  <c r="L15" i="52" s="1"/>
  <c r="G14" i="52"/>
  <c r="H14" i="52" s="1"/>
  <c r="L14" i="52" s="1"/>
  <c r="G13" i="52"/>
  <c r="H13" i="52" s="1"/>
  <c r="L13" i="52" s="1"/>
  <c r="G12" i="52"/>
  <c r="H12" i="52" s="1"/>
  <c r="L12" i="52" s="1"/>
  <c r="G11" i="52"/>
  <c r="H11" i="52" s="1"/>
  <c r="L11" i="52" s="1"/>
  <c r="G10" i="52"/>
  <c r="H10" i="52" s="1"/>
  <c r="L10" i="52" s="1"/>
  <c r="G9" i="52"/>
  <c r="H9" i="52" s="1"/>
  <c r="L9" i="52" s="1"/>
  <c r="G8" i="52"/>
  <c r="H8" i="52" s="1"/>
  <c r="L8" i="52" s="1"/>
  <c r="G7" i="52"/>
  <c r="H7" i="52" s="1"/>
  <c r="L7" i="52" s="1"/>
  <c r="G6" i="52"/>
  <c r="H6" i="52" s="1"/>
  <c r="L6" i="52" s="1"/>
  <c r="G5" i="52"/>
  <c r="G11" i="49"/>
  <c r="H11" i="49" s="1"/>
  <c r="G11" i="39"/>
  <c r="H11" i="39" s="1"/>
  <c r="F31" i="50"/>
  <c r="H31" i="50" s="1"/>
  <c r="H32" i="50" s="1"/>
  <c r="H34" i="50" s="1"/>
  <c r="G9" i="49"/>
  <c r="H9" i="49" s="1"/>
  <c r="G8" i="49"/>
  <c r="H8" i="49" s="1"/>
  <c r="G7" i="49"/>
  <c r="H7" i="49" s="1"/>
  <c r="G6" i="49"/>
  <c r="H6" i="49" s="1"/>
  <c r="G5" i="49"/>
  <c r="H5" i="49" s="1"/>
  <c r="N57" i="52" l="1"/>
  <c r="H5" i="52"/>
  <c r="L5" i="52" s="1"/>
  <c r="F67" i="52"/>
  <c r="O58" i="52"/>
  <c r="V62" i="52" s="1"/>
  <c r="T25" i="2"/>
  <c r="F105" i="46" l="1"/>
  <c r="F90" i="45"/>
  <c r="C82" i="20" l="1"/>
  <c r="G90" i="48" l="1"/>
  <c r="H90" i="48" s="1"/>
  <c r="G84" i="48"/>
  <c r="H84" i="48" s="1"/>
  <c r="G83" i="48"/>
  <c r="H83" i="48" s="1"/>
  <c r="G82" i="48"/>
  <c r="H82" i="48" s="1"/>
  <c r="G81" i="48"/>
  <c r="H81" i="48" s="1"/>
  <c r="G80" i="48"/>
  <c r="H80" i="48" s="1"/>
  <c r="G79" i="48"/>
  <c r="H79" i="48" s="1"/>
  <c r="G78" i="48"/>
  <c r="H78" i="48" s="1"/>
  <c r="G77" i="48"/>
  <c r="H77" i="48" s="1"/>
  <c r="G76" i="48"/>
  <c r="H76" i="48" s="1"/>
  <c r="G75" i="48"/>
  <c r="H75" i="48" s="1"/>
  <c r="G74" i="48"/>
  <c r="H74" i="48" s="1"/>
  <c r="G73" i="48"/>
  <c r="H73" i="48" s="1"/>
  <c r="G72" i="48"/>
  <c r="H72" i="48" s="1"/>
  <c r="G71" i="48"/>
  <c r="H71" i="48" s="1"/>
  <c r="G70" i="48"/>
  <c r="H70" i="48" s="1"/>
  <c r="G69" i="48"/>
  <c r="H69" i="48" s="1"/>
  <c r="G68" i="48"/>
  <c r="H68" i="48" s="1"/>
  <c r="G67" i="48"/>
  <c r="H67" i="48" s="1"/>
  <c r="G66" i="48"/>
  <c r="H66" i="48" s="1"/>
  <c r="G65" i="48"/>
  <c r="H65" i="48" s="1"/>
  <c r="G64" i="48"/>
  <c r="H64" i="48" s="1"/>
  <c r="G63" i="48"/>
  <c r="H63" i="48" s="1"/>
  <c r="G62" i="48"/>
  <c r="H62" i="48" s="1"/>
  <c r="G61" i="48"/>
  <c r="H61" i="48" s="1"/>
  <c r="G60" i="48"/>
  <c r="H60" i="48" s="1"/>
  <c r="G59" i="48"/>
  <c r="H59" i="48" s="1"/>
  <c r="G58" i="48"/>
  <c r="H58" i="48" s="1"/>
  <c r="G57" i="48"/>
  <c r="H57" i="48" s="1"/>
  <c r="G56" i="48"/>
  <c r="H56" i="48" s="1"/>
  <c r="G55" i="48"/>
  <c r="H55" i="48" s="1"/>
  <c r="G54" i="48"/>
  <c r="H54" i="48" s="1"/>
  <c r="G53" i="48"/>
  <c r="H53" i="48" s="1"/>
  <c r="G52" i="48"/>
  <c r="H52" i="48" s="1"/>
  <c r="G51" i="48"/>
  <c r="H51" i="48" s="1"/>
  <c r="G50" i="48"/>
  <c r="H50" i="48" s="1"/>
  <c r="G49" i="48"/>
  <c r="H49" i="48" s="1"/>
  <c r="G48" i="48"/>
  <c r="H48" i="48" s="1"/>
  <c r="G47" i="48"/>
  <c r="H47" i="48" s="1"/>
  <c r="G46" i="48"/>
  <c r="H46" i="48" s="1"/>
  <c r="G45" i="48"/>
  <c r="H45" i="48" s="1"/>
  <c r="G44" i="48"/>
  <c r="H44" i="48" s="1"/>
  <c r="G43" i="48"/>
  <c r="H43" i="48" s="1"/>
  <c r="G42" i="48"/>
  <c r="H42" i="48" s="1"/>
  <c r="G41" i="48"/>
  <c r="H41" i="48" s="1"/>
  <c r="G40" i="48"/>
  <c r="H40" i="48" s="1"/>
  <c r="G39" i="48"/>
  <c r="H39" i="48" s="1"/>
  <c r="G38" i="48"/>
  <c r="H38" i="48" s="1"/>
  <c r="G37" i="48"/>
  <c r="H37" i="48" s="1"/>
  <c r="G36" i="48"/>
  <c r="H36" i="48" s="1"/>
  <c r="G35" i="48"/>
  <c r="H35" i="48" s="1"/>
  <c r="G34" i="48"/>
  <c r="H34" i="48" s="1"/>
  <c r="G33" i="48"/>
  <c r="H33" i="48" s="1"/>
  <c r="G32" i="48"/>
  <c r="H32" i="48" s="1"/>
  <c r="G31" i="48"/>
  <c r="H31" i="48" s="1"/>
  <c r="G30" i="48"/>
  <c r="H30" i="48" s="1"/>
  <c r="G29" i="48"/>
  <c r="H29" i="48" s="1"/>
  <c r="G28" i="48"/>
  <c r="H28" i="48" s="1"/>
  <c r="G27" i="48"/>
  <c r="H27" i="48" s="1"/>
  <c r="G26" i="48"/>
  <c r="H26" i="48" s="1"/>
  <c r="G25" i="48"/>
  <c r="H25" i="48" s="1"/>
  <c r="G24" i="48"/>
  <c r="H24" i="48" s="1"/>
  <c r="G23" i="48"/>
  <c r="H23" i="48" s="1"/>
  <c r="G22" i="48"/>
  <c r="H22" i="48" s="1"/>
  <c r="G21" i="48"/>
  <c r="H21" i="48" s="1"/>
  <c r="G20" i="48"/>
  <c r="H20" i="48" s="1"/>
  <c r="G19" i="48"/>
  <c r="H19" i="48" s="1"/>
  <c r="G18" i="48"/>
  <c r="H18" i="48" s="1"/>
  <c r="G17" i="48"/>
  <c r="H17" i="48" s="1"/>
  <c r="G16" i="48"/>
  <c r="H16" i="48" s="1"/>
  <c r="G15" i="48"/>
  <c r="H15" i="48" s="1"/>
  <c r="G14" i="48"/>
  <c r="H14" i="48" s="1"/>
  <c r="G13" i="48"/>
  <c r="H13" i="48" s="1"/>
  <c r="G12" i="48"/>
  <c r="H12" i="48" s="1"/>
  <c r="G11" i="48"/>
  <c r="H11" i="48" s="1"/>
  <c r="G10" i="48"/>
  <c r="H10" i="48" s="1"/>
  <c r="G9" i="48"/>
  <c r="H9" i="48" s="1"/>
  <c r="F80" i="47"/>
  <c r="F81" i="47" s="1"/>
  <c r="H81" i="47" s="1"/>
  <c r="H82" i="47" s="1"/>
  <c r="H85" i="47" s="1"/>
  <c r="G79" i="47"/>
  <c r="H79" i="47" s="1"/>
  <c r="L79" i="47" s="1"/>
  <c r="G78" i="47"/>
  <c r="H78" i="47" s="1"/>
  <c r="L78" i="47" s="1"/>
  <c r="G77" i="47"/>
  <c r="H77" i="47" s="1"/>
  <c r="L77" i="47" s="1"/>
  <c r="G76" i="47"/>
  <c r="H76" i="47" s="1"/>
  <c r="L76" i="47" s="1"/>
  <c r="G75" i="47"/>
  <c r="H75" i="47" s="1"/>
  <c r="L75" i="47" s="1"/>
  <c r="G74" i="47"/>
  <c r="H74" i="47" s="1"/>
  <c r="L74" i="47" s="1"/>
  <c r="G73" i="47"/>
  <c r="H73" i="47" s="1"/>
  <c r="G72" i="47"/>
  <c r="H72" i="47" s="1"/>
  <c r="G71" i="47"/>
  <c r="H71" i="47" s="1"/>
  <c r="G70" i="47"/>
  <c r="H70" i="47" s="1"/>
  <c r="G69" i="47"/>
  <c r="H69" i="47" s="1"/>
  <c r="G68" i="47"/>
  <c r="H68" i="47" s="1"/>
  <c r="G67" i="47"/>
  <c r="H67" i="47" s="1"/>
  <c r="G66" i="47"/>
  <c r="H66" i="47" s="1"/>
  <c r="G65" i="47"/>
  <c r="H65" i="47" s="1"/>
  <c r="G64" i="47"/>
  <c r="H64" i="47" s="1"/>
  <c r="G63" i="47"/>
  <c r="H63" i="47" s="1"/>
  <c r="G62" i="47"/>
  <c r="H62" i="47" s="1"/>
  <c r="G61" i="47"/>
  <c r="H61" i="47" s="1"/>
  <c r="G60" i="47"/>
  <c r="H60" i="47" s="1"/>
  <c r="G59" i="47"/>
  <c r="H59" i="47" s="1"/>
  <c r="G58" i="47"/>
  <c r="H58" i="47" s="1"/>
  <c r="G57" i="47"/>
  <c r="H57" i="47" s="1"/>
  <c r="G56" i="47"/>
  <c r="H56" i="47" s="1"/>
  <c r="G55" i="47"/>
  <c r="H55" i="47" s="1"/>
  <c r="G54" i="47"/>
  <c r="H54" i="47" s="1"/>
  <c r="G53" i="47"/>
  <c r="H53" i="47" s="1"/>
  <c r="L53" i="47" s="1"/>
  <c r="G52" i="47"/>
  <c r="H52" i="47" s="1"/>
  <c r="L52" i="47" s="1"/>
  <c r="G51" i="47"/>
  <c r="H51" i="47" s="1"/>
  <c r="L51" i="47" s="1"/>
  <c r="G50" i="47"/>
  <c r="H50" i="47" s="1"/>
  <c r="L50" i="47" s="1"/>
  <c r="G49" i="47"/>
  <c r="H49" i="47" s="1"/>
  <c r="L49" i="47" s="1"/>
  <c r="G48" i="47"/>
  <c r="H48" i="47" s="1"/>
  <c r="G47" i="47"/>
  <c r="H47" i="47" s="1"/>
  <c r="G46" i="47"/>
  <c r="H46" i="47" s="1"/>
  <c r="G45" i="47"/>
  <c r="H45" i="47" s="1"/>
  <c r="G44" i="47"/>
  <c r="H44" i="47" s="1"/>
  <c r="G43" i="47"/>
  <c r="H43" i="47" s="1"/>
  <c r="G42" i="47"/>
  <c r="H42" i="47" s="1"/>
  <c r="G41" i="47"/>
  <c r="H41" i="47" s="1"/>
  <c r="G40" i="47"/>
  <c r="H40" i="47" s="1"/>
  <c r="G39" i="47"/>
  <c r="H39" i="47" s="1"/>
  <c r="G38" i="47"/>
  <c r="H38" i="47" s="1"/>
  <c r="G37" i="47"/>
  <c r="H37" i="47" s="1"/>
  <c r="G36" i="47"/>
  <c r="H36" i="47" s="1"/>
  <c r="G35" i="47"/>
  <c r="H35" i="47" s="1"/>
  <c r="G34" i="47"/>
  <c r="H34" i="47" s="1"/>
  <c r="G33" i="47"/>
  <c r="H33" i="47" s="1"/>
  <c r="G32" i="47"/>
  <c r="H32" i="47" s="1"/>
  <c r="G31" i="47"/>
  <c r="H31" i="47" s="1"/>
  <c r="G30" i="47"/>
  <c r="H30" i="47" s="1"/>
  <c r="G29" i="47"/>
  <c r="H29" i="47" s="1"/>
  <c r="G28" i="47"/>
  <c r="H28" i="47" s="1"/>
  <c r="L28" i="47" s="1"/>
  <c r="G27" i="47"/>
  <c r="H27" i="47" s="1"/>
  <c r="L27" i="47" s="1"/>
  <c r="G26" i="47"/>
  <c r="H26" i="47" s="1"/>
  <c r="L26" i="47" s="1"/>
  <c r="G25" i="47"/>
  <c r="H25" i="47" s="1"/>
  <c r="L25" i="47" s="1"/>
  <c r="G24" i="47"/>
  <c r="H24" i="47" s="1"/>
  <c r="G23" i="47"/>
  <c r="H23" i="47" s="1"/>
  <c r="G22" i="47"/>
  <c r="H22" i="47" s="1"/>
  <c r="G21" i="47"/>
  <c r="H21" i="47" s="1"/>
  <c r="G20" i="47"/>
  <c r="H20" i="47" s="1"/>
  <c r="G19" i="47"/>
  <c r="H19" i="47" s="1"/>
  <c r="G18" i="47"/>
  <c r="H18" i="47" s="1"/>
  <c r="G17" i="47"/>
  <c r="H17" i="47" s="1"/>
  <c r="G16" i="47"/>
  <c r="H16" i="47" s="1"/>
  <c r="G15" i="47"/>
  <c r="H15" i="47" s="1"/>
  <c r="G14" i="47"/>
  <c r="H14" i="47" s="1"/>
  <c r="G13" i="47"/>
  <c r="H13" i="47" s="1"/>
  <c r="G12" i="47"/>
  <c r="H12" i="47" s="1"/>
  <c r="G11" i="47"/>
  <c r="H11" i="47" s="1"/>
  <c r="G10" i="47"/>
  <c r="H10" i="47" s="1"/>
  <c r="G9" i="47"/>
  <c r="H9" i="47" s="1"/>
  <c r="G8" i="47"/>
  <c r="H8" i="47" s="1"/>
  <c r="G7" i="47"/>
  <c r="H7" i="47" s="1"/>
  <c r="G6" i="47"/>
  <c r="H6" i="47" s="1"/>
  <c r="G5" i="47"/>
  <c r="F95" i="46"/>
  <c r="F96" i="46" s="1"/>
  <c r="H96" i="46" s="1"/>
  <c r="H97" i="46" s="1"/>
  <c r="H100" i="46" s="1"/>
  <c r="G94" i="46"/>
  <c r="H94" i="46" s="1"/>
  <c r="G93" i="46"/>
  <c r="H93" i="46" s="1"/>
  <c r="G92" i="46"/>
  <c r="H92" i="46" s="1"/>
  <c r="G91" i="46"/>
  <c r="H91" i="46" s="1"/>
  <c r="G90" i="46"/>
  <c r="H90" i="46" s="1"/>
  <c r="G89" i="46"/>
  <c r="H89" i="46" s="1"/>
  <c r="G88" i="46"/>
  <c r="H88" i="46" s="1"/>
  <c r="G87" i="46"/>
  <c r="H87" i="46" s="1"/>
  <c r="G86" i="46"/>
  <c r="H86" i="46" s="1"/>
  <c r="G85" i="46"/>
  <c r="H85" i="46" s="1"/>
  <c r="G84" i="46"/>
  <c r="H84" i="46" s="1"/>
  <c r="G83" i="46"/>
  <c r="H83" i="46" s="1"/>
  <c r="G82" i="46"/>
  <c r="H82" i="46" s="1"/>
  <c r="G81" i="46"/>
  <c r="H81" i="46" s="1"/>
  <c r="G80" i="46"/>
  <c r="H80" i="46" s="1"/>
  <c r="G79" i="46"/>
  <c r="H79" i="46" s="1"/>
  <c r="G78" i="46"/>
  <c r="H78" i="46" s="1"/>
  <c r="G77" i="46"/>
  <c r="H77" i="46" s="1"/>
  <c r="G76" i="46"/>
  <c r="H76" i="46" s="1"/>
  <c r="G75" i="46"/>
  <c r="H75" i="46" s="1"/>
  <c r="G74" i="46"/>
  <c r="H74" i="46" s="1"/>
  <c r="G73" i="46"/>
  <c r="H73" i="46" s="1"/>
  <c r="G72" i="46"/>
  <c r="H72" i="46" s="1"/>
  <c r="G71" i="46"/>
  <c r="H71" i="46" s="1"/>
  <c r="G70" i="46"/>
  <c r="H70" i="46" s="1"/>
  <c r="G69" i="46"/>
  <c r="H69" i="46" s="1"/>
  <c r="G68" i="46"/>
  <c r="H68" i="46" s="1"/>
  <c r="G67" i="46"/>
  <c r="H67" i="46" s="1"/>
  <c r="G66" i="46"/>
  <c r="H66" i="46" s="1"/>
  <c r="G65" i="46"/>
  <c r="H65" i="46" s="1"/>
  <c r="G64" i="46"/>
  <c r="H64" i="46" s="1"/>
  <c r="G63" i="46"/>
  <c r="H63" i="46" s="1"/>
  <c r="G62" i="46"/>
  <c r="H62" i="46" s="1"/>
  <c r="G61" i="46"/>
  <c r="H61" i="46" s="1"/>
  <c r="G60" i="46"/>
  <c r="H60" i="46" s="1"/>
  <c r="G59" i="46"/>
  <c r="H59" i="46" s="1"/>
  <c r="G58" i="46"/>
  <c r="H58" i="46" s="1"/>
  <c r="G57" i="46"/>
  <c r="H57" i="46" s="1"/>
  <c r="G56" i="46"/>
  <c r="H56" i="46" s="1"/>
  <c r="G55" i="46"/>
  <c r="H55" i="46" s="1"/>
  <c r="G54" i="46"/>
  <c r="H54" i="46" s="1"/>
  <c r="G53" i="46"/>
  <c r="H53" i="46" s="1"/>
  <c r="G52" i="46"/>
  <c r="H52" i="46" s="1"/>
  <c r="G51" i="46"/>
  <c r="H51" i="46" s="1"/>
  <c r="G50" i="46"/>
  <c r="H50" i="46" s="1"/>
  <c r="G49" i="46"/>
  <c r="H49" i="46" s="1"/>
  <c r="G48" i="46"/>
  <c r="H48" i="46" s="1"/>
  <c r="G47" i="46"/>
  <c r="H47" i="46" s="1"/>
  <c r="G46" i="46"/>
  <c r="H46" i="46" s="1"/>
  <c r="G45" i="46"/>
  <c r="H45" i="46" s="1"/>
  <c r="G44" i="46"/>
  <c r="H44" i="46" s="1"/>
  <c r="G43" i="46"/>
  <c r="H43" i="46" s="1"/>
  <c r="G42" i="46"/>
  <c r="H42" i="46" s="1"/>
  <c r="G41" i="46"/>
  <c r="H41" i="46" s="1"/>
  <c r="G40" i="46"/>
  <c r="H40" i="46" s="1"/>
  <c r="G39" i="46"/>
  <c r="H39" i="46" s="1"/>
  <c r="G38" i="46"/>
  <c r="H38" i="46" s="1"/>
  <c r="G37" i="46"/>
  <c r="H37" i="46" s="1"/>
  <c r="G36" i="46"/>
  <c r="H36" i="46" s="1"/>
  <c r="G35" i="46"/>
  <c r="H35" i="46" s="1"/>
  <c r="G34" i="46"/>
  <c r="H34" i="46" s="1"/>
  <c r="G33" i="46"/>
  <c r="H33" i="46" s="1"/>
  <c r="G32" i="46"/>
  <c r="H32" i="46" s="1"/>
  <c r="G31" i="46"/>
  <c r="H31" i="46" s="1"/>
  <c r="G30" i="46"/>
  <c r="H30" i="46" s="1"/>
  <c r="G29" i="46"/>
  <c r="H29" i="46" s="1"/>
  <c r="G28" i="46"/>
  <c r="H28" i="46" s="1"/>
  <c r="G27" i="46"/>
  <c r="H27" i="46" s="1"/>
  <c r="G26" i="46"/>
  <c r="H26" i="46" s="1"/>
  <c r="G25" i="46"/>
  <c r="H25" i="46" s="1"/>
  <c r="G24" i="46"/>
  <c r="H24" i="46" s="1"/>
  <c r="G23" i="46"/>
  <c r="H23" i="46" s="1"/>
  <c r="G22" i="46"/>
  <c r="H22" i="46" s="1"/>
  <c r="G21" i="46"/>
  <c r="H21" i="46" s="1"/>
  <c r="G20" i="46"/>
  <c r="H20" i="46" s="1"/>
  <c r="G19" i="46"/>
  <c r="H19" i="46" s="1"/>
  <c r="G18" i="46"/>
  <c r="H18" i="46" s="1"/>
  <c r="G17" i="46"/>
  <c r="H17" i="46" s="1"/>
  <c r="G16" i="46"/>
  <c r="H16" i="46" s="1"/>
  <c r="G15" i="46"/>
  <c r="H15" i="46" s="1"/>
  <c r="G14" i="46"/>
  <c r="H14" i="46" s="1"/>
  <c r="G13" i="46"/>
  <c r="H13" i="46" s="1"/>
  <c r="G12" i="46"/>
  <c r="H12" i="46" s="1"/>
  <c r="G11" i="46"/>
  <c r="H11" i="46" s="1"/>
  <c r="G10" i="46"/>
  <c r="H10" i="46" s="1"/>
  <c r="G9" i="46"/>
  <c r="H9" i="46" s="1"/>
  <c r="G8" i="46"/>
  <c r="H8" i="46" s="1"/>
  <c r="G7" i="46"/>
  <c r="H7" i="46" s="1"/>
  <c r="G6" i="46"/>
  <c r="H6" i="46" s="1"/>
  <c r="G5" i="46"/>
  <c r="G6" i="45"/>
  <c r="H6" i="45" s="1"/>
  <c r="F79" i="45"/>
  <c r="F80" i="45" s="1"/>
  <c r="G78" i="45"/>
  <c r="H78" i="45" s="1"/>
  <c r="G77" i="45"/>
  <c r="H77" i="45" s="1"/>
  <c r="G76" i="45"/>
  <c r="H76" i="45" s="1"/>
  <c r="G75" i="45"/>
  <c r="H75" i="45" s="1"/>
  <c r="G74" i="45"/>
  <c r="H74" i="45" s="1"/>
  <c r="G73" i="45"/>
  <c r="H73" i="45" s="1"/>
  <c r="G72" i="45"/>
  <c r="H72" i="45" s="1"/>
  <c r="G71" i="45"/>
  <c r="H71" i="45" s="1"/>
  <c r="G70" i="45"/>
  <c r="H70" i="45" s="1"/>
  <c r="G69" i="45"/>
  <c r="H69" i="45" s="1"/>
  <c r="G68" i="45"/>
  <c r="H68" i="45" s="1"/>
  <c r="G67" i="45"/>
  <c r="H67" i="45" s="1"/>
  <c r="G66" i="45"/>
  <c r="H66" i="45" s="1"/>
  <c r="G65" i="45"/>
  <c r="H65" i="45" s="1"/>
  <c r="G64" i="45"/>
  <c r="H64" i="45" s="1"/>
  <c r="G63" i="45"/>
  <c r="H63" i="45" s="1"/>
  <c r="G62" i="45"/>
  <c r="H62" i="45" s="1"/>
  <c r="G61" i="45"/>
  <c r="H61" i="45" s="1"/>
  <c r="G60" i="45"/>
  <c r="H60" i="45" s="1"/>
  <c r="G59" i="45"/>
  <c r="H59" i="45" s="1"/>
  <c r="G58" i="45"/>
  <c r="H58" i="45" s="1"/>
  <c r="G57" i="45"/>
  <c r="H57" i="45" s="1"/>
  <c r="G56" i="45"/>
  <c r="H56" i="45" s="1"/>
  <c r="G55" i="45"/>
  <c r="H55" i="45" s="1"/>
  <c r="G54" i="45"/>
  <c r="H54" i="45" s="1"/>
  <c r="G53" i="45"/>
  <c r="H53" i="45" s="1"/>
  <c r="G52" i="45"/>
  <c r="H52" i="45" s="1"/>
  <c r="G51" i="45"/>
  <c r="H51" i="45" s="1"/>
  <c r="G50" i="45"/>
  <c r="H50" i="45" s="1"/>
  <c r="G49" i="45"/>
  <c r="H49" i="45" s="1"/>
  <c r="G48" i="45"/>
  <c r="H48" i="45" s="1"/>
  <c r="G47" i="45"/>
  <c r="H47" i="45" s="1"/>
  <c r="G46" i="45"/>
  <c r="H46" i="45" s="1"/>
  <c r="G45" i="45"/>
  <c r="H45" i="45" s="1"/>
  <c r="G44" i="45"/>
  <c r="H44" i="45" s="1"/>
  <c r="G43" i="45"/>
  <c r="H43" i="45" s="1"/>
  <c r="G42" i="45"/>
  <c r="H42" i="45" s="1"/>
  <c r="G41" i="45"/>
  <c r="H41" i="45" s="1"/>
  <c r="G40" i="45"/>
  <c r="H40" i="45" s="1"/>
  <c r="G39" i="45"/>
  <c r="H39" i="45" s="1"/>
  <c r="G38" i="45"/>
  <c r="H38" i="45" s="1"/>
  <c r="G37" i="45"/>
  <c r="H37" i="45" s="1"/>
  <c r="G36" i="45"/>
  <c r="H36" i="45" s="1"/>
  <c r="G35" i="45"/>
  <c r="H35" i="45" s="1"/>
  <c r="G34" i="45"/>
  <c r="H34" i="45" s="1"/>
  <c r="G33" i="45"/>
  <c r="H33" i="45" s="1"/>
  <c r="G32" i="45"/>
  <c r="H32" i="45" s="1"/>
  <c r="G31" i="45"/>
  <c r="H31" i="45" s="1"/>
  <c r="G30" i="45"/>
  <c r="H30" i="45" s="1"/>
  <c r="G29" i="45"/>
  <c r="H29" i="45" s="1"/>
  <c r="G28" i="45"/>
  <c r="H28" i="45" s="1"/>
  <c r="G27" i="45"/>
  <c r="H27" i="45" s="1"/>
  <c r="G26" i="45"/>
  <c r="H26" i="45" s="1"/>
  <c r="G25" i="45"/>
  <c r="H25" i="45" s="1"/>
  <c r="G24" i="45"/>
  <c r="H24" i="45" s="1"/>
  <c r="G23" i="45"/>
  <c r="H23" i="45" s="1"/>
  <c r="G22" i="45"/>
  <c r="H22" i="45" s="1"/>
  <c r="G21" i="45"/>
  <c r="H21" i="45" s="1"/>
  <c r="G20" i="45"/>
  <c r="H20" i="45" s="1"/>
  <c r="G19" i="45"/>
  <c r="H19" i="45" s="1"/>
  <c r="G18" i="45"/>
  <c r="H18" i="45" s="1"/>
  <c r="G17" i="45"/>
  <c r="H17" i="45" s="1"/>
  <c r="G16" i="45"/>
  <c r="H16" i="45" s="1"/>
  <c r="G15" i="45"/>
  <c r="H15" i="45" s="1"/>
  <c r="G14" i="45"/>
  <c r="H14" i="45" s="1"/>
  <c r="G13" i="45"/>
  <c r="H13" i="45" s="1"/>
  <c r="G12" i="45"/>
  <c r="H12" i="45" s="1"/>
  <c r="G11" i="45"/>
  <c r="H11" i="45" s="1"/>
  <c r="G10" i="45"/>
  <c r="H10" i="45" s="1"/>
  <c r="G9" i="45"/>
  <c r="H9" i="45" s="1"/>
  <c r="G8" i="45"/>
  <c r="H8" i="45" s="1"/>
  <c r="G7" i="45"/>
  <c r="H7" i="45" s="1"/>
  <c r="G5" i="45"/>
  <c r="H5" i="45" s="1"/>
  <c r="F22" i="44"/>
  <c r="F23" i="44" s="1"/>
  <c r="H23" i="44" s="1"/>
  <c r="H24" i="44" s="1"/>
  <c r="H26" i="44" s="1"/>
  <c r="G21" i="44"/>
  <c r="H21" i="44" s="1"/>
  <c r="L21" i="44" s="1"/>
  <c r="G20" i="44"/>
  <c r="H20" i="44" s="1"/>
  <c r="L20" i="44" s="1"/>
  <c r="G19" i="44"/>
  <c r="H19" i="44" s="1"/>
  <c r="L19" i="44" s="1"/>
  <c r="G18" i="44"/>
  <c r="H18" i="44" s="1"/>
  <c r="L18" i="44" s="1"/>
  <c r="G17" i="44"/>
  <c r="H17" i="44" s="1"/>
  <c r="L17" i="44" s="1"/>
  <c r="G16" i="44"/>
  <c r="H16" i="44" s="1"/>
  <c r="L16" i="44" s="1"/>
  <c r="G15" i="44"/>
  <c r="H15" i="44" s="1"/>
  <c r="L15" i="44" s="1"/>
  <c r="G14" i="44"/>
  <c r="H14" i="44" s="1"/>
  <c r="L14" i="44" s="1"/>
  <c r="G13" i="44"/>
  <c r="H13" i="44" s="1"/>
  <c r="L13" i="44" s="1"/>
  <c r="G12" i="44"/>
  <c r="H12" i="44" s="1"/>
  <c r="L12" i="44" s="1"/>
  <c r="G11" i="44"/>
  <c r="H11" i="44" s="1"/>
  <c r="L11" i="44" s="1"/>
  <c r="G10" i="44"/>
  <c r="H10" i="44" s="1"/>
  <c r="G9" i="44"/>
  <c r="H9" i="44" s="1"/>
  <c r="G8" i="44"/>
  <c r="H8" i="44" s="1"/>
  <c r="G7" i="44"/>
  <c r="H7" i="44" s="1"/>
  <c r="G6" i="44"/>
  <c r="H6" i="44" s="1"/>
  <c r="G5" i="44"/>
  <c r="G25" i="41"/>
  <c r="H25" i="41" s="1"/>
  <c r="G30" i="41"/>
  <c r="H30" i="41" s="1"/>
  <c r="G95" i="46" l="1"/>
  <c r="H86" i="48"/>
  <c r="G85" i="48"/>
  <c r="G80" i="47"/>
  <c r="H5" i="47"/>
  <c r="F88" i="47" s="1"/>
  <c r="H5" i="46"/>
  <c r="F103" i="46" s="1"/>
  <c r="G79" i="45"/>
  <c r="F86" i="45"/>
  <c r="H80" i="45"/>
  <c r="H81" i="45" s="1"/>
  <c r="H84" i="45" s="1"/>
  <c r="G22" i="44"/>
  <c r="H5" i="44"/>
  <c r="F30" i="44" s="1"/>
  <c r="E97" i="48" l="1"/>
  <c r="H89" i="48"/>
  <c r="H92" i="48" l="1"/>
  <c r="G1" i="48"/>
  <c r="F43" i="17" l="1"/>
  <c r="F44" i="17" s="1"/>
  <c r="H44" i="17" s="1"/>
  <c r="H46" i="17" s="1"/>
  <c r="F39" i="43" l="1"/>
  <c r="H39" i="43" s="1"/>
  <c r="H40" i="43" s="1"/>
  <c r="H42" i="43" s="1"/>
  <c r="G38" i="43"/>
  <c r="H38" i="43" s="1"/>
  <c r="G37" i="43"/>
  <c r="H37" i="43" s="1"/>
  <c r="G36" i="43"/>
  <c r="H36" i="43" s="1"/>
  <c r="G35" i="43"/>
  <c r="H35" i="43" s="1"/>
  <c r="G34" i="43"/>
  <c r="H34" i="43" s="1"/>
  <c r="G33" i="43"/>
  <c r="H33" i="43" s="1"/>
  <c r="G32" i="43"/>
  <c r="H32" i="43" s="1"/>
  <c r="G31" i="43"/>
  <c r="H31" i="43" s="1"/>
  <c r="G30" i="43"/>
  <c r="H30" i="43" s="1"/>
  <c r="G29" i="43"/>
  <c r="H29" i="43" s="1"/>
  <c r="G28" i="43"/>
  <c r="H28" i="43" s="1"/>
  <c r="G27" i="43"/>
  <c r="H27" i="43" s="1"/>
  <c r="G26" i="43"/>
  <c r="H26" i="43" s="1"/>
  <c r="G25" i="43"/>
  <c r="H25" i="43" s="1"/>
  <c r="G24" i="43"/>
  <c r="H24" i="43" s="1"/>
  <c r="G23" i="43"/>
  <c r="H23" i="43" s="1"/>
  <c r="G22" i="43"/>
  <c r="H22" i="43" s="1"/>
  <c r="G21" i="43"/>
  <c r="H21" i="43" s="1"/>
  <c r="G20" i="43"/>
  <c r="H20" i="43" s="1"/>
  <c r="G19" i="43"/>
  <c r="H19" i="43" s="1"/>
  <c r="G18" i="43"/>
  <c r="H18" i="43" s="1"/>
  <c r="G17" i="43"/>
  <c r="H17" i="43" s="1"/>
  <c r="G16" i="43"/>
  <c r="H16" i="43" s="1"/>
  <c r="G15" i="43"/>
  <c r="H15" i="43" s="1"/>
  <c r="G14" i="43"/>
  <c r="H14" i="43" s="1"/>
  <c r="G13" i="43"/>
  <c r="H13" i="43" s="1"/>
  <c r="G12" i="43"/>
  <c r="H12" i="43" s="1"/>
  <c r="G11" i="43"/>
  <c r="H11" i="43" s="1"/>
  <c r="G10" i="43"/>
  <c r="H10" i="43" s="1"/>
  <c r="G9" i="43"/>
  <c r="H9" i="43" s="1"/>
  <c r="G8" i="43"/>
  <c r="H8" i="43" s="1"/>
  <c r="G7" i="43"/>
  <c r="H7" i="43" s="1"/>
  <c r="G6" i="43"/>
  <c r="H6" i="43" s="1"/>
  <c r="G5" i="43"/>
  <c r="H5" i="43" s="1"/>
  <c r="G4" i="43"/>
  <c r="H4" i="43" s="1"/>
  <c r="U83" i="20"/>
  <c r="X83" i="20"/>
  <c r="AC83" i="20"/>
  <c r="T19" i="2" l="1"/>
  <c r="C83" i="20"/>
  <c r="D83" i="20"/>
  <c r="E83" i="20"/>
  <c r="F83" i="20"/>
  <c r="G83" i="20"/>
  <c r="H83" i="20"/>
  <c r="I83" i="20"/>
  <c r="J83" i="20"/>
  <c r="K83" i="20"/>
  <c r="L83" i="20"/>
  <c r="M83" i="20"/>
  <c r="N83" i="20"/>
  <c r="O83" i="20"/>
  <c r="P83" i="20"/>
  <c r="Q83" i="20"/>
  <c r="R83" i="20"/>
  <c r="S83" i="20"/>
  <c r="T83" i="20"/>
  <c r="V83" i="20"/>
  <c r="W83" i="20"/>
  <c r="Y83" i="20"/>
  <c r="Z83" i="20"/>
  <c r="AA83" i="20"/>
  <c r="AB83" i="20"/>
  <c r="AD83" i="20"/>
  <c r="AE83" i="20"/>
  <c r="AF83" i="20"/>
  <c r="AG83" i="20"/>
  <c r="AH83" i="20"/>
  <c r="AI83" i="20"/>
  <c r="AJ83" i="20"/>
  <c r="AK83" i="20"/>
  <c r="AL83" i="20"/>
  <c r="AM83" i="20"/>
  <c r="AN83" i="20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D41" i="20"/>
  <c r="K2" i="42" l="1"/>
  <c r="G15" i="42" l="1"/>
  <c r="H15" i="42" s="1"/>
  <c r="L15" i="42" s="1"/>
  <c r="G9" i="42"/>
  <c r="H9" i="42" s="1"/>
  <c r="F22" i="42"/>
  <c r="F23" i="42" s="1"/>
  <c r="H23" i="42" s="1"/>
  <c r="H24" i="42" s="1"/>
  <c r="H26" i="42" s="1"/>
  <c r="G21" i="42"/>
  <c r="H21" i="42" s="1"/>
  <c r="L21" i="42" s="1"/>
  <c r="G20" i="42"/>
  <c r="H20" i="42" s="1"/>
  <c r="L20" i="42" s="1"/>
  <c r="G19" i="42"/>
  <c r="H19" i="42" s="1"/>
  <c r="L19" i="42" s="1"/>
  <c r="G18" i="42"/>
  <c r="H18" i="42" s="1"/>
  <c r="L18" i="42" s="1"/>
  <c r="G17" i="42"/>
  <c r="H17" i="42" s="1"/>
  <c r="L17" i="42" s="1"/>
  <c r="G16" i="42"/>
  <c r="H16" i="42" s="1"/>
  <c r="L16" i="42" s="1"/>
  <c r="G14" i="42"/>
  <c r="H14" i="42" s="1"/>
  <c r="L14" i="42" s="1"/>
  <c r="G13" i="42"/>
  <c r="H13" i="42" s="1"/>
  <c r="L13" i="42" s="1"/>
  <c r="G12" i="42"/>
  <c r="H12" i="42" s="1"/>
  <c r="L12" i="42" s="1"/>
  <c r="G11" i="42"/>
  <c r="H11" i="42" s="1"/>
  <c r="L11" i="42" s="1"/>
  <c r="G10" i="42"/>
  <c r="H10" i="42" s="1"/>
  <c r="G8" i="42"/>
  <c r="H8" i="42" s="1"/>
  <c r="G7" i="42"/>
  <c r="H7" i="42" s="1"/>
  <c r="G6" i="42"/>
  <c r="H6" i="42" s="1"/>
  <c r="G5" i="42"/>
  <c r="H5" i="42" s="1"/>
  <c r="H22" i="42" l="1"/>
  <c r="G22" i="42"/>
  <c r="I2" i="41"/>
  <c r="G29" i="41"/>
  <c r="H29" i="41" s="1"/>
  <c r="G18" i="41"/>
  <c r="H18" i="41" s="1"/>
  <c r="G35" i="41"/>
  <c r="H35" i="41" s="1"/>
  <c r="G28" i="41"/>
  <c r="H28" i="41" s="1"/>
  <c r="G22" i="41"/>
  <c r="H22" i="41" s="1"/>
  <c r="F40" i="41"/>
  <c r="F41" i="41" l="1"/>
  <c r="H41" i="41" s="1"/>
  <c r="H42" i="41" s="1"/>
  <c r="H45" i="41" s="1"/>
  <c r="G39" i="41"/>
  <c r="H39" i="41" s="1"/>
  <c r="G38" i="41"/>
  <c r="H38" i="41" s="1"/>
  <c r="G37" i="41"/>
  <c r="H37" i="41" s="1"/>
  <c r="G36" i="41"/>
  <c r="H36" i="41" s="1"/>
  <c r="G34" i="41"/>
  <c r="H34" i="41" s="1"/>
  <c r="G33" i="41"/>
  <c r="H33" i="41" s="1"/>
  <c r="G32" i="41"/>
  <c r="H32" i="41" s="1"/>
  <c r="G31" i="41"/>
  <c r="H31" i="41" s="1"/>
  <c r="G27" i="41"/>
  <c r="H27" i="41" s="1"/>
  <c r="G26" i="41"/>
  <c r="H26" i="41" s="1"/>
  <c r="G24" i="41"/>
  <c r="H24" i="41" s="1"/>
  <c r="G23" i="41"/>
  <c r="H23" i="41" s="1"/>
  <c r="G21" i="41"/>
  <c r="H21" i="41" s="1"/>
  <c r="G20" i="41"/>
  <c r="H20" i="41" s="1"/>
  <c r="G19" i="41"/>
  <c r="H19" i="41" s="1"/>
  <c r="G17" i="41"/>
  <c r="H17" i="41" s="1"/>
  <c r="G16" i="41"/>
  <c r="H16" i="41" s="1"/>
  <c r="G15" i="41"/>
  <c r="H15" i="41" s="1"/>
  <c r="G14" i="41"/>
  <c r="H14" i="41" s="1"/>
  <c r="G13" i="41"/>
  <c r="H13" i="41" s="1"/>
  <c r="G12" i="41"/>
  <c r="H12" i="41" s="1"/>
  <c r="G11" i="41"/>
  <c r="H11" i="41" s="1"/>
  <c r="G10" i="41"/>
  <c r="H10" i="41" s="1"/>
  <c r="G9" i="41"/>
  <c r="H9" i="41" s="1"/>
  <c r="G8" i="41"/>
  <c r="H8" i="41" s="1"/>
  <c r="G7" i="41"/>
  <c r="H7" i="41" s="1"/>
  <c r="G6" i="41"/>
  <c r="H6" i="41" s="1"/>
  <c r="G5" i="41"/>
  <c r="H5" i="41" s="1"/>
  <c r="G2" i="14"/>
  <c r="G40" i="41" l="1"/>
  <c r="H40" i="41"/>
  <c r="T18" i="2"/>
  <c r="T23" i="2"/>
  <c r="T26" i="2"/>
  <c r="T24" i="2"/>
  <c r="T22" i="2"/>
  <c r="T27" i="2"/>
  <c r="T16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C11" i="20"/>
  <c r="D11" i="20"/>
  <c r="G9" i="39" l="1"/>
  <c r="H9" i="39" s="1"/>
  <c r="G15" i="40"/>
  <c r="H15" i="40" s="1"/>
  <c r="G13" i="40"/>
  <c r="H13" i="40" s="1"/>
  <c r="G11" i="40"/>
  <c r="H11" i="40" s="1"/>
  <c r="G9" i="40"/>
  <c r="H9" i="40" l="1"/>
  <c r="H18" i="40" s="1"/>
  <c r="H21" i="40" s="1"/>
  <c r="H22" i="40" s="1"/>
  <c r="G17" i="40"/>
  <c r="G1" i="40" l="1"/>
  <c r="AO83" i="20"/>
  <c r="AP83" i="20"/>
  <c r="G6" i="39" l="1"/>
  <c r="H6" i="39" s="1"/>
  <c r="G8" i="39"/>
  <c r="H8" i="39" s="1"/>
  <c r="G7" i="39"/>
  <c r="H7" i="39" s="1"/>
  <c r="G5" i="39"/>
  <c r="H5" i="39" s="1"/>
  <c r="G18" i="38" l="1"/>
  <c r="H18" i="38" s="1"/>
  <c r="G12" i="38"/>
  <c r="H12" i="38" s="1"/>
  <c r="G11" i="38"/>
  <c r="H11" i="38" s="1"/>
  <c r="G10" i="38"/>
  <c r="H10" i="38" s="1"/>
  <c r="G9" i="38"/>
  <c r="H9" i="38" s="1"/>
  <c r="G20" i="37"/>
  <c r="H20" i="37" s="1"/>
  <c r="G14" i="37"/>
  <c r="H14" i="37" s="1"/>
  <c r="G13" i="37"/>
  <c r="H13" i="37" s="1"/>
  <c r="G12" i="37"/>
  <c r="H12" i="37" s="1"/>
  <c r="G11" i="37"/>
  <c r="H11" i="37" s="1"/>
  <c r="G10" i="37"/>
  <c r="H10" i="37" s="1"/>
  <c r="G9" i="37"/>
  <c r="H9" i="37" s="1"/>
  <c r="G40" i="15"/>
  <c r="H40" i="15" s="1"/>
  <c r="G25" i="15"/>
  <c r="H25" i="15" s="1"/>
  <c r="H14" i="38" l="1"/>
  <c r="H17" i="38" s="1"/>
  <c r="G13" i="38"/>
  <c r="H16" i="37"/>
  <c r="H19" i="37" s="1"/>
  <c r="H22" i="37" s="1"/>
  <c r="G15" i="37"/>
  <c r="H20" i="38" l="1"/>
  <c r="G1" i="38"/>
  <c r="G1" i="37"/>
  <c r="F31" i="36" l="1"/>
  <c r="H31" i="36" s="1"/>
  <c r="H32" i="36" s="1"/>
  <c r="H34" i="36" s="1"/>
  <c r="G16" i="35" l="1"/>
  <c r="H16" i="35" s="1"/>
  <c r="G5" i="35"/>
  <c r="H5" i="35" s="1"/>
  <c r="G19" i="35"/>
  <c r="H19" i="35" s="1"/>
  <c r="G17" i="35"/>
  <c r="H17" i="35" s="1"/>
  <c r="G10" i="33" l="1"/>
  <c r="H10" i="33" s="1"/>
  <c r="G11" i="33"/>
  <c r="H11" i="33" s="1"/>
  <c r="G9" i="33"/>
  <c r="H9" i="33" s="1"/>
  <c r="G8" i="33"/>
  <c r="H8" i="33" s="1"/>
  <c r="G7" i="33"/>
  <c r="H7" i="33" s="1"/>
  <c r="G6" i="33"/>
  <c r="H6" i="33" s="1"/>
  <c r="G5" i="33"/>
  <c r="H5" i="33" s="1"/>
  <c r="E39" i="20" l="1"/>
  <c r="E38" i="20"/>
  <c r="G38" i="20" s="1"/>
  <c r="I38" i="20" s="1"/>
  <c r="K38" i="20" s="1"/>
  <c r="M38" i="20" s="1"/>
  <c r="O38" i="20" s="1"/>
  <c r="Q38" i="20" s="1"/>
  <c r="S38" i="20" s="1"/>
  <c r="U38" i="20" s="1"/>
  <c r="W38" i="20" s="1"/>
  <c r="Y38" i="20" s="1"/>
  <c r="AA38" i="20" s="1"/>
  <c r="AC38" i="20" s="1"/>
  <c r="AE38" i="20" s="1"/>
  <c r="AG38" i="20" s="1"/>
  <c r="AI38" i="20" s="1"/>
  <c r="AK38" i="20" s="1"/>
  <c r="AM38" i="20" s="1"/>
  <c r="AO38" i="20" s="1"/>
  <c r="E7" i="20"/>
  <c r="E6" i="20"/>
  <c r="B16" i="20"/>
  <c r="B17" i="20"/>
  <c r="B18" i="20"/>
  <c r="B19" i="20"/>
  <c r="B15" i="20"/>
  <c r="B89" i="20"/>
  <c r="B91" i="20"/>
  <c r="B92" i="20"/>
  <c r="B93" i="20"/>
  <c r="B94" i="20"/>
  <c r="B90" i="20"/>
  <c r="C12" i="20"/>
  <c r="E9" i="20"/>
  <c r="D12" i="20"/>
  <c r="E11" i="20"/>
  <c r="C9" i="20"/>
  <c r="D8" i="20"/>
  <c r="E8" i="20"/>
  <c r="C8" i="20"/>
  <c r="C10" i="20"/>
  <c r="D10" i="20"/>
  <c r="E12" i="20"/>
  <c r="C41" i="20"/>
  <c r="E10" i="20"/>
  <c r="D9" i="20"/>
  <c r="E41" i="20"/>
  <c r="F39" i="20" l="1"/>
  <c r="G6" i="20"/>
  <c r="I6" i="20" s="1"/>
  <c r="K6" i="20" s="1"/>
  <c r="M6" i="20" s="1"/>
  <c r="O6" i="20" s="1"/>
  <c r="Q6" i="20" s="1"/>
  <c r="S6" i="20" s="1"/>
  <c r="U6" i="20" s="1"/>
  <c r="W6" i="20" s="1"/>
  <c r="Y6" i="20" s="1"/>
  <c r="AA6" i="20" s="1"/>
  <c r="AC6" i="20" s="1"/>
  <c r="AE6" i="20" s="1"/>
  <c r="AG6" i="20" s="1"/>
  <c r="AI6" i="20" s="1"/>
  <c r="AK6" i="20" s="1"/>
  <c r="AM6" i="20" s="1"/>
  <c r="AO6" i="20" s="1"/>
  <c r="G7" i="20"/>
  <c r="F7" i="20"/>
  <c r="C15" i="20"/>
  <c r="C16" i="20"/>
  <c r="C17" i="20"/>
  <c r="C18" i="20"/>
  <c r="C19" i="20"/>
  <c r="D16" i="20"/>
  <c r="D17" i="20"/>
  <c r="D18" i="20"/>
  <c r="D19" i="20"/>
  <c r="D15" i="20"/>
  <c r="E15" i="20"/>
  <c r="E16" i="20"/>
  <c r="E17" i="20"/>
  <c r="E18" i="20"/>
  <c r="E19" i="20"/>
  <c r="G39" i="20"/>
  <c r="F12" i="20"/>
  <c r="G12" i="20"/>
  <c r="F11" i="20"/>
  <c r="G11" i="20"/>
  <c r="F10" i="20"/>
  <c r="F41" i="20"/>
  <c r="G41" i="20"/>
  <c r="F8" i="20"/>
  <c r="F9" i="20"/>
  <c r="G8" i="20"/>
  <c r="G10" i="20"/>
  <c r="G9" i="20"/>
  <c r="H7" i="20" l="1"/>
  <c r="I7" i="20"/>
  <c r="G17" i="20"/>
  <c r="G19" i="20"/>
  <c r="G18" i="20"/>
  <c r="G15" i="20"/>
  <c r="G16" i="20"/>
  <c r="F18" i="20"/>
  <c r="F15" i="20"/>
  <c r="F19" i="20"/>
  <c r="F17" i="20"/>
  <c r="F16" i="20"/>
  <c r="I39" i="20"/>
  <c r="H39" i="20"/>
  <c r="I10" i="20"/>
  <c r="H11" i="20"/>
  <c r="H8" i="20"/>
  <c r="I12" i="20"/>
  <c r="H9" i="20"/>
  <c r="I9" i="20"/>
  <c r="H41" i="20"/>
  <c r="H10" i="20"/>
  <c r="H12" i="20"/>
  <c r="I41" i="20"/>
  <c r="I8" i="20"/>
  <c r="I11" i="20"/>
  <c r="K7" i="20" l="1"/>
  <c r="J7" i="20"/>
  <c r="H18" i="20"/>
  <c r="H17" i="20"/>
  <c r="H15" i="20"/>
  <c r="H19" i="20"/>
  <c r="H16" i="20"/>
  <c r="I16" i="20"/>
  <c r="I19" i="20"/>
  <c r="I18" i="20"/>
  <c r="I17" i="20"/>
  <c r="I15" i="20"/>
  <c r="M7" i="20"/>
  <c r="L7" i="20"/>
  <c r="J39" i="20"/>
  <c r="K39" i="20"/>
  <c r="G91" i="32"/>
  <c r="H91" i="32" s="1"/>
  <c r="G90" i="32"/>
  <c r="H90" i="32" s="1"/>
  <c r="G89" i="32"/>
  <c r="H89" i="32" s="1"/>
  <c r="G88" i="32"/>
  <c r="H88" i="32" s="1"/>
  <c r="G87" i="32"/>
  <c r="H87" i="32" s="1"/>
  <c r="G86" i="32"/>
  <c r="H86" i="32" s="1"/>
  <c r="G85" i="32"/>
  <c r="H85" i="32" s="1"/>
  <c r="G84" i="32"/>
  <c r="H84" i="32" s="1"/>
  <c r="G83" i="32"/>
  <c r="H83" i="32" s="1"/>
  <c r="G82" i="32"/>
  <c r="H82" i="32" s="1"/>
  <c r="G81" i="32"/>
  <c r="H81" i="32" s="1"/>
  <c r="G80" i="32"/>
  <c r="H80" i="32" s="1"/>
  <c r="G79" i="32"/>
  <c r="H79" i="32" s="1"/>
  <c r="G78" i="32"/>
  <c r="H78" i="32" s="1"/>
  <c r="G77" i="32"/>
  <c r="H77" i="32" s="1"/>
  <c r="G76" i="32"/>
  <c r="H76" i="32" s="1"/>
  <c r="G75" i="32"/>
  <c r="H75" i="32" s="1"/>
  <c r="G74" i="32"/>
  <c r="H74" i="32" s="1"/>
  <c r="G73" i="32"/>
  <c r="H73" i="32" s="1"/>
  <c r="G72" i="32"/>
  <c r="H72" i="32" s="1"/>
  <c r="G71" i="32"/>
  <c r="H71" i="32" s="1"/>
  <c r="G70" i="32"/>
  <c r="H70" i="32" s="1"/>
  <c r="G69" i="32"/>
  <c r="H69" i="32" s="1"/>
  <c r="G68" i="32"/>
  <c r="H68" i="32" s="1"/>
  <c r="G67" i="32"/>
  <c r="H67" i="32" s="1"/>
  <c r="G66" i="32"/>
  <c r="H66" i="32" s="1"/>
  <c r="G65" i="32"/>
  <c r="H65" i="32" s="1"/>
  <c r="G64" i="32"/>
  <c r="H64" i="32" s="1"/>
  <c r="G61" i="32"/>
  <c r="H61" i="32" s="1"/>
  <c r="G60" i="32"/>
  <c r="H60" i="32" s="1"/>
  <c r="G59" i="32"/>
  <c r="H59" i="32" s="1"/>
  <c r="G63" i="32"/>
  <c r="H63" i="32" s="1"/>
  <c r="G62" i="32"/>
  <c r="H62" i="32" s="1"/>
  <c r="G58" i="32"/>
  <c r="H58" i="32" s="1"/>
  <c r="G57" i="32"/>
  <c r="H57" i="32" s="1"/>
  <c r="G56" i="32"/>
  <c r="H56" i="32" s="1"/>
  <c r="G55" i="32"/>
  <c r="H55" i="32" s="1"/>
  <c r="G54" i="32"/>
  <c r="H54" i="32" s="1"/>
  <c r="G53" i="32"/>
  <c r="H53" i="32" s="1"/>
  <c r="G52" i="32"/>
  <c r="H52" i="32" s="1"/>
  <c r="G51" i="32"/>
  <c r="H51" i="32" s="1"/>
  <c r="G50" i="32"/>
  <c r="H50" i="32" s="1"/>
  <c r="G49" i="32"/>
  <c r="H49" i="32" s="1"/>
  <c r="G48" i="32"/>
  <c r="H48" i="32" s="1"/>
  <c r="G47" i="32"/>
  <c r="H47" i="32" s="1"/>
  <c r="G46" i="32"/>
  <c r="H46" i="32" s="1"/>
  <c r="G45" i="32"/>
  <c r="H45" i="32" s="1"/>
  <c r="G44" i="32"/>
  <c r="H44" i="32" s="1"/>
  <c r="G43" i="32"/>
  <c r="H43" i="32" s="1"/>
  <c r="G42" i="32"/>
  <c r="H42" i="32" s="1"/>
  <c r="G41" i="32"/>
  <c r="H41" i="32" s="1"/>
  <c r="G40" i="32"/>
  <c r="H40" i="32" s="1"/>
  <c r="G39" i="32"/>
  <c r="H39" i="32" s="1"/>
  <c r="G38" i="32"/>
  <c r="H38" i="32" s="1"/>
  <c r="G37" i="32"/>
  <c r="H37" i="32" s="1"/>
  <c r="G36" i="32"/>
  <c r="H36" i="32" s="1"/>
  <c r="G35" i="32"/>
  <c r="H35" i="32" s="1"/>
  <c r="G34" i="32"/>
  <c r="H34" i="32" s="1"/>
  <c r="G33" i="32"/>
  <c r="H33" i="32" s="1"/>
  <c r="G28" i="32"/>
  <c r="H28" i="32" s="1"/>
  <c r="G27" i="32"/>
  <c r="H27" i="32" s="1"/>
  <c r="G26" i="32"/>
  <c r="H26" i="32" s="1"/>
  <c r="G25" i="32"/>
  <c r="H25" i="32" s="1"/>
  <c r="G24" i="32"/>
  <c r="H24" i="32" s="1"/>
  <c r="G5" i="32"/>
  <c r="H5" i="32" s="1"/>
  <c r="G6" i="32"/>
  <c r="H6" i="32" s="1"/>
  <c r="G7" i="32"/>
  <c r="H7" i="32" s="1"/>
  <c r="G8" i="32"/>
  <c r="H8" i="32" s="1"/>
  <c r="G9" i="32"/>
  <c r="H9" i="32" s="1"/>
  <c r="G10" i="32"/>
  <c r="H10" i="32" s="1"/>
  <c r="G11" i="32"/>
  <c r="H11" i="32" s="1"/>
  <c r="G12" i="32"/>
  <c r="H12" i="32" s="1"/>
  <c r="G13" i="32"/>
  <c r="H13" i="32" s="1"/>
  <c r="G14" i="32"/>
  <c r="H14" i="32" s="1"/>
  <c r="G15" i="32"/>
  <c r="H15" i="32" s="1"/>
  <c r="G16" i="32"/>
  <c r="H16" i="32" s="1"/>
  <c r="G17" i="32"/>
  <c r="H17" i="32" s="1"/>
  <c r="G18" i="32"/>
  <c r="H18" i="32" s="1"/>
  <c r="G19" i="32"/>
  <c r="H19" i="32" s="1"/>
  <c r="G20" i="32"/>
  <c r="H20" i="32" s="1"/>
  <c r="G21" i="32"/>
  <c r="H21" i="32" s="1"/>
  <c r="F95" i="32"/>
  <c r="F96" i="32" s="1"/>
  <c r="H96" i="32" s="1"/>
  <c r="H97" i="32" s="1"/>
  <c r="H100" i="32" s="1"/>
  <c r="G94" i="32"/>
  <c r="H94" i="32" s="1"/>
  <c r="G93" i="32"/>
  <c r="H93" i="32" s="1"/>
  <c r="G92" i="32"/>
  <c r="H92" i="32" s="1"/>
  <c r="G32" i="32"/>
  <c r="H32" i="32" s="1"/>
  <c r="G31" i="32"/>
  <c r="H31" i="32" s="1"/>
  <c r="G30" i="32"/>
  <c r="H30" i="32" s="1"/>
  <c r="G29" i="32"/>
  <c r="H29" i="32" s="1"/>
  <c r="G23" i="32"/>
  <c r="H23" i="32" s="1"/>
  <c r="G22" i="32"/>
  <c r="H22" i="32" s="1"/>
  <c r="G52" i="31"/>
  <c r="H52" i="31" s="1"/>
  <c r="L52" i="31" s="1"/>
  <c r="G58" i="31"/>
  <c r="H58" i="31" s="1"/>
  <c r="G33" i="31"/>
  <c r="H33" i="31" s="1"/>
  <c r="G9" i="31"/>
  <c r="H9" i="31" s="1"/>
  <c r="G69" i="31"/>
  <c r="H69" i="31" s="1"/>
  <c r="G44" i="31"/>
  <c r="H44" i="31" s="1"/>
  <c r="G20" i="31"/>
  <c r="H20" i="31" s="1"/>
  <c r="F80" i="31"/>
  <c r="F81" i="31" s="1"/>
  <c r="H81" i="31" s="1"/>
  <c r="H82" i="31" s="1"/>
  <c r="H85" i="31" s="1"/>
  <c r="G79" i="31"/>
  <c r="H79" i="31" s="1"/>
  <c r="L79" i="31" s="1"/>
  <c r="G78" i="31"/>
  <c r="H78" i="31" s="1"/>
  <c r="L78" i="31" s="1"/>
  <c r="G77" i="31"/>
  <c r="H77" i="31" s="1"/>
  <c r="L77" i="31" s="1"/>
  <c r="G76" i="31"/>
  <c r="H76" i="31" s="1"/>
  <c r="L76" i="31" s="1"/>
  <c r="G75" i="31"/>
  <c r="H75" i="31" s="1"/>
  <c r="L75" i="31" s="1"/>
  <c r="G74" i="31"/>
  <c r="H74" i="31" s="1"/>
  <c r="L74" i="31" s="1"/>
  <c r="G73" i="31"/>
  <c r="H73" i="31" s="1"/>
  <c r="G72" i="31"/>
  <c r="H72" i="31" s="1"/>
  <c r="G71" i="31"/>
  <c r="H71" i="31" s="1"/>
  <c r="G70" i="31"/>
  <c r="H70" i="31" s="1"/>
  <c r="G68" i="31"/>
  <c r="H68" i="31" s="1"/>
  <c r="G67" i="31"/>
  <c r="H67" i="31" s="1"/>
  <c r="G66" i="31"/>
  <c r="H66" i="31" s="1"/>
  <c r="G65" i="31"/>
  <c r="H65" i="31" s="1"/>
  <c r="G64" i="31"/>
  <c r="H64" i="31" s="1"/>
  <c r="G63" i="31"/>
  <c r="H63" i="31" s="1"/>
  <c r="G62" i="31"/>
  <c r="H62" i="31" s="1"/>
  <c r="G61" i="31"/>
  <c r="H61" i="31" s="1"/>
  <c r="G60" i="31"/>
  <c r="H60" i="31" s="1"/>
  <c r="G59" i="31"/>
  <c r="H59" i="31" s="1"/>
  <c r="G57" i="31"/>
  <c r="H57" i="31" s="1"/>
  <c r="G56" i="31"/>
  <c r="H56" i="31" s="1"/>
  <c r="G55" i="31"/>
  <c r="H55" i="31" s="1"/>
  <c r="G54" i="31"/>
  <c r="H54" i="31" s="1"/>
  <c r="G53" i="31"/>
  <c r="H53" i="31" s="1"/>
  <c r="L53" i="31" s="1"/>
  <c r="G51" i="31"/>
  <c r="H51" i="31" s="1"/>
  <c r="L51" i="31" s="1"/>
  <c r="G50" i="31"/>
  <c r="H50" i="31" s="1"/>
  <c r="L50" i="31" s="1"/>
  <c r="G49" i="31"/>
  <c r="H49" i="31" s="1"/>
  <c r="L49" i="31" s="1"/>
  <c r="G48" i="31"/>
  <c r="H48" i="31" s="1"/>
  <c r="G47" i="31"/>
  <c r="H47" i="31" s="1"/>
  <c r="G46" i="31"/>
  <c r="H46" i="31" s="1"/>
  <c r="G45" i="31"/>
  <c r="H45" i="31" s="1"/>
  <c r="G43" i="31"/>
  <c r="H43" i="31" s="1"/>
  <c r="G42" i="31"/>
  <c r="H42" i="31" s="1"/>
  <c r="G41" i="31"/>
  <c r="H41" i="31" s="1"/>
  <c r="G40" i="31"/>
  <c r="H40" i="31" s="1"/>
  <c r="G39" i="31"/>
  <c r="H39" i="31" s="1"/>
  <c r="G38" i="31"/>
  <c r="H38" i="31" s="1"/>
  <c r="G37" i="31"/>
  <c r="H37" i="31" s="1"/>
  <c r="G36" i="31"/>
  <c r="H36" i="31" s="1"/>
  <c r="G35" i="31"/>
  <c r="H35" i="31" s="1"/>
  <c r="G34" i="31"/>
  <c r="H34" i="31" s="1"/>
  <c r="G32" i="31"/>
  <c r="H32" i="31" s="1"/>
  <c r="G31" i="31"/>
  <c r="H31" i="31" s="1"/>
  <c r="G30" i="31"/>
  <c r="H30" i="31" s="1"/>
  <c r="G29" i="31"/>
  <c r="H29" i="31" s="1"/>
  <c r="G28" i="31"/>
  <c r="H28" i="31" s="1"/>
  <c r="L28" i="31" s="1"/>
  <c r="G27" i="31"/>
  <c r="H27" i="31" s="1"/>
  <c r="L27" i="31" s="1"/>
  <c r="G26" i="31"/>
  <c r="H26" i="31" s="1"/>
  <c r="L26" i="31" s="1"/>
  <c r="G25" i="31"/>
  <c r="H25" i="31" s="1"/>
  <c r="L25" i="31" s="1"/>
  <c r="G24" i="31"/>
  <c r="H24" i="31" s="1"/>
  <c r="G23" i="31"/>
  <c r="H23" i="31" s="1"/>
  <c r="G22" i="31"/>
  <c r="H22" i="31" s="1"/>
  <c r="G21" i="31"/>
  <c r="H21" i="31" s="1"/>
  <c r="G19" i="31"/>
  <c r="H19" i="31" s="1"/>
  <c r="G18" i="31"/>
  <c r="H18" i="31" s="1"/>
  <c r="G17" i="31"/>
  <c r="H17" i="31" s="1"/>
  <c r="G16" i="31"/>
  <c r="H16" i="31" s="1"/>
  <c r="G15" i="31"/>
  <c r="H15" i="31" s="1"/>
  <c r="G14" i="31"/>
  <c r="H14" i="31" s="1"/>
  <c r="G13" i="31"/>
  <c r="H13" i="31" s="1"/>
  <c r="G12" i="31"/>
  <c r="H12" i="31" s="1"/>
  <c r="G11" i="31"/>
  <c r="H11" i="31" s="1"/>
  <c r="G10" i="31"/>
  <c r="H10" i="31" s="1"/>
  <c r="G8" i="31"/>
  <c r="H8" i="31" s="1"/>
  <c r="G7" i="31"/>
  <c r="H7" i="31" s="1"/>
  <c r="G6" i="31"/>
  <c r="H6" i="31" s="1"/>
  <c r="G5" i="31"/>
  <c r="H5" i="31" s="1"/>
  <c r="K9" i="20"/>
  <c r="K41" i="20"/>
  <c r="M11" i="20"/>
  <c r="J8" i="20"/>
  <c r="J9" i="20"/>
  <c r="L11" i="20"/>
  <c r="K8" i="20"/>
  <c r="J11" i="20"/>
  <c r="M9" i="20"/>
  <c r="L9" i="20"/>
  <c r="J10" i="20"/>
  <c r="K12" i="20"/>
  <c r="L8" i="20"/>
  <c r="K10" i="20"/>
  <c r="L12" i="20"/>
  <c r="L10" i="20"/>
  <c r="J12" i="20"/>
  <c r="J41" i="20"/>
  <c r="K11" i="20"/>
  <c r="M8" i="20"/>
  <c r="M12" i="20"/>
  <c r="M10" i="20"/>
  <c r="K19" i="20" l="1"/>
  <c r="K16" i="20"/>
  <c r="K15" i="20"/>
  <c r="K18" i="20"/>
  <c r="K17" i="20"/>
  <c r="J16" i="20"/>
  <c r="J17" i="20"/>
  <c r="J15" i="20"/>
  <c r="J19" i="20"/>
  <c r="J18" i="20"/>
  <c r="F88" i="31"/>
  <c r="F103" i="32"/>
  <c r="L18" i="20"/>
  <c r="M18" i="20"/>
  <c r="M16" i="20"/>
  <c r="M19" i="20"/>
  <c r="M17" i="20"/>
  <c r="M15" i="20"/>
  <c r="L19" i="20"/>
  <c r="L15" i="20"/>
  <c r="L16" i="20"/>
  <c r="L17" i="20"/>
  <c r="O7" i="20"/>
  <c r="N7" i="20"/>
  <c r="M39" i="20"/>
  <c r="L39" i="20"/>
  <c r="G95" i="32"/>
  <c r="G80" i="31"/>
  <c r="F79" i="30"/>
  <c r="F80" i="30" s="1"/>
  <c r="G77" i="30"/>
  <c r="H77" i="30" s="1"/>
  <c r="G74" i="30"/>
  <c r="H74" i="30" s="1"/>
  <c r="G75" i="30"/>
  <c r="H75" i="30" s="1"/>
  <c r="G73" i="30"/>
  <c r="H73" i="30" s="1"/>
  <c r="G72" i="30"/>
  <c r="H72" i="30" s="1"/>
  <c r="G71" i="30"/>
  <c r="H71" i="30" s="1"/>
  <c r="G70" i="30"/>
  <c r="H70" i="30" s="1"/>
  <c r="G69" i="30"/>
  <c r="H69" i="30" s="1"/>
  <c r="G68" i="30"/>
  <c r="H68" i="30" s="1"/>
  <c r="G67" i="30"/>
  <c r="H67" i="30" s="1"/>
  <c r="G66" i="30"/>
  <c r="H66" i="30" s="1"/>
  <c r="G65" i="30"/>
  <c r="H65" i="30" s="1"/>
  <c r="G64" i="30"/>
  <c r="H64" i="30" s="1"/>
  <c r="G63" i="30"/>
  <c r="H63" i="30" s="1"/>
  <c r="G62" i="30"/>
  <c r="H62" i="30" s="1"/>
  <c r="G61" i="30"/>
  <c r="H61" i="30" s="1"/>
  <c r="G60" i="30"/>
  <c r="H60" i="30" s="1"/>
  <c r="G59" i="30"/>
  <c r="H59" i="30" s="1"/>
  <c r="G58" i="30"/>
  <c r="H58" i="30" s="1"/>
  <c r="G57" i="30"/>
  <c r="H57" i="30" s="1"/>
  <c r="G56" i="30"/>
  <c r="H56" i="30" s="1"/>
  <c r="G55" i="30"/>
  <c r="H55" i="30" s="1"/>
  <c r="G54" i="30"/>
  <c r="H54" i="30" s="1"/>
  <c r="G53" i="30"/>
  <c r="H53" i="30" s="1"/>
  <c r="G52" i="30"/>
  <c r="H52" i="30" s="1"/>
  <c r="G51" i="30"/>
  <c r="H51" i="30" s="1"/>
  <c r="G50" i="30"/>
  <c r="H50" i="30" s="1"/>
  <c r="G49" i="30"/>
  <c r="H49" i="30" s="1"/>
  <c r="G48" i="30"/>
  <c r="H48" i="30" s="1"/>
  <c r="G47" i="30"/>
  <c r="H47" i="30" s="1"/>
  <c r="G46" i="30"/>
  <c r="H46" i="30" s="1"/>
  <c r="G45" i="30"/>
  <c r="H45" i="30" s="1"/>
  <c r="G44" i="30"/>
  <c r="H44" i="30" s="1"/>
  <c r="G43" i="30"/>
  <c r="H43" i="30" s="1"/>
  <c r="G42" i="30"/>
  <c r="H42" i="30" s="1"/>
  <c r="G41" i="30"/>
  <c r="H41" i="30" s="1"/>
  <c r="G40" i="30"/>
  <c r="H40" i="30" s="1"/>
  <c r="G39" i="30"/>
  <c r="H39" i="30" s="1"/>
  <c r="G38" i="30"/>
  <c r="H38" i="30" s="1"/>
  <c r="G37" i="30"/>
  <c r="H37" i="30" s="1"/>
  <c r="G36" i="30"/>
  <c r="H36" i="30" s="1"/>
  <c r="G35" i="30"/>
  <c r="H35" i="30" s="1"/>
  <c r="G34" i="30"/>
  <c r="H34" i="30" s="1"/>
  <c r="G33" i="30"/>
  <c r="H33" i="30" s="1"/>
  <c r="G32" i="30"/>
  <c r="H32" i="30" s="1"/>
  <c r="G31" i="30"/>
  <c r="H31" i="30" s="1"/>
  <c r="G30" i="30"/>
  <c r="H30" i="30" s="1"/>
  <c r="G29" i="30"/>
  <c r="H29" i="30" s="1"/>
  <c r="G28" i="30"/>
  <c r="H28" i="30" s="1"/>
  <c r="G27" i="30"/>
  <c r="H27" i="30" s="1"/>
  <c r="G23" i="30"/>
  <c r="H23" i="30" s="1"/>
  <c r="G22" i="30"/>
  <c r="H22" i="30" s="1"/>
  <c r="G21" i="30"/>
  <c r="H21" i="30" s="1"/>
  <c r="G20" i="30"/>
  <c r="H20" i="30" s="1"/>
  <c r="G26" i="30"/>
  <c r="H26" i="30" s="1"/>
  <c r="G12" i="30"/>
  <c r="H12" i="30" s="1"/>
  <c r="G11" i="30"/>
  <c r="H11" i="30" s="1"/>
  <c r="G6" i="30"/>
  <c r="H6" i="30" s="1"/>
  <c r="G78" i="30"/>
  <c r="H78" i="30" s="1"/>
  <c r="G76" i="30"/>
  <c r="H76" i="30" s="1"/>
  <c r="G19" i="30"/>
  <c r="H19" i="30" s="1"/>
  <c r="G18" i="30"/>
  <c r="H18" i="30" s="1"/>
  <c r="G17" i="30"/>
  <c r="H17" i="30" s="1"/>
  <c r="G16" i="30"/>
  <c r="H16" i="30" s="1"/>
  <c r="G15" i="30"/>
  <c r="H15" i="30" s="1"/>
  <c r="G14" i="30"/>
  <c r="H14" i="30" s="1"/>
  <c r="G13" i="30"/>
  <c r="H13" i="30" s="1"/>
  <c r="G10" i="30"/>
  <c r="H10" i="30" s="1"/>
  <c r="G9" i="30"/>
  <c r="H9" i="30" s="1"/>
  <c r="G8" i="30"/>
  <c r="H8" i="30" s="1"/>
  <c r="G7" i="30"/>
  <c r="H7" i="30" s="1"/>
  <c r="G5" i="30"/>
  <c r="H5" i="30" s="1"/>
  <c r="G25" i="30"/>
  <c r="H25" i="30" s="1"/>
  <c r="G24" i="30"/>
  <c r="O8" i="20"/>
  <c r="O9" i="20"/>
  <c r="N9" i="20"/>
  <c r="N12" i="20"/>
  <c r="N8" i="20"/>
  <c r="O10" i="20"/>
  <c r="N10" i="20"/>
  <c r="L41" i="20"/>
  <c r="M41" i="20"/>
  <c r="N11" i="20"/>
  <c r="O12" i="20"/>
  <c r="O11" i="20"/>
  <c r="N18" i="20" l="1"/>
  <c r="O18" i="20"/>
  <c r="N16" i="20"/>
  <c r="N19" i="20"/>
  <c r="N17" i="20"/>
  <c r="N15" i="20"/>
  <c r="O15" i="20"/>
  <c r="O19" i="20"/>
  <c r="O16" i="20"/>
  <c r="O17" i="20"/>
  <c r="Q7" i="20"/>
  <c r="P7" i="20"/>
  <c r="N39" i="20"/>
  <c r="O39" i="20"/>
  <c r="H80" i="30"/>
  <c r="H81" i="30" s="1"/>
  <c r="H84" i="30" s="1"/>
  <c r="G79" i="30"/>
  <c r="H24" i="30"/>
  <c r="F86" i="30" s="1"/>
  <c r="Q11" i="20"/>
  <c r="P10" i="20"/>
  <c r="P11" i="20"/>
  <c r="N41" i="20"/>
  <c r="Q10" i="20"/>
  <c r="P12" i="20"/>
  <c r="O41" i="20"/>
  <c r="Q9" i="20"/>
  <c r="P8" i="20"/>
  <c r="Q12" i="20"/>
  <c r="P9" i="20"/>
  <c r="Q8" i="20"/>
  <c r="P18" i="20" l="1"/>
  <c r="Q16" i="20"/>
  <c r="Q18" i="20"/>
  <c r="P17" i="20"/>
  <c r="P19" i="20"/>
  <c r="P15" i="20"/>
  <c r="P16" i="20"/>
  <c r="Q17" i="20"/>
  <c r="Q15" i="20"/>
  <c r="Q19" i="20"/>
  <c r="R7" i="20"/>
  <c r="S7" i="20"/>
  <c r="Q39" i="20"/>
  <c r="P39" i="20"/>
  <c r="H32" i="29"/>
  <c r="G31" i="29"/>
  <c r="H31" i="29" s="1"/>
  <c r="G30" i="29"/>
  <c r="H30" i="29" s="1"/>
  <c r="G29" i="29"/>
  <c r="H29" i="29" s="1"/>
  <c r="G28" i="29"/>
  <c r="H28" i="29" s="1"/>
  <c r="G27" i="29"/>
  <c r="H27" i="29" s="1"/>
  <c r="G26" i="29"/>
  <c r="H26" i="29" s="1"/>
  <c r="G25" i="29"/>
  <c r="H25" i="29" s="1"/>
  <c r="G24" i="29"/>
  <c r="H24" i="29" s="1"/>
  <c r="G23" i="29"/>
  <c r="H23" i="29" s="1"/>
  <c r="G22" i="29"/>
  <c r="H22" i="29" s="1"/>
  <c r="G21" i="29"/>
  <c r="H21" i="29" s="1"/>
  <c r="G20" i="29"/>
  <c r="H20" i="29" s="1"/>
  <c r="G19" i="29"/>
  <c r="H19" i="29" s="1"/>
  <c r="G18" i="29"/>
  <c r="H18" i="29" s="1"/>
  <c r="G17" i="29"/>
  <c r="H17" i="29" s="1"/>
  <c r="G16" i="29"/>
  <c r="H16" i="29" s="1"/>
  <c r="G15" i="29"/>
  <c r="H15" i="29" s="1"/>
  <c r="G14" i="29"/>
  <c r="H14" i="29" s="1"/>
  <c r="G13" i="29"/>
  <c r="H13" i="29" s="1"/>
  <c r="G12" i="29"/>
  <c r="H12" i="29" s="1"/>
  <c r="G11" i="29"/>
  <c r="H11" i="29" s="1"/>
  <c r="G10" i="29"/>
  <c r="H10" i="29" s="1"/>
  <c r="G9" i="29"/>
  <c r="H9" i="29" s="1"/>
  <c r="G8" i="29"/>
  <c r="H8" i="29" s="1"/>
  <c r="G7" i="29"/>
  <c r="H7" i="29" s="1"/>
  <c r="G6" i="29"/>
  <c r="H6" i="29" s="1"/>
  <c r="G5" i="29"/>
  <c r="H5" i="29" s="1"/>
  <c r="F31" i="28"/>
  <c r="H31" i="28" s="1"/>
  <c r="H32" i="28" s="1"/>
  <c r="H34" i="28" s="1"/>
  <c r="S10" i="20"/>
  <c r="P41" i="20"/>
  <c r="S9" i="20"/>
  <c r="S11" i="20"/>
  <c r="Q41" i="20"/>
  <c r="R9" i="20"/>
  <c r="R10" i="20"/>
  <c r="S12" i="20"/>
  <c r="R8" i="20"/>
  <c r="R11" i="20"/>
  <c r="R12" i="20"/>
  <c r="S8" i="20"/>
  <c r="H33" i="29" l="1"/>
  <c r="H34" i="29" s="1"/>
  <c r="H36" i="29" s="1"/>
  <c r="S18" i="20"/>
  <c r="R15" i="20"/>
  <c r="R17" i="20"/>
  <c r="S16" i="20"/>
  <c r="S15" i="20"/>
  <c r="S17" i="20"/>
  <c r="S19" i="20"/>
  <c r="R16" i="20"/>
  <c r="R18" i="20"/>
  <c r="R19" i="20"/>
  <c r="U7" i="20"/>
  <c r="T7" i="20"/>
  <c r="R39" i="20"/>
  <c r="S39" i="20"/>
  <c r="U10" i="20"/>
  <c r="U11" i="20"/>
  <c r="T10" i="20"/>
  <c r="T12" i="20"/>
  <c r="R41" i="20"/>
  <c r="U8" i="20"/>
  <c r="T11" i="20"/>
  <c r="T8" i="20"/>
  <c r="U12" i="20"/>
  <c r="S41" i="20"/>
  <c r="T9" i="20"/>
  <c r="U9" i="20"/>
  <c r="U16" i="20" l="1"/>
  <c r="T16" i="20"/>
  <c r="U19" i="20"/>
  <c r="U15" i="20"/>
  <c r="U17" i="20"/>
  <c r="U18" i="20"/>
  <c r="T19" i="20"/>
  <c r="T15" i="20"/>
  <c r="T18" i="20"/>
  <c r="T17" i="20"/>
  <c r="W7" i="20"/>
  <c r="V7" i="20"/>
  <c r="U39" i="20"/>
  <c r="T39" i="20"/>
  <c r="F61" i="27"/>
  <c r="F62" i="27" s="1"/>
  <c r="H62" i="27" s="1"/>
  <c r="H63" i="27" s="1"/>
  <c r="H66" i="27" s="1"/>
  <c r="G60" i="27"/>
  <c r="H60" i="27" s="1"/>
  <c r="G59" i="27"/>
  <c r="H59" i="27" s="1"/>
  <c r="G58" i="27"/>
  <c r="H58" i="27" s="1"/>
  <c r="G57" i="27"/>
  <c r="H57" i="27" s="1"/>
  <c r="G56" i="27"/>
  <c r="H56" i="27" s="1"/>
  <c r="G55" i="27"/>
  <c r="H55" i="27" s="1"/>
  <c r="G54" i="27"/>
  <c r="H54" i="27" s="1"/>
  <c r="G53" i="27"/>
  <c r="H53" i="27" s="1"/>
  <c r="G52" i="27"/>
  <c r="H52" i="27" s="1"/>
  <c r="G51" i="27"/>
  <c r="H51" i="27" s="1"/>
  <c r="G50" i="27"/>
  <c r="H50" i="27" s="1"/>
  <c r="G49" i="27"/>
  <c r="H49" i="27" s="1"/>
  <c r="G48" i="27"/>
  <c r="H48" i="27" s="1"/>
  <c r="G47" i="27"/>
  <c r="H47" i="27" s="1"/>
  <c r="G46" i="27"/>
  <c r="H46" i="27" s="1"/>
  <c r="G45" i="27"/>
  <c r="H45" i="27" s="1"/>
  <c r="G44" i="27"/>
  <c r="H44" i="27" s="1"/>
  <c r="G43" i="27"/>
  <c r="H43" i="27" s="1"/>
  <c r="G42" i="27"/>
  <c r="H42" i="27" s="1"/>
  <c r="G41" i="27"/>
  <c r="H41" i="27" s="1"/>
  <c r="G40" i="27"/>
  <c r="H40" i="27" s="1"/>
  <c r="G39" i="27"/>
  <c r="H39" i="27" s="1"/>
  <c r="G38" i="27"/>
  <c r="H38" i="27" s="1"/>
  <c r="G37" i="27"/>
  <c r="H37" i="27" s="1"/>
  <c r="G36" i="27"/>
  <c r="H36" i="27" s="1"/>
  <c r="G35" i="27"/>
  <c r="H35" i="27" s="1"/>
  <c r="G34" i="27"/>
  <c r="H34" i="27" s="1"/>
  <c r="G33" i="27"/>
  <c r="H33" i="27" s="1"/>
  <c r="G32" i="27"/>
  <c r="H32" i="27" s="1"/>
  <c r="G31" i="27"/>
  <c r="H31" i="27" s="1"/>
  <c r="G30" i="27"/>
  <c r="H30" i="27" s="1"/>
  <c r="G29" i="27"/>
  <c r="H29" i="27" s="1"/>
  <c r="G28" i="27"/>
  <c r="H28" i="27" s="1"/>
  <c r="G27" i="27"/>
  <c r="H27" i="27" s="1"/>
  <c r="G26" i="27"/>
  <c r="H26" i="27" s="1"/>
  <c r="G25" i="27"/>
  <c r="H25" i="27" s="1"/>
  <c r="G24" i="27"/>
  <c r="H24" i="27" s="1"/>
  <c r="G23" i="27"/>
  <c r="H23" i="27" s="1"/>
  <c r="G22" i="27"/>
  <c r="H22" i="27" s="1"/>
  <c r="G21" i="27"/>
  <c r="H21" i="27" s="1"/>
  <c r="G20" i="27"/>
  <c r="H20" i="27" s="1"/>
  <c r="G19" i="27"/>
  <c r="H19" i="27" s="1"/>
  <c r="G18" i="27"/>
  <c r="H18" i="27" s="1"/>
  <c r="G17" i="27"/>
  <c r="H17" i="27" s="1"/>
  <c r="G16" i="27"/>
  <c r="H16" i="27" s="1"/>
  <c r="G15" i="27"/>
  <c r="H15" i="27" s="1"/>
  <c r="G14" i="27"/>
  <c r="H14" i="27" s="1"/>
  <c r="G13" i="27"/>
  <c r="H13" i="27" s="1"/>
  <c r="G12" i="27"/>
  <c r="H12" i="27" s="1"/>
  <c r="G11" i="27"/>
  <c r="H11" i="27" s="1"/>
  <c r="G10" i="27"/>
  <c r="H10" i="27" s="1"/>
  <c r="G9" i="27"/>
  <c r="H9" i="27" s="1"/>
  <c r="G8" i="27"/>
  <c r="H8" i="27" s="1"/>
  <c r="G7" i="27"/>
  <c r="H7" i="27" s="1"/>
  <c r="G6" i="27"/>
  <c r="G5" i="27"/>
  <c r="H5" i="27" s="1"/>
  <c r="F61" i="26"/>
  <c r="F62" i="26" s="1"/>
  <c r="H62" i="26" s="1"/>
  <c r="H63" i="26" s="1"/>
  <c r="H66" i="26" s="1"/>
  <c r="G60" i="26"/>
  <c r="H60" i="26" s="1"/>
  <c r="G59" i="26"/>
  <c r="H59" i="26" s="1"/>
  <c r="G58" i="26"/>
  <c r="H58" i="26" s="1"/>
  <c r="G57" i="26"/>
  <c r="H57" i="26" s="1"/>
  <c r="G56" i="26"/>
  <c r="H56" i="26" s="1"/>
  <c r="G55" i="26"/>
  <c r="H55" i="26" s="1"/>
  <c r="G54" i="26"/>
  <c r="H54" i="26" s="1"/>
  <c r="G53" i="26"/>
  <c r="H53" i="26" s="1"/>
  <c r="G52" i="26"/>
  <c r="H52" i="26" s="1"/>
  <c r="G51" i="26"/>
  <c r="H51" i="26" s="1"/>
  <c r="G50" i="26"/>
  <c r="H50" i="26" s="1"/>
  <c r="G49" i="26"/>
  <c r="H49" i="26" s="1"/>
  <c r="G48" i="26"/>
  <c r="H48" i="26" s="1"/>
  <c r="G47" i="26"/>
  <c r="H47" i="26" s="1"/>
  <c r="G46" i="26"/>
  <c r="H46" i="26" s="1"/>
  <c r="G45" i="26"/>
  <c r="H45" i="26" s="1"/>
  <c r="G44" i="26"/>
  <c r="H44" i="26" s="1"/>
  <c r="G43" i="26"/>
  <c r="H43" i="26" s="1"/>
  <c r="G42" i="26"/>
  <c r="H42" i="26" s="1"/>
  <c r="G41" i="26"/>
  <c r="H41" i="26" s="1"/>
  <c r="G40" i="26"/>
  <c r="H40" i="26" s="1"/>
  <c r="G39" i="26"/>
  <c r="H39" i="26" s="1"/>
  <c r="G38" i="26"/>
  <c r="H38" i="26" s="1"/>
  <c r="G37" i="26"/>
  <c r="H37" i="26" s="1"/>
  <c r="G36" i="26"/>
  <c r="H36" i="26" s="1"/>
  <c r="G35" i="26"/>
  <c r="H35" i="26" s="1"/>
  <c r="G34" i="26"/>
  <c r="H34" i="26" s="1"/>
  <c r="G33" i="26"/>
  <c r="H33" i="26" s="1"/>
  <c r="G32" i="26"/>
  <c r="H32" i="26" s="1"/>
  <c r="G31" i="26"/>
  <c r="H31" i="26" s="1"/>
  <c r="G30" i="26"/>
  <c r="H30" i="26" s="1"/>
  <c r="G29" i="26"/>
  <c r="H29" i="26" s="1"/>
  <c r="G28" i="26"/>
  <c r="H28" i="26" s="1"/>
  <c r="G27" i="26"/>
  <c r="H27" i="26" s="1"/>
  <c r="G26" i="26"/>
  <c r="H26" i="26" s="1"/>
  <c r="G25" i="26"/>
  <c r="H25" i="26" s="1"/>
  <c r="G24" i="26"/>
  <c r="H24" i="26" s="1"/>
  <c r="G23" i="26"/>
  <c r="H23" i="26" s="1"/>
  <c r="G22" i="26"/>
  <c r="H22" i="26" s="1"/>
  <c r="G21" i="26"/>
  <c r="H21" i="26" s="1"/>
  <c r="G20" i="26"/>
  <c r="H20" i="26" s="1"/>
  <c r="G19" i="26"/>
  <c r="H19" i="26" s="1"/>
  <c r="G18" i="26"/>
  <c r="H18" i="26" s="1"/>
  <c r="G17" i="26"/>
  <c r="H17" i="26" s="1"/>
  <c r="G16" i="26"/>
  <c r="H16" i="26" s="1"/>
  <c r="G15" i="26"/>
  <c r="H15" i="26" s="1"/>
  <c r="G14" i="26"/>
  <c r="H14" i="26" s="1"/>
  <c r="G13" i="26"/>
  <c r="H13" i="26" s="1"/>
  <c r="G12" i="26"/>
  <c r="H12" i="26" s="1"/>
  <c r="G11" i="26"/>
  <c r="H11" i="26" s="1"/>
  <c r="G10" i="26"/>
  <c r="H10" i="26" s="1"/>
  <c r="G9" i="26"/>
  <c r="H9" i="26" s="1"/>
  <c r="G8" i="26"/>
  <c r="H8" i="26" s="1"/>
  <c r="G7" i="26"/>
  <c r="H7" i="26" s="1"/>
  <c r="G6" i="26"/>
  <c r="H6" i="26" s="1"/>
  <c r="G5" i="26"/>
  <c r="G56" i="25"/>
  <c r="H56" i="25" s="1"/>
  <c r="G57" i="25"/>
  <c r="H57" i="25" s="1"/>
  <c r="G5" i="25"/>
  <c r="H5" i="25" s="1"/>
  <c r="G58" i="25"/>
  <c r="H58" i="25" s="1"/>
  <c r="G55" i="25"/>
  <c r="H55" i="25" s="1"/>
  <c r="G54" i="25"/>
  <c r="H54" i="25" s="1"/>
  <c r="G53" i="25"/>
  <c r="H53" i="25" s="1"/>
  <c r="G52" i="25"/>
  <c r="H52" i="25" s="1"/>
  <c r="G51" i="25"/>
  <c r="H51" i="25" s="1"/>
  <c r="G50" i="25"/>
  <c r="H50" i="25" s="1"/>
  <c r="G49" i="25"/>
  <c r="H49" i="25" s="1"/>
  <c r="G48" i="25"/>
  <c r="H48" i="25" s="1"/>
  <c r="G47" i="25"/>
  <c r="H47" i="25" s="1"/>
  <c r="G46" i="25"/>
  <c r="H46" i="25" s="1"/>
  <c r="G45" i="25"/>
  <c r="H45" i="25" s="1"/>
  <c r="F61" i="25"/>
  <c r="F62" i="25" s="1"/>
  <c r="H62" i="25" s="1"/>
  <c r="H63" i="25" s="1"/>
  <c r="H66" i="25" s="1"/>
  <c r="G60" i="25"/>
  <c r="H60" i="25" s="1"/>
  <c r="G59" i="25"/>
  <c r="H59" i="25" s="1"/>
  <c r="G44" i="25"/>
  <c r="H44" i="25" s="1"/>
  <c r="G43" i="25"/>
  <c r="H43" i="25" s="1"/>
  <c r="G42" i="25"/>
  <c r="H42" i="25" s="1"/>
  <c r="G41" i="25"/>
  <c r="H41" i="25" s="1"/>
  <c r="G40" i="25"/>
  <c r="H40" i="25" s="1"/>
  <c r="G39" i="25"/>
  <c r="H39" i="25" s="1"/>
  <c r="G38" i="25"/>
  <c r="H38" i="25" s="1"/>
  <c r="G37" i="25"/>
  <c r="H37" i="25" s="1"/>
  <c r="G36" i="25"/>
  <c r="H36" i="25" s="1"/>
  <c r="G35" i="25"/>
  <c r="H35" i="25" s="1"/>
  <c r="G34" i="25"/>
  <c r="H34" i="25" s="1"/>
  <c r="G33" i="25"/>
  <c r="H33" i="25" s="1"/>
  <c r="G32" i="25"/>
  <c r="H32" i="25" s="1"/>
  <c r="G31" i="25"/>
  <c r="H31" i="25" s="1"/>
  <c r="G30" i="25"/>
  <c r="H30" i="25" s="1"/>
  <c r="G29" i="25"/>
  <c r="H29" i="25" s="1"/>
  <c r="G28" i="25"/>
  <c r="H28" i="25" s="1"/>
  <c r="G27" i="25"/>
  <c r="H27" i="25" s="1"/>
  <c r="G26" i="25"/>
  <c r="H26" i="25" s="1"/>
  <c r="G25" i="25"/>
  <c r="H25" i="25" s="1"/>
  <c r="G24" i="25"/>
  <c r="H24" i="25" s="1"/>
  <c r="G23" i="25"/>
  <c r="H23" i="25" s="1"/>
  <c r="G22" i="25"/>
  <c r="H22" i="25" s="1"/>
  <c r="G21" i="25"/>
  <c r="H21" i="25" s="1"/>
  <c r="G20" i="25"/>
  <c r="H20" i="25" s="1"/>
  <c r="G19" i="25"/>
  <c r="H19" i="25" s="1"/>
  <c r="G18" i="25"/>
  <c r="H18" i="25" s="1"/>
  <c r="G17" i="25"/>
  <c r="H17" i="25" s="1"/>
  <c r="G16" i="25"/>
  <c r="H16" i="25" s="1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6" i="25"/>
  <c r="H6" i="25" s="1"/>
  <c r="W12" i="20"/>
  <c r="V11" i="20"/>
  <c r="V9" i="20"/>
  <c r="V8" i="20"/>
  <c r="W11" i="20"/>
  <c r="U41" i="20"/>
  <c r="W10" i="20"/>
  <c r="W8" i="20"/>
  <c r="V12" i="20"/>
  <c r="W9" i="20"/>
  <c r="T41" i="20"/>
  <c r="V10" i="20"/>
  <c r="W16" i="20" l="1"/>
  <c r="W17" i="20"/>
  <c r="V15" i="20"/>
  <c r="V16" i="20"/>
  <c r="W15" i="20"/>
  <c r="V19" i="20"/>
  <c r="V17" i="20"/>
  <c r="V18" i="20"/>
  <c r="W18" i="20"/>
  <c r="W19" i="20"/>
  <c r="G61" i="27"/>
  <c r="G61" i="26"/>
  <c r="Y7" i="20"/>
  <c r="X7" i="20"/>
  <c r="V39" i="20"/>
  <c r="W39" i="20"/>
  <c r="H6" i="27"/>
  <c r="H61" i="27" s="1"/>
  <c r="H5" i="26"/>
  <c r="H61" i="26" s="1"/>
  <c r="H61" i="25"/>
  <c r="G61" i="25"/>
  <c r="X12" i="20"/>
  <c r="X9" i="20"/>
  <c r="Y10" i="20"/>
  <c r="Y11" i="20"/>
  <c r="Y12" i="20"/>
  <c r="W41" i="20"/>
  <c r="X11" i="20"/>
  <c r="X10" i="20"/>
  <c r="X8" i="20"/>
  <c r="Y8" i="20"/>
  <c r="V41" i="20"/>
  <c r="Y9" i="20"/>
  <c r="Y16" i="20" l="1"/>
  <c r="Y17" i="20"/>
  <c r="X16" i="20"/>
  <c r="Y19" i="20"/>
  <c r="X18" i="20"/>
  <c r="X17" i="20"/>
  <c r="AA7" i="20"/>
  <c r="Y15" i="20"/>
  <c r="X15" i="20"/>
  <c r="X19" i="20"/>
  <c r="Y18" i="20"/>
  <c r="Z7" i="20"/>
  <c r="Y39" i="20"/>
  <c r="X39" i="20"/>
  <c r="G56" i="24"/>
  <c r="H56" i="24" s="1"/>
  <c r="G57" i="24"/>
  <c r="H57" i="24" s="1"/>
  <c r="G58" i="24"/>
  <c r="H58" i="24" s="1"/>
  <c r="G59" i="24"/>
  <c r="H59" i="24" s="1"/>
  <c r="G60" i="24"/>
  <c r="H60" i="24" s="1"/>
  <c r="G61" i="24"/>
  <c r="G62" i="24"/>
  <c r="H62" i="24" s="1"/>
  <c r="G37" i="24"/>
  <c r="H37" i="24" s="1"/>
  <c r="G38" i="24"/>
  <c r="H38" i="24" s="1"/>
  <c r="G39" i="24"/>
  <c r="H39" i="24" s="1"/>
  <c r="G40" i="24"/>
  <c r="H40" i="24" s="1"/>
  <c r="G41" i="24"/>
  <c r="H41" i="24" s="1"/>
  <c r="G42" i="24"/>
  <c r="H42" i="24" s="1"/>
  <c r="G43" i="24"/>
  <c r="H43" i="24" s="1"/>
  <c r="G9" i="24"/>
  <c r="H9" i="24" s="1"/>
  <c r="G10" i="24"/>
  <c r="H10" i="24" s="1"/>
  <c r="G72" i="24"/>
  <c r="H72" i="24" s="1"/>
  <c r="G66" i="24"/>
  <c r="H66" i="24" s="1"/>
  <c r="G65" i="24"/>
  <c r="H65" i="24" s="1"/>
  <c r="G64" i="24"/>
  <c r="H64" i="24" s="1"/>
  <c r="G63" i="24"/>
  <c r="H63" i="24" s="1"/>
  <c r="H61" i="24"/>
  <c r="G55" i="24"/>
  <c r="H55" i="24" s="1"/>
  <c r="G54" i="24"/>
  <c r="H54" i="24" s="1"/>
  <c r="G53" i="24"/>
  <c r="H53" i="24" s="1"/>
  <c r="G52" i="24"/>
  <c r="H52" i="24" s="1"/>
  <c r="G51" i="24"/>
  <c r="H51" i="24" s="1"/>
  <c r="G50" i="24"/>
  <c r="H50" i="24" s="1"/>
  <c r="G49" i="24"/>
  <c r="H49" i="24" s="1"/>
  <c r="G48" i="24"/>
  <c r="H48" i="24" s="1"/>
  <c r="G47" i="24"/>
  <c r="H47" i="24" s="1"/>
  <c r="G46" i="24"/>
  <c r="H46" i="24" s="1"/>
  <c r="G45" i="24"/>
  <c r="H45" i="24" s="1"/>
  <c r="G44" i="24"/>
  <c r="H44" i="24" s="1"/>
  <c r="G36" i="24"/>
  <c r="H36" i="24" s="1"/>
  <c r="G35" i="24"/>
  <c r="H35" i="24" s="1"/>
  <c r="G34" i="24"/>
  <c r="H34" i="24" s="1"/>
  <c r="G33" i="24"/>
  <c r="H33" i="24" s="1"/>
  <c r="G32" i="24"/>
  <c r="H32" i="24" s="1"/>
  <c r="G31" i="24"/>
  <c r="H31" i="24" s="1"/>
  <c r="G30" i="24"/>
  <c r="H30" i="24" s="1"/>
  <c r="G29" i="24"/>
  <c r="H29" i="24" s="1"/>
  <c r="G28" i="24"/>
  <c r="H28" i="24" s="1"/>
  <c r="G27" i="24"/>
  <c r="H27" i="24" s="1"/>
  <c r="G26" i="24"/>
  <c r="H26" i="24" s="1"/>
  <c r="G25" i="24"/>
  <c r="H25" i="24" s="1"/>
  <c r="G24" i="24"/>
  <c r="H24" i="24" s="1"/>
  <c r="G23" i="24"/>
  <c r="H23" i="24" s="1"/>
  <c r="G22" i="24"/>
  <c r="H22" i="24" s="1"/>
  <c r="G21" i="24"/>
  <c r="H21" i="24" s="1"/>
  <c r="G20" i="24"/>
  <c r="H20" i="24" s="1"/>
  <c r="G19" i="24"/>
  <c r="H19" i="24" s="1"/>
  <c r="G18" i="24"/>
  <c r="H18" i="24" s="1"/>
  <c r="G17" i="24"/>
  <c r="H17" i="24" s="1"/>
  <c r="G16" i="24"/>
  <c r="H16" i="24" s="1"/>
  <c r="G15" i="24"/>
  <c r="H15" i="24" s="1"/>
  <c r="G14" i="24"/>
  <c r="H14" i="24" s="1"/>
  <c r="G13" i="24"/>
  <c r="H13" i="24" s="1"/>
  <c r="G12" i="24"/>
  <c r="H12" i="24" s="1"/>
  <c r="G11" i="24"/>
  <c r="H11" i="24" s="1"/>
  <c r="G4" i="23"/>
  <c r="H4" i="23" s="1"/>
  <c r="G5" i="23"/>
  <c r="H5" i="23" s="1"/>
  <c r="G6" i="23"/>
  <c r="H6" i="23" s="1"/>
  <c r="G7" i="23"/>
  <c r="H7" i="23" s="1"/>
  <c r="G8" i="23"/>
  <c r="H8" i="23" s="1"/>
  <c r="G9" i="23"/>
  <c r="H9" i="23" s="1"/>
  <c r="G10" i="23"/>
  <c r="H10" i="23" s="1"/>
  <c r="G11" i="23"/>
  <c r="H11" i="23" s="1"/>
  <c r="G12" i="23"/>
  <c r="H12" i="23" s="1"/>
  <c r="G13" i="23"/>
  <c r="H13" i="23" s="1"/>
  <c r="G14" i="23"/>
  <c r="H14" i="23" s="1"/>
  <c r="G15" i="23"/>
  <c r="H15" i="23" s="1"/>
  <c r="G16" i="23"/>
  <c r="H16" i="23" s="1"/>
  <c r="G17" i="23"/>
  <c r="H17" i="23" s="1"/>
  <c r="G18" i="23"/>
  <c r="H18" i="23" s="1"/>
  <c r="G19" i="23"/>
  <c r="H19" i="23" s="1"/>
  <c r="G20" i="23"/>
  <c r="H20" i="23" s="1"/>
  <c r="G21" i="23"/>
  <c r="H21" i="23" s="1"/>
  <c r="G22" i="23"/>
  <c r="H22" i="23" s="1"/>
  <c r="G23" i="23"/>
  <c r="H23" i="23" s="1"/>
  <c r="G24" i="23"/>
  <c r="H24" i="23" s="1"/>
  <c r="G25" i="23"/>
  <c r="H25" i="23" s="1"/>
  <c r="G26" i="23"/>
  <c r="H26" i="23" s="1"/>
  <c r="G27" i="23"/>
  <c r="H27" i="23" s="1"/>
  <c r="G28" i="23"/>
  <c r="H28" i="23" s="1"/>
  <c r="G29" i="23"/>
  <c r="H29" i="23" s="1"/>
  <c r="G30" i="23"/>
  <c r="H30" i="23" s="1"/>
  <c r="G31" i="23"/>
  <c r="H31" i="23" s="1"/>
  <c r="G32" i="23"/>
  <c r="H32" i="23" s="1"/>
  <c r="G33" i="23"/>
  <c r="H33" i="23" s="1"/>
  <c r="G34" i="23"/>
  <c r="H34" i="23" s="1"/>
  <c r="G35" i="23"/>
  <c r="H35" i="23" s="1"/>
  <c r="G36" i="23"/>
  <c r="H36" i="23" s="1"/>
  <c r="G37" i="23"/>
  <c r="H37" i="23" s="1"/>
  <c r="G38" i="23"/>
  <c r="H38" i="23" s="1"/>
  <c r="G39" i="23"/>
  <c r="H39" i="23" s="1"/>
  <c r="G40" i="23"/>
  <c r="H40" i="23" s="1"/>
  <c r="G41" i="23"/>
  <c r="H41" i="23" s="1"/>
  <c r="G42" i="23"/>
  <c r="H42" i="23" s="1"/>
  <c r="G43" i="23"/>
  <c r="H43" i="23" s="1"/>
  <c r="G44" i="23"/>
  <c r="H44" i="23" s="1"/>
  <c r="G45" i="23"/>
  <c r="H45" i="23" s="1"/>
  <c r="G46" i="23"/>
  <c r="H46" i="23" s="1"/>
  <c r="G47" i="23"/>
  <c r="H47" i="23" s="1"/>
  <c r="G48" i="23"/>
  <c r="H48" i="23" s="1"/>
  <c r="G49" i="23"/>
  <c r="H49" i="23" s="1"/>
  <c r="G50" i="23"/>
  <c r="H50" i="23" s="1"/>
  <c r="G51" i="23"/>
  <c r="H51" i="23" s="1"/>
  <c r="G52" i="23"/>
  <c r="H52" i="23" s="1"/>
  <c r="G53" i="23"/>
  <c r="H53" i="23" s="1"/>
  <c r="G54" i="23"/>
  <c r="H54" i="23" s="1"/>
  <c r="G55" i="23"/>
  <c r="H55" i="23" s="1"/>
  <c r="G56" i="23"/>
  <c r="H56" i="23" s="1"/>
  <c r="G57" i="23"/>
  <c r="H57" i="23" s="1"/>
  <c r="G58" i="23"/>
  <c r="H58" i="23" s="1"/>
  <c r="G59" i="23"/>
  <c r="H59" i="23" s="1"/>
  <c r="G60" i="23"/>
  <c r="H60" i="23" s="1"/>
  <c r="G4" i="22"/>
  <c r="H4" i="22" s="1"/>
  <c r="G5" i="22"/>
  <c r="H5" i="22" s="1"/>
  <c r="G6" i="22"/>
  <c r="H6" i="22" s="1"/>
  <c r="G7" i="22"/>
  <c r="H7" i="22" s="1"/>
  <c r="G8" i="22"/>
  <c r="H8" i="22" s="1"/>
  <c r="G9" i="22"/>
  <c r="H9" i="22" s="1"/>
  <c r="G10" i="22"/>
  <c r="H10" i="22" s="1"/>
  <c r="G11" i="22"/>
  <c r="H11" i="22" s="1"/>
  <c r="G12" i="22"/>
  <c r="H12" i="22" s="1"/>
  <c r="G13" i="22"/>
  <c r="H13" i="22" s="1"/>
  <c r="G14" i="22"/>
  <c r="H14" i="22" s="1"/>
  <c r="G15" i="22"/>
  <c r="H15" i="22" s="1"/>
  <c r="G16" i="22"/>
  <c r="H16" i="22" s="1"/>
  <c r="G17" i="22"/>
  <c r="H17" i="22" s="1"/>
  <c r="G18" i="22"/>
  <c r="H18" i="22" s="1"/>
  <c r="G19" i="22"/>
  <c r="H19" i="22" s="1"/>
  <c r="G20" i="22"/>
  <c r="H20" i="22" s="1"/>
  <c r="G21" i="22"/>
  <c r="H21" i="22" s="1"/>
  <c r="G22" i="22"/>
  <c r="H22" i="22" s="1"/>
  <c r="G23" i="22"/>
  <c r="H23" i="22" s="1"/>
  <c r="G24" i="22"/>
  <c r="H24" i="22" s="1"/>
  <c r="G25" i="22"/>
  <c r="H25" i="22" s="1"/>
  <c r="G26" i="22"/>
  <c r="H26" i="22" s="1"/>
  <c r="G27" i="22"/>
  <c r="H27" i="22" s="1"/>
  <c r="G28" i="22"/>
  <c r="H28" i="22" s="1"/>
  <c r="G29" i="22"/>
  <c r="H29" i="22" s="1"/>
  <c r="G30" i="22"/>
  <c r="H30" i="22" s="1"/>
  <c r="G31" i="22"/>
  <c r="H31" i="22" s="1"/>
  <c r="G32" i="22"/>
  <c r="H32" i="22" s="1"/>
  <c r="G33" i="22"/>
  <c r="H33" i="22" s="1"/>
  <c r="G34" i="22"/>
  <c r="H34" i="22" s="1"/>
  <c r="G35" i="22"/>
  <c r="H35" i="22" s="1"/>
  <c r="G36" i="22"/>
  <c r="H36" i="22" s="1"/>
  <c r="G37" i="22"/>
  <c r="H37" i="22" s="1"/>
  <c r="G38" i="22"/>
  <c r="H38" i="22" s="1"/>
  <c r="G39" i="22"/>
  <c r="H39" i="22" s="1"/>
  <c r="G40" i="22"/>
  <c r="H40" i="22" s="1"/>
  <c r="G41" i="22"/>
  <c r="H41" i="22" s="1"/>
  <c r="G42" i="22"/>
  <c r="H42" i="22" s="1"/>
  <c r="G43" i="22"/>
  <c r="H43" i="22" s="1"/>
  <c r="G44" i="22"/>
  <c r="H44" i="22" s="1"/>
  <c r="G45" i="22"/>
  <c r="H45" i="22" s="1"/>
  <c r="G46" i="22"/>
  <c r="H46" i="22" s="1"/>
  <c r="G47" i="22"/>
  <c r="H47" i="22" s="1"/>
  <c r="G48" i="22"/>
  <c r="H48" i="22" s="1"/>
  <c r="G49" i="22"/>
  <c r="H49" i="22" s="1"/>
  <c r="G50" i="22"/>
  <c r="H50" i="22" s="1"/>
  <c r="G51" i="22"/>
  <c r="H51" i="22" s="1"/>
  <c r="G52" i="22"/>
  <c r="H52" i="22" s="1"/>
  <c r="G53" i="22"/>
  <c r="H53" i="22" s="1"/>
  <c r="G54" i="22"/>
  <c r="H54" i="22" s="1"/>
  <c r="G55" i="22"/>
  <c r="H55" i="22" s="1"/>
  <c r="G56" i="22"/>
  <c r="H56" i="22" s="1"/>
  <c r="G57" i="22"/>
  <c r="H57" i="22" s="1"/>
  <c r="G58" i="22"/>
  <c r="H58" i="22" s="1"/>
  <c r="G59" i="22"/>
  <c r="H59" i="22" s="1"/>
  <c r="G60" i="22"/>
  <c r="H60" i="22" s="1"/>
  <c r="G61" i="22"/>
  <c r="H61" i="22" s="1"/>
  <c r="G62" i="22"/>
  <c r="H62" i="22" s="1"/>
  <c r="G63" i="22"/>
  <c r="H63" i="22" s="1"/>
  <c r="G64" i="22"/>
  <c r="H64" i="22" s="1"/>
  <c r="G65" i="22"/>
  <c r="H65" i="22" s="1"/>
  <c r="G66" i="22"/>
  <c r="H66" i="22" s="1"/>
  <c r="G67" i="22"/>
  <c r="H67" i="22" s="1"/>
  <c r="G68" i="22"/>
  <c r="H68" i="22" s="1"/>
  <c r="G69" i="22"/>
  <c r="H69" i="22" s="1"/>
  <c r="G70" i="22"/>
  <c r="H70" i="22" s="1"/>
  <c r="G71" i="22"/>
  <c r="H71" i="22" s="1"/>
  <c r="Z9" i="20"/>
  <c r="AA12" i="20"/>
  <c r="AA11" i="20"/>
  <c r="AA10" i="20"/>
  <c r="Z11" i="20"/>
  <c r="AA9" i="20"/>
  <c r="X41" i="20"/>
  <c r="Z10" i="20"/>
  <c r="Y41" i="20"/>
  <c r="AA8" i="20"/>
  <c r="Z8" i="20"/>
  <c r="Z12" i="20"/>
  <c r="Z16" i="20" l="1"/>
  <c r="Z17" i="20"/>
  <c r="Z18" i="20"/>
  <c r="AA17" i="20"/>
  <c r="AA19" i="20"/>
  <c r="AA16" i="20"/>
  <c r="AA18" i="20"/>
  <c r="Z19" i="20"/>
  <c r="Z15" i="20"/>
  <c r="AA15" i="20"/>
  <c r="AC7" i="20"/>
  <c r="AB7" i="20"/>
  <c r="Z39" i="20"/>
  <c r="AA39" i="20"/>
  <c r="G67" i="24"/>
  <c r="H68" i="24"/>
  <c r="H71" i="24" s="1"/>
  <c r="G35" i="21"/>
  <c r="H35" i="21" s="1"/>
  <c r="G34" i="21"/>
  <c r="H34" i="21" s="1"/>
  <c r="G33" i="21"/>
  <c r="H33" i="21" s="1"/>
  <c r="G32" i="21"/>
  <c r="H32" i="21" s="1"/>
  <c r="G28" i="21"/>
  <c r="H28" i="21" s="1"/>
  <c r="G23" i="21"/>
  <c r="H23" i="21" s="1"/>
  <c r="G11" i="21"/>
  <c r="H11" i="21" s="1"/>
  <c r="G10" i="21"/>
  <c r="H10" i="21" s="1"/>
  <c r="G5" i="21"/>
  <c r="H5" i="21" s="1"/>
  <c r="G6" i="21"/>
  <c r="H6" i="21" s="1"/>
  <c r="G7" i="21"/>
  <c r="H7" i="21" s="1"/>
  <c r="G8" i="21"/>
  <c r="H8" i="21" s="1"/>
  <c r="G9" i="21"/>
  <c r="H9" i="21" s="1"/>
  <c r="G12" i="21"/>
  <c r="H12" i="21" s="1"/>
  <c r="G13" i="21"/>
  <c r="H13" i="21" s="1"/>
  <c r="G14" i="21"/>
  <c r="H14" i="21" s="1"/>
  <c r="G15" i="21"/>
  <c r="H15" i="21" s="1"/>
  <c r="G16" i="21"/>
  <c r="H16" i="21" s="1"/>
  <c r="G17" i="21"/>
  <c r="H17" i="21" s="1"/>
  <c r="G18" i="21"/>
  <c r="H18" i="21" s="1"/>
  <c r="G19" i="21"/>
  <c r="H19" i="21" s="1"/>
  <c r="G20" i="21"/>
  <c r="H20" i="21" s="1"/>
  <c r="G21" i="21"/>
  <c r="H21" i="21" s="1"/>
  <c r="G22" i="21"/>
  <c r="H22" i="21" s="1"/>
  <c r="G24" i="21"/>
  <c r="H24" i="21" s="1"/>
  <c r="G25" i="21"/>
  <c r="H25" i="21" s="1"/>
  <c r="G26" i="21"/>
  <c r="H26" i="21" s="1"/>
  <c r="G27" i="21"/>
  <c r="H27" i="21" s="1"/>
  <c r="G29" i="21"/>
  <c r="H29" i="21" s="1"/>
  <c r="G30" i="21"/>
  <c r="H30" i="21" s="1"/>
  <c r="G31" i="21"/>
  <c r="H31" i="21" s="1"/>
  <c r="G36" i="21"/>
  <c r="H36" i="21" s="1"/>
  <c r="G37" i="21"/>
  <c r="H37" i="21" s="1"/>
  <c r="G38" i="21"/>
  <c r="H38" i="21" s="1"/>
  <c r="G4" i="21"/>
  <c r="H4" i="21" s="1"/>
  <c r="F39" i="21"/>
  <c r="H39" i="21" s="1"/>
  <c r="H40" i="21" s="1"/>
  <c r="H42" i="21" s="1"/>
  <c r="D82" i="20"/>
  <c r="E82" i="20" s="1"/>
  <c r="F82" i="20" s="1"/>
  <c r="G82" i="20" s="1"/>
  <c r="H82" i="20" s="1"/>
  <c r="I82" i="20" s="1"/>
  <c r="J82" i="20" s="1"/>
  <c r="K82" i="20" s="1"/>
  <c r="L82" i="20" s="1"/>
  <c r="AB10" i="20"/>
  <c r="AB8" i="20"/>
  <c r="AA41" i="20"/>
  <c r="AC9" i="20"/>
  <c r="AC8" i="20"/>
  <c r="AB12" i="20"/>
  <c r="AC10" i="20"/>
  <c r="AB9" i="20"/>
  <c r="AC12" i="20"/>
  <c r="AB11" i="20"/>
  <c r="Z41" i="20"/>
  <c r="AC11" i="20"/>
  <c r="AC19" i="20" l="1"/>
  <c r="AB17" i="20"/>
  <c r="AC17" i="20"/>
  <c r="AC16" i="20"/>
  <c r="AC18" i="20"/>
  <c r="AB19" i="20"/>
  <c r="AB18" i="20"/>
  <c r="AB16" i="20"/>
  <c r="AC15" i="20"/>
  <c r="AB15" i="20"/>
  <c r="M82" i="20"/>
  <c r="N82" i="20" s="1"/>
  <c r="O82" i="20" s="1"/>
  <c r="P82" i="20" s="1"/>
  <c r="Q82" i="20" s="1"/>
  <c r="R82" i="20" s="1"/>
  <c r="S82" i="20" s="1"/>
  <c r="T82" i="20" s="1"/>
  <c r="U82" i="20" s="1"/>
  <c r="V82" i="20" s="1"/>
  <c r="W82" i="20" s="1"/>
  <c r="X82" i="20" s="1"/>
  <c r="Y82" i="20" s="1"/>
  <c r="AD7" i="20"/>
  <c r="AE7" i="20"/>
  <c r="AC39" i="20"/>
  <c r="AB39" i="20"/>
  <c r="H74" i="24"/>
  <c r="G1" i="24"/>
  <c r="G6" i="19"/>
  <c r="H6" i="19" s="1"/>
  <c r="G7" i="19"/>
  <c r="H7" i="19" s="1"/>
  <c r="G8" i="19"/>
  <c r="H8" i="19" s="1"/>
  <c r="G5" i="19"/>
  <c r="AC41" i="20"/>
  <c r="AB41" i="20"/>
  <c r="AE12" i="20"/>
  <c r="AE11" i="20"/>
  <c r="AD11" i="20"/>
  <c r="AD9" i="20"/>
  <c r="AE9" i="20"/>
  <c r="AE8" i="20"/>
  <c r="AD12" i="20"/>
  <c r="AE10" i="20"/>
  <c r="AD10" i="20"/>
  <c r="AD8" i="20"/>
  <c r="AE18" i="20" l="1"/>
  <c r="AE15" i="20"/>
  <c r="AE16" i="20"/>
  <c r="AE17" i="20"/>
  <c r="AE19" i="20"/>
  <c r="Z82" i="20"/>
  <c r="AA82" i="20" s="1"/>
  <c r="AB82" i="20" s="1"/>
  <c r="AC82" i="20" s="1"/>
  <c r="AD82" i="20" s="1"/>
  <c r="AE82" i="20" s="1"/>
  <c r="AF82" i="20" s="1"/>
  <c r="AG82" i="20" s="1"/>
  <c r="AH82" i="20" s="1"/>
  <c r="AI82" i="20" s="1"/>
  <c r="AJ82" i="20" s="1"/>
  <c r="AK82" i="20" s="1"/>
  <c r="AL82" i="20" s="1"/>
  <c r="AM82" i="20" s="1"/>
  <c r="AN82" i="20" s="1"/>
  <c r="AO82" i="20" s="1"/>
  <c r="AP82" i="20" s="1"/>
  <c r="AD18" i="20"/>
  <c r="AD17" i="20"/>
  <c r="AD16" i="20"/>
  <c r="AD15" i="20"/>
  <c r="AD19" i="20"/>
  <c r="AF7" i="20"/>
  <c r="AG7" i="20"/>
  <c r="AD39" i="20"/>
  <c r="AE39" i="20"/>
  <c r="H5" i="19"/>
  <c r="F22" i="18"/>
  <c r="F23" i="18" s="1"/>
  <c r="H23" i="18" s="1"/>
  <c r="H24" i="18" s="1"/>
  <c r="H26" i="18" s="1"/>
  <c r="G21" i="18"/>
  <c r="H21" i="18" s="1"/>
  <c r="L21" i="18" s="1"/>
  <c r="G20" i="18"/>
  <c r="H20" i="18" s="1"/>
  <c r="L20" i="18" s="1"/>
  <c r="G19" i="18"/>
  <c r="H19" i="18" s="1"/>
  <c r="L19" i="18" s="1"/>
  <c r="G18" i="18"/>
  <c r="H18" i="18" s="1"/>
  <c r="L18" i="18" s="1"/>
  <c r="G17" i="18"/>
  <c r="H17" i="18" s="1"/>
  <c r="L17" i="18" s="1"/>
  <c r="G16" i="18"/>
  <c r="H16" i="18" s="1"/>
  <c r="L16" i="18" s="1"/>
  <c r="G15" i="18"/>
  <c r="H15" i="18" s="1"/>
  <c r="L15" i="18" s="1"/>
  <c r="G14" i="18"/>
  <c r="H14" i="18" s="1"/>
  <c r="L14" i="18" s="1"/>
  <c r="G13" i="18"/>
  <c r="H13" i="18" s="1"/>
  <c r="L13" i="18" s="1"/>
  <c r="G12" i="18"/>
  <c r="H12" i="18" s="1"/>
  <c r="L12" i="18" s="1"/>
  <c r="G11" i="18"/>
  <c r="H11" i="18" s="1"/>
  <c r="L11" i="18" s="1"/>
  <c r="G10" i="18"/>
  <c r="H10" i="18" s="1"/>
  <c r="G9" i="18"/>
  <c r="H9" i="18" s="1"/>
  <c r="G8" i="18"/>
  <c r="H8" i="18" s="1"/>
  <c r="G7" i="18"/>
  <c r="H7" i="18" s="1"/>
  <c r="G6" i="18"/>
  <c r="H6" i="18" s="1"/>
  <c r="G5" i="18"/>
  <c r="H5" i="18" s="1"/>
  <c r="G42" i="17"/>
  <c r="H42" i="17" s="1"/>
  <c r="G41" i="17"/>
  <c r="H41" i="17" s="1"/>
  <c r="G40" i="17"/>
  <c r="H40" i="17" s="1"/>
  <c r="G39" i="17"/>
  <c r="H39" i="17" s="1"/>
  <c r="G38" i="17"/>
  <c r="H38" i="17" s="1"/>
  <c r="G37" i="17"/>
  <c r="H37" i="17" s="1"/>
  <c r="G36" i="17"/>
  <c r="H36" i="17" s="1"/>
  <c r="G35" i="17"/>
  <c r="H35" i="17" s="1"/>
  <c r="G34" i="17"/>
  <c r="H34" i="17" s="1"/>
  <c r="G33" i="17"/>
  <c r="H33" i="17" s="1"/>
  <c r="G32" i="17"/>
  <c r="H32" i="17" s="1"/>
  <c r="G31" i="17"/>
  <c r="H31" i="17" s="1"/>
  <c r="G30" i="17"/>
  <c r="H30" i="17" s="1"/>
  <c r="G29" i="17"/>
  <c r="H29" i="17" s="1"/>
  <c r="G28" i="17"/>
  <c r="H28" i="17" s="1"/>
  <c r="G27" i="17"/>
  <c r="H27" i="17" s="1"/>
  <c r="G26" i="17"/>
  <c r="H26" i="17" s="1"/>
  <c r="G25" i="17"/>
  <c r="H25" i="17" s="1"/>
  <c r="G24" i="17"/>
  <c r="H24" i="17" s="1"/>
  <c r="G23" i="17"/>
  <c r="H23" i="17" s="1"/>
  <c r="G22" i="17"/>
  <c r="H22" i="17" s="1"/>
  <c r="G21" i="17"/>
  <c r="H21" i="17" s="1"/>
  <c r="G20" i="17"/>
  <c r="H20" i="17" s="1"/>
  <c r="G19" i="17"/>
  <c r="H19" i="17" s="1"/>
  <c r="G18" i="17"/>
  <c r="H18" i="17" s="1"/>
  <c r="G17" i="17"/>
  <c r="H17" i="17" s="1"/>
  <c r="G16" i="17"/>
  <c r="H16" i="17" s="1"/>
  <c r="G15" i="17"/>
  <c r="H15" i="17" s="1"/>
  <c r="G14" i="17"/>
  <c r="H14" i="17" s="1"/>
  <c r="G13" i="17"/>
  <c r="H13" i="17" s="1"/>
  <c r="G12" i="17"/>
  <c r="H12" i="17" s="1"/>
  <c r="G11" i="17"/>
  <c r="H11" i="17" s="1"/>
  <c r="G10" i="17"/>
  <c r="H10" i="17" s="1"/>
  <c r="G9" i="17"/>
  <c r="H9" i="17" s="1"/>
  <c r="G8" i="17"/>
  <c r="H8" i="17" s="1"/>
  <c r="G7" i="17"/>
  <c r="H7" i="17" s="1"/>
  <c r="G6" i="17"/>
  <c r="H6" i="17" s="1"/>
  <c r="G5" i="17"/>
  <c r="H5" i="17" s="1"/>
  <c r="G52" i="15"/>
  <c r="H52" i="15" s="1"/>
  <c r="G51" i="15"/>
  <c r="H51" i="15" s="1"/>
  <c r="G50" i="15"/>
  <c r="H50" i="15" s="1"/>
  <c r="G49" i="15"/>
  <c r="H49" i="15" s="1"/>
  <c r="G48" i="15"/>
  <c r="H48" i="15" s="1"/>
  <c r="G47" i="15"/>
  <c r="H47" i="15" s="1"/>
  <c r="G46" i="15"/>
  <c r="H46" i="15" s="1"/>
  <c r="G45" i="15"/>
  <c r="H45" i="15" s="1"/>
  <c r="G44" i="15"/>
  <c r="H44" i="15" s="1"/>
  <c r="G43" i="15"/>
  <c r="H43" i="15" s="1"/>
  <c r="G42" i="15"/>
  <c r="H42" i="15" s="1"/>
  <c r="G5" i="15"/>
  <c r="G6" i="15"/>
  <c r="G7" i="15"/>
  <c r="G8" i="15"/>
  <c r="G22" i="15"/>
  <c r="G23" i="15"/>
  <c r="G24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1" i="15"/>
  <c r="G53" i="15"/>
  <c r="G54" i="15"/>
  <c r="G21" i="15"/>
  <c r="F55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AF11" i="20"/>
  <c r="AG8" i="20"/>
  <c r="AF12" i="20"/>
  <c r="AG12" i="20"/>
  <c r="AG9" i="20"/>
  <c r="AD41" i="20"/>
  <c r="AG10" i="20"/>
  <c r="AG11" i="20"/>
  <c r="AF8" i="20"/>
  <c r="AF9" i="20"/>
  <c r="AF10" i="20"/>
  <c r="AE41" i="20"/>
  <c r="AF15" i="20" l="1"/>
  <c r="AF17" i="20"/>
  <c r="AF16" i="20"/>
  <c r="AF19" i="20"/>
  <c r="AF18" i="20"/>
  <c r="E53" i="17"/>
  <c r="F30" i="18"/>
  <c r="AG18" i="20"/>
  <c r="AG16" i="20"/>
  <c r="AG17" i="20"/>
  <c r="AG15" i="20"/>
  <c r="AG19" i="20"/>
  <c r="AH7" i="20"/>
  <c r="AI7" i="20"/>
  <c r="AG39" i="20"/>
  <c r="AF39" i="20"/>
  <c r="G22" i="18"/>
  <c r="H49" i="17"/>
  <c r="G43" i="17"/>
  <c r="H33" i="15"/>
  <c r="H6" i="15"/>
  <c r="H8" i="15"/>
  <c r="H7" i="15"/>
  <c r="H5" i="15"/>
  <c r="H11" i="15"/>
  <c r="H28" i="15"/>
  <c r="H29" i="15"/>
  <c r="H30" i="15"/>
  <c r="H31" i="15"/>
  <c r="H9" i="15"/>
  <c r="H26" i="15"/>
  <c r="H32" i="15"/>
  <c r="H35" i="15"/>
  <c r="H12" i="15"/>
  <c r="H34" i="15"/>
  <c r="H27" i="15"/>
  <c r="H36" i="15"/>
  <c r="H13" i="15"/>
  <c r="H15" i="15"/>
  <c r="H16" i="15"/>
  <c r="H17" i="15"/>
  <c r="H19" i="15"/>
  <c r="H20" i="15"/>
  <c r="H21" i="15"/>
  <c r="H23" i="15"/>
  <c r="H24" i="15"/>
  <c r="H39" i="15"/>
  <c r="H41" i="15"/>
  <c r="F56" i="15"/>
  <c r="H53" i="15"/>
  <c r="H14" i="15"/>
  <c r="H38" i="15"/>
  <c r="G55" i="15"/>
  <c r="H10" i="15"/>
  <c r="H18" i="15"/>
  <c r="H22" i="15"/>
  <c r="H54" i="15"/>
  <c r="H37" i="15"/>
  <c r="AH12" i="20"/>
  <c r="AH8" i="20"/>
  <c r="AI11" i="20"/>
  <c r="AG41" i="20"/>
  <c r="AI8" i="20"/>
  <c r="AI9" i="20"/>
  <c r="AH11" i="20"/>
  <c r="AH10" i="20"/>
  <c r="AI10" i="20"/>
  <c r="AF41" i="20"/>
  <c r="AI12" i="20"/>
  <c r="AH9" i="20"/>
  <c r="AH18" i="20" l="1"/>
  <c r="AH16" i="20"/>
  <c r="AI18" i="20"/>
  <c r="AI16" i="20"/>
  <c r="AI15" i="20"/>
  <c r="AI17" i="20"/>
  <c r="AI19" i="20"/>
  <c r="AH17" i="20"/>
  <c r="AH15" i="20"/>
  <c r="AH19" i="20"/>
  <c r="AK7" i="20"/>
  <c r="AJ7" i="20"/>
  <c r="AH39" i="20"/>
  <c r="AI39" i="20"/>
  <c r="H56" i="15"/>
  <c r="H57" i="15" s="1"/>
  <c r="I57" i="15" s="1"/>
  <c r="AK11" i="20"/>
  <c r="AK12" i="20"/>
  <c r="AI41" i="20"/>
  <c r="AJ8" i="20"/>
  <c r="AJ12" i="20"/>
  <c r="AK9" i="20"/>
  <c r="AJ11" i="20"/>
  <c r="AH41" i="20"/>
  <c r="AK10" i="20"/>
  <c r="AK8" i="20"/>
  <c r="AJ10" i="20"/>
  <c r="AJ9" i="20"/>
  <c r="AK17" i="20" l="1"/>
  <c r="AK16" i="20"/>
  <c r="AJ19" i="20"/>
  <c r="AJ17" i="20"/>
  <c r="AJ18" i="20"/>
  <c r="AK18" i="20"/>
  <c r="AJ15" i="20"/>
  <c r="AJ16" i="20"/>
  <c r="AK15" i="20"/>
  <c r="AK19" i="20"/>
  <c r="AL7" i="20"/>
  <c r="AM7" i="20"/>
  <c r="AK39" i="20"/>
  <c r="AJ39" i="20"/>
  <c r="H59" i="15"/>
  <c r="AL10" i="20"/>
  <c r="AL11" i="20"/>
  <c r="AM11" i="20"/>
  <c r="AM8" i="20"/>
  <c r="AL12" i="20"/>
  <c r="AM12" i="20"/>
  <c r="AM10" i="20"/>
  <c r="AJ41" i="20"/>
  <c r="AL8" i="20"/>
  <c r="AM9" i="20"/>
  <c r="AK41" i="20"/>
  <c r="AL9" i="20"/>
  <c r="AM17" i="20" l="1"/>
  <c r="AM18" i="20"/>
  <c r="AL18" i="20"/>
  <c r="AM16" i="20"/>
  <c r="AM15" i="20"/>
  <c r="AM19" i="20"/>
  <c r="AL15" i="20"/>
  <c r="AL19" i="20"/>
  <c r="AL16" i="20"/>
  <c r="AL17" i="20"/>
  <c r="AO7" i="20"/>
  <c r="AN7" i="20"/>
  <c r="AL39" i="20"/>
  <c r="AM39" i="20"/>
  <c r="H32" i="14"/>
  <c r="F33" i="14"/>
  <c r="G31" i="14"/>
  <c r="H31" i="14" s="1"/>
  <c r="G30" i="14"/>
  <c r="H30" i="14" s="1"/>
  <c r="G29" i="14"/>
  <c r="H29" i="14" s="1"/>
  <c r="G28" i="14"/>
  <c r="H28" i="14" s="1"/>
  <c r="G27" i="14"/>
  <c r="H27" i="14" s="1"/>
  <c r="G26" i="14"/>
  <c r="H26" i="14" s="1"/>
  <c r="G25" i="14"/>
  <c r="H25" i="14" s="1"/>
  <c r="G24" i="14"/>
  <c r="H24" i="14" s="1"/>
  <c r="G23" i="14"/>
  <c r="H23" i="14" s="1"/>
  <c r="G22" i="14"/>
  <c r="H22" i="14" s="1"/>
  <c r="G21" i="14"/>
  <c r="H21" i="14" s="1"/>
  <c r="G20" i="14"/>
  <c r="H20" i="14" s="1"/>
  <c r="G19" i="14"/>
  <c r="H19" i="14" s="1"/>
  <c r="G18" i="14"/>
  <c r="H18" i="14" s="1"/>
  <c r="G17" i="14"/>
  <c r="H17" i="14" s="1"/>
  <c r="G16" i="14"/>
  <c r="H16" i="14" s="1"/>
  <c r="G15" i="14"/>
  <c r="H15" i="14" s="1"/>
  <c r="G14" i="14"/>
  <c r="H14" i="14" s="1"/>
  <c r="G13" i="14"/>
  <c r="H13" i="14" s="1"/>
  <c r="G12" i="14"/>
  <c r="H12" i="14" s="1"/>
  <c r="G11" i="14"/>
  <c r="H11" i="14" s="1"/>
  <c r="G10" i="14"/>
  <c r="H10" i="14" s="1"/>
  <c r="G9" i="14"/>
  <c r="H9" i="14" s="1"/>
  <c r="G8" i="14"/>
  <c r="H8" i="14" s="1"/>
  <c r="G7" i="14"/>
  <c r="H7" i="14" s="1"/>
  <c r="G6" i="14"/>
  <c r="H6" i="14" s="1"/>
  <c r="G5" i="14"/>
  <c r="H5" i="14" s="1"/>
  <c r="G6" i="13"/>
  <c r="G7" i="13"/>
  <c r="G8" i="13"/>
  <c r="G9" i="13"/>
  <c r="G10" i="13"/>
  <c r="G11" i="13"/>
  <c r="G12" i="13"/>
  <c r="H12" i="13" s="1"/>
  <c r="G13" i="13"/>
  <c r="G14" i="13"/>
  <c r="G15" i="13"/>
  <c r="G16" i="13"/>
  <c r="H16" i="13" s="1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5" i="13"/>
  <c r="F30" i="13"/>
  <c r="F31" i="13" s="1"/>
  <c r="AN11" i="20"/>
  <c r="AN10" i="20"/>
  <c r="AO11" i="20"/>
  <c r="AN12" i="20"/>
  <c r="AO9" i="20"/>
  <c r="AO8" i="20"/>
  <c r="AN8" i="20"/>
  <c r="AO12" i="20"/>
  <c r="AL41" i="20"/>
  <c r="AN9" i="20"/>
  <c r="AO10" i="20"/>
  <c r="AM41" i="20"/>
  <c r="AO17" i="20" l="1"/>
  <c r="AN17" i="20"/>
  <c r="AN18" i="20"/>
  <c r="AO18" i="20"/>
  <c r="AN19" i="20"/>
  <c r="AN16" i="20"/>
  <c r="AN15" i="20"/>
  <c r="AO15" i="20"/>
  <c r="AO19" i="20"/>
  <c r="AO16" i="20"/>
  <c r="AP7" i="20"/>
  <c r="AO39" i="20"/>
  <c r="AN39" i="20"/>
  <c r="H33" i="14"/>
  <c r="H34" i="14" s="1"/>
  <c r="H36" i="14" s="1"/>
  <c r="H28" i="13"/>
  <c r="H14" i="13"/>
  <c r="H9" i="13"/>
  <c r="H22" i="13"/>
  <c r="H29" i="13"/>
  <c r="H6" i="13"/>
  <c r="H10" i="13"/>
  <c r="H13" i="13"/>
  <c r="H19" i="13"/>
  <c r="H23" i="13"/>
  <c r="H27" i="13"/>
  <c r="H8" i="13"/>
  <c r="H17" i="13"/>
  <c r="H21" i="13"/>
  <c r="H25" i="13"/>
  <c r="H15" i="13"/>
  <c r="H18" i="13"/>
  <c r="H26" i="13"/>
  <c r="H7" i="13"/>
  <c r="H11" i="13"/>
  <c r="H20" i="13"/>
  <c r="H24" i="13"/>
  <c r="G30" i="13"/>
  <c r="H31" i="13"/>
  <c r="H32" i="13" s="1"/>
  <c r="H34" i="13" s="1"/>
  <c r="H5" i="13"/>
  <c r="AP9" i="20"/>
  <c r="AP10" i="20"/>
  <c r="AP8" i="20"/>
  <c r="AN41" i="20"/>
  <c r="AO41" i="20"/>
  <c r="AP12" i="20"/>
  <c r="AP11" i="20"/>
  <c r="AP18" i="20" l="1"/>
  <c r="AP16" i="20"/>
  <c r="AP15" i="20"/>
  <c r="AP19" i="20"/>
  <c r="AP17" i="20"/>
  <c r="AP39" i="20"/>
  <c r="I2" i="12"/>
  <c r="K2" i="12" s="1"/>
  <c r="M2" i="12" s="1"/>
  <c r="O2" i="12" s="1"/>
  <c r="Q2" i="12" s="1"/>
  <c r="S2" i="12" s="1"/>
  <c r="U2" i="12" s="1"/>
  <c r="W2" i="12" s="1"/>
  <c r="Y2" i="12" s="1"/>
  <c r="AA2" i="12" s="1"/>
  <c r="AC2" i="12" s="1"/>
  <c r="AE2" i="12" s="1"/>
  <c r="AG2" i="12" s="1"/>
  <c r="AI2" i="12" s="1"/>
  <c r="AK2" i="12" s="1"/>
  <c r="AM2" i="12" s="1"/>
  <c r="AO2" i="12" s="1"/>
  <c r="AQ2" i="12" s="1"/>
  <c r="AS2" i="12" s="1"/>
  <c r="H2" i="12"/>
  <c r="J2" i="12" s="1"/>
  <c r="L2" i="12" s="1"/>
  <c r="N2" i="12" s="1"/>
  <c r="P2" i="12" s="1"/>
  <c r="R2" i="12" s="1"/>
  <c r="T2" i="12" s="1"/>
  <c r="V2" i="12" s="1"/>
  <c r="X2" i="12" s="1"/>
  <c r="Z2" i="12" s="1"/>
  <c r="AB2" i="12" s="1"/>
  <c r="AD2" i="12" s="1"/>
  <c r="AF2" i="12" s="1"/>
  <c r="AH2" i="12" s="1"/>
  <c r="AJ2" i="12" s="1"/>
  <c r="AL2" i="12" s="1"/>
  <c r="AN2" i="12" s="1"/>
  <c r="AP2" i="12" s="1"/>
  <c r="AR2" i="12" s="1"/>
  <c r="H1" i="12"/>
  <c r="J1" i="12" s="1"/>
  <c r="L1" i="12" s="1"/>
  <c r="N1" i="12" s="1"/>
  <c r="P1" i="12" s="1"/>
  <c r="R1" i="12" s="1"/>
  <c r="T1" i="12" s="1"/>
  <c r="V1" i="12" s="1"/>
  <c r="X1" i="12" s="1"/>
  <c r="Z1" i="12" s="1"/>
  <c r="AB1" i="12" s="1"/>
  <c r="AD1" i="12" s="1"/>
  <c r="AF1" i="12" s="1"/>
  <c r="AH1" i="12" s="1"/>
  <c r="AJ1" i="12" s="1"/>
  <c r="AL1" i="12" s="1"/>
  <c r="AN1" i="12" s="1"/>
  <c r="AP1" i="12" s="1"/>
  <c r="AR1" i="12" s="1"/>
  <c r="F2" i="7"/>
  <c r="H2" i="7" s="1"/>
  <c r="J2" i="7" s="1"/>
  <c r="L2" i="7" s="1"/>
  <c r="N2" i="7" s="1"/>
  <c r="P2" i="7" s="1"/>
  <c r="R2" i="7" s="1"/>
  <c r="T2" i="7" s="1"/>
  <c r="V2" i="7" s="1"/>
  <c r="X2" i="7" s="1"/>
  <c r="Z2" i="7" s="1"/>
  <c r="AB2" i="7" s="1"/>
  <c r="AD2" i="7" s="1"/>
  <c r="AF2" i="7" s="1"/>
  <c r="AH2" i="7" s="1"/>
  <c r="AJ2" i="7" s="1"/>
  <c r="AL2" i="7" s="1"/>
  <c r="AN2" i="7" s="1"/>
  <c r="AP2" i="7" s="1"/>
  <c r="E2" i="7"/>
  <c r="G2" i="7" s="1"/>
  <c r="I2" i="7" s="1"/>
  <c r="K2" i="7" s="1"/>
  <c r="M2" i="7" s="1"/>
  <c r="O2" i="7" s="1"/>
  <c r="Q2" i="7" s="1"/>
  <c r="S2" i="7" s="1"/>
  <c r="U2" i="7" s="1"/>
  <c r="W2" i="7" s="1"/>
  <c r="Y2" i="7" s="1"/>
  <c r="AA2" i="7" s="1"/>
  <c r="AC2" i="7" s="1"/>
  <c r="AE2" i="7" s="1"/>
  <c r="AG2" i="7" s="1"/>
  <c r="AI2" i="7" s="1"/>
  <c r="AK2" i="7" s="1"/>
  <c r="AM2" i="7" s="1"/>
  <c r="AO2" i="7" s="1"/>
  <c r="I2" i="9"/>
  <c r="K2" i="9" s="1"/>
  <c r="M2" i="9" s="1"/>
  <c r="O2" i="9" s="1"/>
  <c r="Q2" i="9" s="1"/>
  <c r="S2" i="9" s="1"/>
  <c r="U2" i="9" s="1"/>
  <c r="W2" i="9" s="1"/>
  <c r="Y2" i="9" s="1"/>
  <c r="AA2" i="9" s="1"/>
  <c r="AC2" i="9" s="1"/>
  <c r="AE2" i="9" s="1"/>
  <c r="AG2" i="9" s="1"/>
  <c r="AI2" i="9" s="1"/>
  <c r="AK2" i="9" s="1"/>
  <c r="AM2" i="9" s="1"/>
  <c r="AO2" i="9" s="1"/>
  <c r="AQ2" i="9" s="1"/>
  <c r="AS2" i="9" s="1"/>
  <c r="H2" i="9"/>
  <c r="J2" i="9" s="1"/>
  <c r="L2" i="9" s="1"/>
  <c r="N2" i="9" s="1"/>
  <c r="P2" i="9" s="1"/>
  <c r="R2" i="9" s="1"/>
  <c r="T2" i="9" s="1"/>
  <c r="V2" i="9" s="1"/>
  <c r="X2" i="9" s="1"/>
  <c r="Z2" i="9" s="1"/>
  <c r="AB2" i="9" s="1"/>
  <c r="AD2" i="9" s="1"/>
  <c r="AF2" i="9" s="1"/>
  <c r="AH2" i="9" s="1"/>
  <c r="AJ2" i="9" s="1"/>
  <c r="AL2" i="9" s="1"/>
  <c r="AN2" i="9" s="1"/>
  <c r="AP2" i="9" s="1"/>
  <c r="AR2" i="9" s="1"/>
  <c r="AP41" i="20"/>
  <c r="E1" i="7" l="1"/>
  <c r="G1" i="7" l="1"/>
  <c r="H1" i="9"/>
  <c r="J1" i="9" s="1"/>
  <c r="L1" i="9" s="1"/>
  <c r="N1" i="9" s="1"/>
  <c r="P1" i="9" s="1"/>
  <c r="R1" i="9" s="1"/>
  <c r="T1" i="9" s="1"/>
  <c r="V1" i="9" s="1"/>
  <c r="X1" i="9" s="1"/>
  <c r="Z1" i="9" s="1"/>
  <c r="AB1" i="9" s="1"/>
  <c r="AD1" i="9" s="1"/>
  <c r="AF1" i="9" s="1"/>
  <c r="AH1" i="9" s="1"/>
  <c r="AJ1" i="9" s="1"/>
  <c r="AL1" i="9" s="1"/>
  <c r="AN1" i="9" s="1"/>
  <c r="AP1" i="9" s="1"/>
  <c r="AR1" i="9" s="1"/>
  <c r="I1" i="7" l="1"/>
  <c r="G4" i="8"/>
  <c r="H4" i="8" s="1"/>
  <c r="G5" i="8"/>
  <c r="H5" i="8" s="1"/>
  <c r="G6" i="8"/>
  <c r="H6" i="8" s="1"/>
  <c r="G7" i="8"/>
  <c r="H7" i="8" s="1"/>
  <c r="G8" i="8"/>
  <c r="H8" i="8" s="1"/>
  <c r="G9" i="8"/>
  <c r="H9" i="8" s="1"/>
  <c r="G10" i="8"/>
  <c r="H10" i="8" s="1"/>
  <c r="G11" i="8"/>
  <c r="H11" i="8" s="1"/>
  <c r="G12" i="8"/>
  <c r="H12" i="8" s="1"/>
  <c r="G13" i="8"/>
  <c r="H13" i="8" s="1"/>
  <c r="G14" i="8"/>
  <c r="H14" i="8" s="1"/>
  <c r="G15" i="8"/>
  <c r="H15" i="8" s="1"/>
  <c r="G16" i="8"/>
  <c r="H16" i="8" s="1"/>
  <c r="G17" i="8"/>
  <c r="H17" i="8" s="1"/>
  <c r="G18" i="8"/>
  <c r="H18" i="8" s="1"/>
  <c r="G19" i="8"/>
  <c r="H19" i="8" s="1"/>
  <c r="G20" i="8"/>
  <c r="H20" i="8" s="1"/>
  <c r="G21" i="8"/>
  <c r="H21" i="8" s="1"/>
  <c r="G22" i="8"/>
  <c r="H22" i="8" s="1"/>
  <c r="G23" i="8"/>
  <c r="H23" i="8" s="1"/>
  <c r="G24" i="8"/>
  <c r="H24" i="8" s="1"/>
  <c r="G25" i="8"/>
  <c r="H25" i="8" s="1"/>
  <c r="G26" i="8"/>
  <c r="H26" i="8" s="1"/>
  <c r="G27" i="8"/>
  <c r="H27" i="8" s="1"/>
  <c r="G28" i="8"/>
  <c r="H28" i="8" s="1"/>
  <c r="G29" i="8"/>
  <c r="H29" i="8" s="1"/>
  <c r="G30" i="8"/>
  <c r="H30" i="8" s="1"/>
  <c r="G31" i="8"/>
  <c r="H31" i="8" s="1"/>
  <c r="G32" i="8"/>
  <c r="H32" i="8" s="1"/>
  <c r="G33" i="8"/>
  <c r="H33" i="8" s="1"/>
  <c r="G34" i="8"/>
  <c r="H34" i="8" s="1"/>
  <c r="G35" i="8"/>
  <c r="H35" i="8" s="1"/>
  <c r="G36" i="8"/>
  <c r="H36" i="8" s="1"/>
  <c r="G37" i="8"/>
  <c r="H37" i="8" s="1"/>
  <c r="G38" i="8"/>
  <c r="H38" i="8" s="1"/>
  <c r="G39" i="8"/>
  <c r="H39" i="8" s="1"/>
  <c r="G40" i="8"/>
  <c r="H40" i="8" s="1"/>
  <c r="G41" i="8"/>
  <c r="H41" i="8" s="1"/>
  <c r="G42" i="8"/>
  <c r="H42" i="8" s="1"/>
  <c r="G43" i="8"/>
  <c r="H43" i="8" s="1"/>
  <c r="G44" i="8"/>
  <c r="H44" i="8" s="1"/>
  <c r="G45" i="8"/>
  <c r="H45" i="8" s="1"/>
  <c r="G46" i="8"/>
  <c r="H46" i="8" s="1"/>
  <c r="G47" i="8"/>
  <c r="H47" i="8" s="1"/>
  <c r="G48" i="8"/>
  <c r="H48" i="8" s="1"/>
  <c r="G49" i="8"/>
  <c r="H49" i="8" s="1"/>
  <c r="G50" i="8"/>
  <c r="H50" i="8" s="1"/>
  <c r="G51" i="8"/>
  <c r="H51" i="8" s="1"/>
  <c r="G52" i="8"/>
  <c r="H52" i="8" s="1"/>
  <c r="G53" i="8"/>
  <c r="H53" i="8" s="1"/>
  <c r="G54" i="8"/>
  <c r="H54" i="8" s="1"/>
  <c r="G55" i="8"/>
  <c r="H55" i="8" s="1"/>
  <c r="G56" i="8"/>
  <c r="H56" i="8" s="1"/>
  <c r="G57" i="8"/>
  <c r="H57" i="8" s="1"/>
  <c r="G58" i="8"/>
  <c r="H58" i="8" s="1"/>
  <c r="F59" i="8"/>
  <c r="F60" i="8" s="1"/>
  <c r="K1" i="7" l="1"/>
  <c r="H60" i="8"/>
  <c r="H61" i="8" s="1"/>
  <c r="H63" i="8" s="1"/>
  <c r="M1" i="7" l="1"/>
  <c r="F57" i="6"/>
  <c r="G56" i="6"/>
  <c r="H56" i="6" s="1"/>
  <c r="L56" i="6" s="1"/>
  <c r="G55" i="6"/>
  <c r="H55" i="6" s="1"/>
  <c r="L55" i="6" s="1"/>
  <c r="G54" i="6"/>
  <c r="H54" i="6" s="1"/>
  <c r="L54" i="6" s="1"/>
  <c r="G53" i="6"/>
  <c r="H53" i="6" s="1"/>
  <c r="L53" i="6" s="1"/>
  <c r="G52" i="6"/>
  <c r="H52" i="6" s="1"/>
  <c r="L52" i="6" s="1"/>
  <c r="G51" i="6"/>
  <c r="H51" i="6" s="1"/>
  <c r="L51" i="6" s="1"/>
  <c r="G50" i="6"/>
  <c r="H50" i="6" s="1"/>
  <c r="L50" i="6" s="1"/>
  <c r="G49" i="6"/>
  <c r="H49" i="6" s="1"/>
  <c r="L49" i="6" s="1"/>
  <c r="G48" i="6"/>
  <c r="H48" i="6" s="1"/>
  <c r="L48" i="6" s="1"/>
  <c r="G47" i="6"/>
  <c r="H47" i="6" s="1"/>
  <c r="L47" i="6" s="1"/>
  <c r="G46" i="6"/>
  <c r="H46" i="6" s="1"/>
  <c r="L46" i="6" s="1"/>
  <c r="G45" i="6"/>
  <c r="H45" i="6" s="1"/>
  <c r="L45" i="6" s="1"/>
  <c r="G44" i="6"/>
  <c r="H44" i="6" s="1"/>
  <c r="L44" i="6" s="1"/>
  <c r="G43" i="6"/>
  <c r="H43" i="6" s="1"/>
  <c r="L43" i="6" s="1"/>
  <c r="G42" i="6"/>
  <c r="H42" i="6" s="1"/>
  <c r="L42" i="6" s="1"/>
  <c r="G41" i="6"/>
  <c r="H41" i="6" s="1"/>
  <c r="L41" i="6" s="1"/>
  <c r="G40" i="6"/>
  <c r="H40" i="6" s="1"/>
  <c r="L40" i="6" s="1"/>
  <c r="G39" i="6"/>
  <c r="H39" i="6" s="1"/>
  <c r="L39" i="6" s="1"/>
  <c r="G38" i="6"/>
  <c r="H38" i="6" s="1"/>
  <c r="L38" i="6" s="1"/>
  <c r="G37" i="6"/>
  <c r="H37" i="6" s="1"/>
  <c r="L37" i="6" s="1"/>
  <c r="G36" i="6"/>
  <c r="H36" i="6" s="1"/>
  <c r="L36" i="6" s="1"/>
  <c r="G35" i="6"/>
  <c r="H35" i="6" s="1"/>
  <c r="L35" i="6" s="1"/>
  <c r="G34" i="6"/>
  <c r="H34" i="6" s="1"/>
  <c r="L34" i="6" s="1"/>
  <c r="G33" i="6"/>
  <c r="H33" i="6" s="1"/>
  <c r="L33" i="6" s="1"/>
  <c r="G32" i="6"/>
  <c r="H32" i="6" s="1"/>
  <c r="L32" i="6" s="1"/>
  <c r="G31" i="6"/>
  <c r="H31" i="6" s="1"/>
  <c r="L31" i="6" s="1"/>
  <c r="G30" i="6"/>
  <c r="H30" i="6" s="1"/>
  <c r="L30" i="6" s="1"/>
  <c r="G29" i="6"/>
  <c r="H29" i="6" s="1"/>
  <c r="L29" i="6" s="1"/>
  <c r="G28" i="6"/>
  <c r="H28" i="6" s="1"/>
  <c r="L28" i="6" s="1"/>
  <c r="G27" i="6"/>
  <c r="H27" i="6" s="1"/>
  <c r="L27" i="6" s="1"/>
  <c r="G26" i="6"/>
  <c r="H26" i="6" s="1"/>
  <c r="L26" i="6" s="1"/>
  <c r="G25" i="6"/>
  <c r="H25" i="6" s="1"/>
  <c r="L25" i="6" s="1"/>
  <c r="G24" i="6"/>
  <c r="H24" i="6" s="1"/>
  <c r="L24" i="6" s="1"/>
  <c r="G23" i="6"/>
  <c r="H23" i="6" s="1"/>
  <c r="L23" i="6" s="1"/>
  <c r="G22" i="6"/>
  <c r="H22" i="6" s="1"/>
  <c r="L22" i="6" s="1"/>
  <c r="G21" i="6"/>
  <c r="H21" i="6" s="1"/>
  <c r="L21" i="6" s="1"/>
  <c r="G20" i="6"/>
  <c r="H20" i="6" s="1"/>
  <c r="L20" i="6" s="1"/>
  <c r="G19" i="6"/>
  <c r="H19" i="6" s="1"/>
  <c r="L19" i="6" s="1"/>
  <c r="G18" i="6"/>
  <c r="H18" i="6" s="1"/>
  <c r="L18" i="6" s="1"/>
  <c r="G17" i="6"/>
  <c r="H17" i="6" s="1"/>
  <c r="L17" i="6" s="1"/>
  <c r="G16" i="6"/>
  <c r="H16" i="6" s="1"/>
  <c r="L16" i="6" s="1"/>
  <c r="G15" i="6"/>
  <c r="H15" i="6" s="1"/>
  <c r="L15" i="6" s="1"/>
  <c r="G14" i="6"/>
  <c r="H14" i="6" s="1"/>
  <c r="L14" i="6" s="1"/>
  <c r="G13" i="6"/>
  <c r="H13" i="6" s="1"/>
  <c r="L13" i="6" s="1"/>
  <c r="G12" i="6"/>
  <c r="H12" i="6" s="1"/>
  <c r="L12" i="6" s="1"/>
  <c r="G11" i="6"/>
  <c r="H11" i="6" s="1"/>
  <c r="L11" i="6" s="1"/>
  <c r="G10" i="6"/>
  <c r="H10" i="6" s="1"/>
  <c r="L10" i="6" s="1"/>
  <c r="G9" i="6"/>
  <c r="H9" i="6" s="1"/>
  <c r="L9" i="6" s="1"/>
  <c r="G8" i="6"/>
  <c r="H8" i="6" s="1"/>
  <c r="L8" i="6" s="1"/>
  <c r="G7" i="6"/>
  <c r="H7" i="6" s="1"/>
  <c r="L7" i="6" s="1"/>
  <c r="G6" i="6"/>
  <c r="H6" i="6" s="1"/>
  <c r="L6" i="6" s="1"/>
  <c r="G5" i="6"/>
  <c r="F31" i="5"/>
  <c r="O1" i="7" l="1"/>
  <c r="F58" i="6"/>
  <c r="O58" i="6" s="1"/>
  <c r="V62" i="6" s="1"/>
  <c r="N57" i="6"/>
  <c r="H5" i="6"/>
  <c r="H31" i="5"/>
  <c r="H32" i="5" s="1"/>
  <c r="H34" i="5" s="1"/>
  <c r="L5" i="6" l="1"/>
  <c r="F67" i="6"/>
  <c r="Q1" i="7"/>
  <c r="G6" i="4"/>
  <c r="G7" i="4"/>
  <c r="G8" i="4"/>
  <c r="G9" i="4"/>
  <c r="G10" i="4"/>
  <c r="G11" i="4"/>
  <c r="G12" i="4"/>
  <c r="G13" i="4"/>
  <c r="G14" i="4"/>
  <c r="G15" i="4"/>
  <c r="H15" i="4" s="1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" i="4"/>
  <c r="F58" i="4"/>
  <c r="S1" i="7" l="1"/>
  <c r="G58" i="4"/>
  <c r="H41" i="4"/>
  <c r="H42" i="4"/>
  <c r="H43" i="4"/>
  <c r="H44" i="4"/>
  <c r="H45" i="4"/>
  <c r="H46" i="4"/>
  <c r="H47" i="4"/>
  <c r="H48" i="4"/>
  <c r="H49" i="4"/>
  <c r="H50" i="4"/>
  <c r="H51" i="4"/>
  <c r="H52" i="4"/>
  <c r="H5" i="4"/>
  <c r="H6" i="4"/>
  <c r="H19" i="4"/>
  <c r="H20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21" i="4"/>
  <c r="H35" i="4"/>
  <c r="H36" i="4"/>
  <c r="H37" i="4"/>
  <c r="H38" i="4"/>
  <c r="H39" i="4"/>
  <c r="H40" i="4"/>
  <c r="H53" i="4"/>
  <c r="H7" i="4"/>
  <c r="H9" i="4"/>
  <c r="H11" i="4"/>
  <c r="H12" i="4"/>
  <c r="H13" i="4"/>
  <c r="H14" i="4"/>
  <c r="H8" i="4"/>
  <c r="H10" i="4"/>
  <c r="H16" i="4"/>
  <c r="H17" i="4"/>
  <c r="H18" i="4"/>
  <c r="H54" i="4"/>
  <c r="H56" i="4"/>
  <c r="H55" i="4"/>
  <c r="H57" i="4"/>
  <c r="F59" i="4"/>
  <c r="U1" i="7" l="1"/>
  <c r="H59" i="4"/>
  <c r="H60" i="4" s="1"/>
  <c r="H63" i="4" s="1"/>
  <c r="W1" i="7" l="1"/>
  <c r="G90" i="3"/>
  <c r="H90" i="3" s="1"/>
  <c r="G84" i="3"/>
  <c r="H84" i="3" s="1"/>
  <c r="G83" i="3"/>
  <c r="H83" i="3" s="1"/>
  <c r="G82" i="3"/>
  <c r="H82" i="3" s="1"/>
  <c r="G81" i="3"/>
  <c r="H81" i="3" s="1"/>
  <c r="G80" i="3"/>
  <c r="H80" i="3" s="1"/>
  <c r="G79" i="3"/>
  <c r="H79" i="3" s="1"/>
  <c r="G78" i="3"/>
  <c r="H78" i="3" s="1"/>
  <c r="G77" i="3"/>
  <c r="H77" i="3" s="1"/>
  <c r="G76" i="3"/>
  <c r="H76" i="3" s="1"/>
  <c r="G75" i="3"/>
  <c r="H75" i="3" s="1"/>
  <c r="G74" i="3"/>
  <c r="H74" i="3" s="1"/>
  <c r="G73" i="3"/>
  <c r="H73" i="3" s="1"/>
  <c r="G72" i="3"/>
  <c r="H72" i="3" s="1"/>
  <c r="G71" i="3"/>
  <c r="H71" i="3" s="1"/>
  <c r="G70" i="3"/>
  <c r="H70" i="3" s="1"/>
  <c r="G69" i="3"/>
  <c r="H69" i="3" s="1"/>
  <c r="G68" i="3"/>
  <c r="H68" i="3" s="1"/>
  <c r="G67" i="3"/>
  <c r="H67" i="3" s="1"/>
  <c r="G66" i="3"/>
  <c r="H66" i="3" s="1"/>
  <c r="G65" i="3"/>
  <c r="H65" i="3" s="1"/>
  <c r="G64" i="3"/>
  <c r="H64" i="3" s="1"/>
  <c r="G63" i="3"/>
  <c r="H63" i="3" s="1"/>
  <c r="G62" i="3"/>
  <c r="H62" i="3" s="1"/>
  <c r="G61" i="3"/>
  <c r="H61" i="3" s="1"/>
  <c r="G60" i="3"/>
  <c r="H60" i="3" s="1"/>
  <c r="G59" i="3"/>
  <c r="H59" i="3" s="1"/>
  <c r="G58" i="3"/>
  <c r="H58" i="3" s="1"/>
  <c r="G57" i="3"/>
  <c r="H57" i="3" s="1"/>
  <c r="G56" i="3"/>
  <c r="H56" i="3" s="1"/>
  <c r="G55" i="3"/>
  <c r="H55" i="3" s="1"/>
  <c r="G54" i="3"/>
  <c r="H54" i="3" s="1"/>
  <c r="G53" i="3"/>
  <c r="H53" i="3" s="1"/>
  <c r="G52" i="3"/>
  <c r="H52" i="3" s="1"/>
  <c r="G51" i="3"/>
  <c r="H51" i="3" s="1"/>
  <c r="G50" i="3"/>
  <c r="H50" i="3" s="1"/>
  <c r="G49" i="3"/>
  <c r="H49" i="3" s="1"/>
  <c r="G48" i="3"/>
  <c r="H48" i="3" s="1"/>
  <c r="G47" i="3"/>
  <c r="H47" i="3" s="1"/>
  <c r="G46" i="3"/>
  <c r="H46" i="3" s="1"/>
  <c r="G45" i="3"/>
  <c r="H45" i="3" s="1"/>
  <c r="G44" i="3"/>
  <c r="H44" i="3" s="1"/>
  <c r="G43" i="3"/>
  <c r="H43" i="3" s="1"/>
  <c r="G42" i="3"/>
  <c r="H42" i="3" s="1"/>
  <c r="G41" i="3"/>
  <c r="H41" i="3" s="1"/>
  <c r="G40" i="3"/>
  <c r="H40" i="3" s="1"/>
  <c r="G39" i="3"/>
  <c r="H39" i="3" s="1"/>
  <c r="G38" i="3"/>
  <c r="H38" i="3" s="1"/>
  <c r="G37" i="3"/>
  <c r="H37" i="3" s="1"/>
  <c r="G36" i="3"/>
  <c r="H36" i="3" s="1"/>
  <c r="G35" i="3"/>
  <c r="H35" i="3" s="1"/>
  <c r="G34" i="3"/>
  <c r="H34" i="3" s="1"/>
  <c r="G33" i="3"/>
  <c r="H33" i="3" s="1"/>
  <c r="G32" i="3"/>
  <c r="H32" i="3" s="1"/>
  <c r="G31" i="3"/>
  <c r="H31" i="3" s="1"/>
  <c r="G30" i="3"/>
  <c r="H30" i="3" s="1"/>
  <c r="G29" i="3"/>
  <c r="H29" i="3" s="1"/>
  <c r="G28" i="3"/>
  <c r="H28" i="3" s="1"/>
  <c r="G27" i="3"/>
  <c r="H27" i="3" s="1"/>
  <c r="G26" i="3"/>
  <c r="H26" i="3" s="1"/>
  <c r="G25" i="3"/>
  <c r="H25" i="3" s="1"/>
  <c r="G24" i="3"/>
  <c r="H24" i="3" s="1"/>
  <c r="G23" i="3"/>
  <c r="H23" i="3" s="1"/>
  <c r="G22" i="3"/>
  <c r="H22" i="3" s="1"/>
  <c r="G21" i="3"/>
  <c r="H21" i="3" s="1"/>
  <c r="G20" i="3"/>
  <c r="H20" i="3" s="1"/>
  <c r="G19" i="3"/>
  <c r="H19" i="3" s="1"/>
  <c r="G18" i="3"/>
  <c r="H18" i="3" s="1"/>
  <c r="G17" i="3"/>
  <c r="H17" i="3" s="1"/>
  <c r="G16" i="3"/>
  <c r="H16" i="3" s="1"/>
  <c r="G15" i="3"/>
  <c r="H15" i="3" s="1"/>
  <c r="G14" i="3"/>
  <c r="H14" i="3" s="1"/>
  <c r="G13" i="3"/>
  <c r="H13" i="3" s="1"/>
  <c r="G12" i="3"/>
  <c r="H12" i="3" s="1"/>
  <c r="G11" i="3"/>
  <c r="H11" i="3" s="1"/>
  <c r="G10" i="3"/>
  <c r="H10" i="3" s="1"/>
  <c r="G9" i="3"/>
  <c r="Y1" i="7" l="1"/>
  <c r="G85" i="3"/>
  <c r="H9" i="3"/>
  <c r="H86" i="3" s="1"/>
  <c r="H89" i="3" s="1"/>
  <c r="H92" i="3" l="1"/>
  <c r="E97" i="3"/>
  <c r="AA1" i="7"/>
  <c r="G1" i="3"/>
  <c r="AC1" i="7" l="1"/>
  <c r="AE1" i="7" l="1"/>
  <c r="AG1" i="7" l="1"/>
  <c r="AI1" i="7" l="1"/>
  <c r="AK1" i="7" l="1"/>
  <c r="AM1" i="7" s="1"/>
  <c r="AO1" i="7" s="1"/>
  <c r="B3" i="2"/>
</calcChain>
</file>

<file path=xl/sharedStrings.xml><?xml version="1.0" encoding="utf-8"?>
<sst xmlns="http://schemas.openxmlformats.org/spreadsheetml/2006/main" count="11656" uniqueCount="1793">
  <si>
    <t>Curso</t>
  </si>
  <si>
    <t>Período</t>
  </si>
  <si>
    <t>No de professores</t>
  </si>
  <si>
    <t>Atribuição</t>
  </si>
  <si>
    <t>Áreas do campus</t>
  </si>
  <si>
    <t>Biologia</t>
  </si>
  <si>
    <t>Física</t>
  </si>
  <si>
    <t>Química</t>
  </si>
  <si>
    <t>Filosofia</t>
  </si>
  <si>
    <t>História</t>
  </si>
  <si>
    <t>Geografia</t>
  </si>
  <si>
    <t>Sociologia</t>
  </si>
  <si>
    <t>Artes</t>
  </si>
  <si>
    <t>Educação física</t>
  </si>
  <si>
    <t>Português</t>
  </si>
  <si>
    <t>Inglês</t>
  </si>
  <si>
    <t>LIBRAS</t>
  </si>
  <si>
    <t>Espanhol</t>
  </si>
  <si>
    <t>Informática</t>
  </si>
  <si>
    <t>Mecânica</t>
  </si>
  <si>
    <t>Automação</t>
  </si>
  <si>
    <t>Matemática</t>
  </si>
  <si>
    <t>Cursos oferecidos</t>
  </si>
  <si>
    <t>Nome</t>
  </si>
  <si>
    <t xml:space="preserve">Tipo </t>
  </si>
  <si>
    <t>Primeira turma ingressante</t>
  </si>
  <si>
    <t>Grade</t>
  </si>
  <si>
    <t>Quantidade de ingressantes</t>
  </si>
  <si>
    <t>Duração</t>
  </si>
  <si>
    <t>Engenharia de Controle e Automação</t>
  </si>
  <si>
    <t>Superior</t>
  </si>
  <si>
    <t>Duração do módulo</t>
  </si>
  <si>
    <t>Periodicidade de ingresso</t>
  </si>
  <si>
    <t>Anual</t>
  </si>
  <si>
    <t>Semestral</t>
  </si>
  <si>
    <t>Componente</t>
  </si>
  <si>
    <r>
      <t xml:space="preserve">INSTITUTO FEDERAL DE EDUCAÇÃO, CIÊNCIA E TECNOLOGIA DE SÃO PAULO
</t>
    </r>
    <r>
      <rPr>
        <sz val="11"/>
        <color theme="1"/>
        <rFont val="Calibri"/>
        <family val="2"/>
        <scheme val="minor"/>
      </rPr>
      <t>(Criação Lei nº 11.892, de 29/12/2006)</t>
    </r>
  </si>
  <si>
    <r>
      <t xml:space="preserve">Campus </t>
    </r>
    <r>
      <rPr>
        <b/>
        <sz val="11"/>
        <color theme="1"/>
        <rFont val="Calibri"/>
        <family val="2"/>
        <scheme val="minor"/>
      </rPr>
      <t>Hortolândia</t>
    </r>
  </si>
  <si>
    <t>Estrutura Curricular de Engenharia em</t>
  </si>
  <si>
    <t>Controle e Automação</t>
  </si>
  <si>
    <t>Base legal: Lei 9.394/96 e Resolução CNE nº 11/2002</t>
  </si>
  <si>
    <t>Início do curso:</t>
  </si>
  <si>
    <t>Resolução de autorização do curso no IFSP:</t>
  </si>
  <si>
    <t>1 sem / 2019</t>
  </si>
  <si>
    <t>Componente Curricular</t>
  </si>
  <si>
    <t>Código</t>
  </si>
  <si>
    <t>Teoria/ Prática</t>
  </si>
  <si>
    <t>Nº Prof.</t>
  </si>
  <si>
    <t>aulas/sem</t>
  </si>
  <si>
    <t>Total aulas</t>
  </si>
  <si>
    <t>Total horas</t>
  </si>
  <si>
    <t>1º Semestre</t>
  </si>
  <si>
    <t>Fundamentos da Computação</t>
  </si>
  <si>
    <t>FDCS1</t>
  </si>
  <si>
    <t>T/P</t>
  </si>
  <si>
    <t>Desenho Técnico</t>
  </si>
  <si>
    <t>DTMS1</t>
  </si>
  <si>
    <t>P</t>
  </si>
  <si>
    <t>Eletricidade</t>
  </si>
  <si>
    <t>ELTS1</t>
  </si>
  <si>
    <t>T</t>
  </si>
  <si>
    <t>Introdução à Automação Industrial</t>
  </si>
  <si>
    <t>IAIS1</t>
  </si>
  <si>
    <t>Laboratório de Eletricidade</t>
  </si>
  <si>
    <t>ELLS1</t>
  </si>
  <si>
    <t>Química 1</t>
  </si>
  <si>
    <t>QU1S1</t>
  </si>
  <si>
    <t>2º Semestre</t>
  </si>
  <si>
    <t>Cálculo 1</t>
  </si>
  <si>
    <t>Circuitos Elétricos</t>
  </si>
  <si>
    <t>CETS2</t>
  </si>
  <si>
    <t>Eletrônica Digital</t>
  </si>
  <si>
    <t>ELDS2</t>
  </si>
  <si>
    <t>Geometria Analítica e Álgebra Linear</t>
  </si>
  <si>
    <t>GALS2</t>
  </si>
  <si>
    <t>Laboratório de Circuitos Elétricos</t>
  </si>
  <si>
    <t>CELS2</t>
  </si>
  <si>
    <t>Cultura e Filosofia</t>
  </si>
  <si>
    <t>CFIS2</t>
  </si>
  <si>
    <t>Programação de Computadores 1</t>
  </si>
  <si>
    <t>PR1S2</t>
  </si>
  <si>
    <t>Química 2</t>
  </si>
  <si>
    <t>QU2S2</t>
  </si>
  <si>
    <t>Segurança do Trabalho</t>
  </si>
  <si>
    <t>STRS2</t>
  </si>
  <si>
    <t>3º Semestre</t>
  </si>
  <si>
    <t>Cálculo 2</t>
  </si>
  <si>
    <t>Eletrônica Analógica</t>
  </si>
  <si>
    <t>ELAS3</t>
  </si>
  <si>
    <t>Laboratório de Eletrônica Analógica</t>
  </si>
  <si>
    <t>LEAS3</t>
  </si>
  <si>
    <t>Mecânica Clássica</t>
  </si>
  <si>
    <t>MCCS3</t>
  </si>
  <si>
    <t>Microcontroladores</t>
  </si>
  <si>
    <t>MICS3</t>
  </si>
  <si>
    <t>Química 3</t>
  </si>
  <si>
    <t>QU3S3</t>
  </si>
  <si>
    <t>Programação de Computadores 2</t>
  </si>
  <si>
    <t>PR2S3</t>
  </si>
  <si>
    <t>4º Semestre</t>
  </si>
  <si>
    <t>Cálculo 3</t>
  </si>
  <si>
    <t>Eletrônica de Potência</t>
  </si>
  <si>
    <t>EPTS4</t>
  </si>
  <si>
    <t>Laboratório de Eletrônica de Potência</t>
  </si>
  <si>
    <t>EPPS4</t>
  </si>
  <si>
    <t>Ciência dos Materiais</t>
  </si>
  <si>
    <t>CMAS4</t>
  </si>
  <si>
    <t>Eletromagnetismo</t>
  </si>
  <si>
    <t>EMGS4</t>
  </si>
  <si>
    <t>Programação de Computadores 3</t>
  </si>
  <si>
    <t>PR3S4</t>
  </si>
  <si>
    <t>Oscilações e Ondas</t>
  </si>
  <si>
    <t>FIOS4</t>
  </si>
  <si>
    <t>Termodinâmica</t>
  </si>
  <si>
    <t>TERS4</t>
  </si>
  <si>
    <t>5° Semestre</t>
  </si>
  <si>
    <t>Comandos Elétricos</t>
  </si>
  <si>
    <t>COES5</t>
  </si>
  <si>
    <t>Máquinas e Instalações Elétricas Industriais</t>
  </si>
  <si>
    <t>MELS5</t>
  </si>
  <si>
    <t>Sociologia e Sociologia do Trabalho</t>
  </si>
  <si>
    <t>SOCS5</t>
  </si>
  <si>
    <t>Dinâmica</t>
  </si>
  <si>
    <t>DINS5</t>
  </si>
  <si>
    <t>Administração</t>
  </si>
  <si>
    <t>ADMS5</t>
  </si>
  <si>
    <t>Mecânica dos Fluidos</t>
  </si>
  <si>
    <t>MFLS5</t>
  </si>
  <si>
    <t>Processos Industriais</t>
  </si>
  <si>
    <t>PINS5</t>
  </si>
  <si>
    <t>Resistência dos Materiais</t>
  </si>
  <si>
    <t>RMAS5</t>
  </si>
  <si>
    <t>6° Semestre</t>
  </si>
  <si>
    <t>Confiabilidade Metrológica aplicada à Instrumentação Industrial</t>
  </si>
  <si>
    <t>METS6</t>
  </si>
  <si>
    <t>Controlador Lógico Programável 1</t>
  </si>
  <si>
    <t>CL1S6</t>
  </si>
  <si>
    <t>Desenho de Instrumentação</t>
  </si>
  <si>
    <t>DSIS6</t>
  </si>
  <si>
    <t>Estado e Política</t>
  </si>
  <si>
    <t>ESPS6</t>
  </si>
  <si>
    <t>Elementos Finais de Controle</t>
  </si>
  <si>
    <t>EFCS6</t>
  </si>
  <si>
    <t>Gestão de Pessoas</t>
  </si>
  <si>
    <t>GPES6</t>
  </si>
  <si>
    <t>Probabilidade</t>
  </si>
  <si>
    <t>PROS6</t>
  </si>
  <si>
    <t>Instrumentação</t>
  </si>
  <si>
    <t>ISTS6</t>
  </si>
  <si>
    <t>Laboratório de Instrumentação</t>
  </si>
  <si>
    <t>ISLS6</t>
  </si>
  <si>
    <t>7° Semestre</t>
  </si>
  <si>
    <t>Controlador Lógico Programável 2</t>
  </si>
  <si>
    <t>CL2S7</t>
  </si>
  <si>
    <t>Controle de Processos</t>
  </si>
  <si>
    <t>CPTS7</t>
  </si>
  <si>
    <t>Docência e Instrutoria</t>
  </si>
  <si>
    <t>DOCS7</t>
  </si>
  <si>
    <t>Fenômenos de Transporte</t>
  </si>
  <si>
    <t>FTRS7</t>
  </si>
  <si>
    <t>Estatística</t>
  </si>
  <si>
    <t>ETTS7</t>
  </si>
  <si>
    <t>Comportamento Organizacional</t>
  </si>
  <si>
    <t>CMOS7</t>
  </si>
  <si>
    <t>Laboratório de Controle de Processos</t>
  </si>
  <si>
    <t>CPLS7</t>
  </si>
  <si>
    <t>Redes Industriais</t>
  </si>
  <si>
    <t>RIDS7</t>
  </si>
  <si>
    <t>8° Semestre</t>
  </si>
  <si>
    <t>Cálculo Numérico</t>
  </si>
  <si>
    <t>CNUS8</t>
  </si>
  <si>
    <t>Hidráulica e Pneumática</t>
  </si>
  <si>
    <t>HPNS8</t>
  </si>
  <si>
    <t>Geração de Energia e Eficiência Energética</t>
  </si>
  <si>
    <t>GEES8</t>
  </si>
  <si>
    <t>Sistemas Supervisórios</t>
  </si>
  <si>
    <t>SUPS8</t>
  </si>
  <si>
    <t>Efeitos Econômicos, Sociais e Ambientais da Automação</t>
  </si>
  <si>
    <t>ESAS8</t>
  </si>
  <si>
    <t>GQLS8</t>
  </si>
  <si>
    <t>Processos de Fabricação</t>
  </si>
  <si>
    <t>FABS8</t>
  </si>
  <si>
    <t>Modelagem de Sistemas</t>
  </si>
  <si>
    <t>MSIS8</t>
  </si>
  <si>
    <t>9° Semestre</t>
  </si>
  <si>
    <t>Controle Linear</t>
  </si>
  <si>
    <t>CLTS9</t>
  </si>
  <si>
    <t>Elementos de Máquinas</t>
  </si>
  <si>
    <t>EMQS9</t>
  </si>
  <si>
    <t>GPRS9</t>
  </si>
  <si>
    <t>Instrumentação Virtual</t>
  </si>
  <si>
    <t>IVRS9</t>
  </si>
  <si>
    <t>Servomecanismos</t>
  </si>
  <si>
    <t>SVMS9</t>
  </si>
  <si>
    <t>Sistemas Automatizados de Manufatura</t>
  </si>
  <si>
    <t>CNCS9</t>
  </si>
  <si>
    <t>10° Semestre</t>
  </si>
  <si>
    <t>Controle Digital</t>
  </si>
  <si>
    <t>CDIS0</t>
  </si>
  <si>
    <t>Instrumentação Analítica</t>
  </si>
  <si>
    <t>INAS0</t>
  </si>
  <si>
    <t>Fundamentos de Robótica</t>
  </si>
  <si>
    <t>FROS0</t>
  </si>
  <si>
    <t>Gestão de Projetos</t>
  </si>
  <si>
    <t>GPJS0</t>
  </si>
  <si>
    <t>Manufatura Assistida por Computador</t>
  </si>
  <si>
    <t>CAMS0</t>
  </si>
  <si>
    <t>Sistemas Computacionais de Gestão Integrada</t>
  </si>
  <si>
    <t>SGIS0</t>
  </si>
  <si>
    <t>Tópicos de Automação Industrial</t>
  </si>
  <si>
    <t>TAIS0</t>
  </si>
  <si>
    <t>TOTAL ACUMULADO DE AULAS</t>
  </si>
  <si>
    <t>TOTAL ACUMULADO DE HORAS</t>
  </si>
  <si>
    <t>Trabalho de Conclusão de Curso (obrigatório)</t>
  </si>
  <si>
    <t>Estágio Supervisionado (obrigatório)</t>
  </si>
  <si>
    <t>CARGA HORÁRIA TOTAL MÍNIMA</t>
  </si>
  <si>
    <t>LIBRAS - Disciplina optativa</t>
  </si>
  <si>
    <t>LIBS0</t>
  </si>
  <si>
    <t>Atividades complementares (facultativas)</t>
  </si>
  <si>
    <t>CARGA HORÁRIA TOTAL MÁXIMA</t>
  </si>
  <si>
    <t xml:space="preserve">Obs.: Aulas com duração de </t>
  </si>
  <si>
    <t>minutos -</t>
  </si>
  <si>
    <t>semanas por semestre</t>
  </si>
  <si>
    <t>Carga semanal (aulas)</t>
  </si>
  <si>
    <t>Ambiente</t>
  </si>
  <si>
    <t>Pedagogia</t>
  </si>
  <si>
    <t>Última turma ingressante</t>
  </si>
  <si>
    <t>ECA</t>
  </si>
  <si>
    <t>Ambiente de ensino</t>
  </si>
  <si>
    <t>Ambientes de ensino</t>
  </si>
  <si>
    <t>Sala de aula</t>
  </si>
  <si>
    <t>Laboratório de informática</t>
  </si>
  <si>
    <t>Laboratório existente</t>
  </si>
  <si>
    <t>Laboratório inexistente</t>
  </si>
  <si>
    <t>Técnico Integrado em Mecânica</t>
  </si>
  <si>
    <t>Médio Integrado</t>
  </si>
  <si>
    <t>IntMec</t>
  </si>
  <si>
    <t>Núm. de semanas:</t>
  </si>
  <si>
    <t>Códigos</t>
  </si>
  <si>
    <t>Teoria/</t>
  </si>
  <si>
    <t xml:space="preserve">Nº </t>
  </si>
  <si>
    <t>Aulas/semana</t>
  </si>
  <si>
    <t>Total</t>
  </si>
  <si>
    <t>Área (docente)</t>
  </si>
  <si>
    <t>Prática</t>
  </si>
  <si>
    <t>Prof.</t>
  </si>
  <si>
    <t>1º</t>
  </si>
  <si>
    <t>Aulas</t>
  </si>
  <si>
    <t xml:space="preserve"> Horas</t>
  </si>
  <si>
    <t>Língua Portuguesa e Literatura</t>
  </si>
  <si>
    <t>LPL</t>
  </si>
  <si>
    <t>sala de aula</t>
  </si>
  <si>
    <t>Arte</t>
  </si>
  <si>
    <t>ART</t>
  </si>
  <si>
    <t>Educação Física</t>
  </si>
  <si>
    <t>EFI</t>
  </si>
  <si>
    <t>ING</t>
  </si>
  <si>
    <t>MAT</t>
  </si>
  <si>
    <t>BIO</t>
  </si>
  <si>
    <t>FIS</t>
  </si>
  <si>
    <t>Qui</t>
  </si>
  <si>
    <t>HIS</t>
  </si>
  <si>
    <t>GEO</t>
  </si>
  <si>
    <t>FIL</t>
  </si>
  <si>
    <t>SOC</t>
  </si>
  <si>
    <t>1° Ano</t>
  </si>
  <si>
    <t>Tecnologia dos Materiais</t>
  </si>
  <si>
    <t>TCM</t>
  </si>
  <si>
    <t>Metrologia e Ensaios Mecânicos</t>
  </si>
  <si>
    <t>MEM</t>
  </si>
  <si>
    <t>Desenho Mecânico e Assistido por Computador</t>
  </si>
  <si>
    <t>DTM</t>
  </si>
  <si>
    <t>Organização e Segurança e Gestão Empresarial</t>
  </si>
  <si>
    <t>OSG</t>
  </si>
  <si>
    <t>2º Ano</t>
  </si>
  <si>
    <t>Processos de Usinagem</t>
  </si>
  <si>
    <t>USI</t>
  </si>
  <si>
    <t>Processos Metalúrgicos de Fabricação</t>
  </si>
  <si>
    <t>PMF</t>
  </si>
  <si>
    <t>HEP</t>
  </si>
  <si>
    <t>Tratamentos Térmicos e Metalografia</t>
  </si>
  <si>
    <t>TTM</t>
  </si>
  <si>
    <t>Processo de Soldagem</t>
  </si>
  <si>
    <t>SOL</t>
  </si>
  <si>
    <t>3° Ano</t>
  </si>
  <si>
    <t>Eletrotécnica Industrial e Automação</t>
  </si>
  <si>
    <t>EIA</t>
  </si>
  <si>
    <t>Comando Numérico Computadorizado</t>
  </si>
  <si>
    <t>CNC</t>
  </si>
  <si>
    <t>Resistência dos Materiais e Elementos de Máquinas</t>
  </si>
  <si>
    <t>REM</t>
  </si>
  <si>
    <t>Robótica/CAE/CAM</t>
  </si>
  <si>
    <t>RCC</t>
  </si>
  <si>
    <t>Manutenção e Máquinas Térmicas</t>
  </si>
  <si>
    <t>MMT</t>
  </si>
  <si>
    <t xml:space="preserve">Projeto Integrador </t>
  </si>
  <si>
    <t>PJI</t>
  </si>
  <si>
    <t>LIBRAS  (optativo)</t>
  </si>
  <si>
    <t>LIB</t>
  </si>
  <si>
    <t>Libras</t>
  </si>
  <si>
    <t>Espanhol (optativo)</t>
  </si>
  <si>
    <t>ESP</t>
  </si>
  <si>
    <t xml:space="preserve">Total acumulado de aulas </t>
  </si>
  <si>
    <t xml:space="preserve">Total acumulado de horas </t>
  </si>
  <si>
    <t>-</t>
  </si>
  <si>
    <t xml:space="preserve">Carga Horária Total  Mínima Obrigatória   (Sem estágio)  </t>
  </si>
  <si>
    <t>Estágio Supervisionado (optativo)</t>
  </si>
  <si>
    <t>Trabalho de Conclusão de Curso (TCC) (Optativo)</t>
  </si>
  <si>
    <t xml:space="preserve">Carga  Horária Total Máxima: </t>
  </si>
  <si>
    <t>Observações: As aulas serão de:</t>
  </si>
  <si>
    <t xml:space="preserve">minutos. </t>
  </si>
  <si>
    <t>4º Módulo</t>
  </si>
  <si>
    <t>Código da disciplina</t>
  </si>
  <si>
    <t>Área atribuída</t>
  </si>
  <si>
    <t>laboratório de informática</t>
  </si>
  <si>
    <t>Gestão</t>
  </si>
  <si>
    <t>EaD</t>
  </si>
  <si>
    <t xml:space="preserve">Técnico Concomitante em Eletroeletrônica </t>
  </si>
  <si>
    <t>1º  Módulo</t>
  </si>
  <si>
    <t>Redação Técnica</t>
  </si>
  <si>
    <t>Inglês Instrumental</t>
  </si>
  <si>
    <t xml:space="preserve"> 2º  Módulo</t>
  </si>
  <si>
    <t>Instalações Elétricas</t>
  </si>
  <si>
    <t>3º  Módulo</t>
  </si>
  <si>
    <t>Redes e Protocolos Industriais</t>
  </si>
  <si>
    <t>Técnico Concomitante em Eletroeletrônica</t>
  </si>
  <si>
    <t>Médio Concomitante</t>
  </si>
  <si>
    <t>Licenciatura em Matemática</t>
  </si>
  <si>
    <t>Nº  Prof.</t>
  </si>
  <si>
    <t>Total Aulas</t>
  </si>
  <si>
    <t>Total  Horas</t>
  </si>
  <si>
    <t>Funções</t>
  </si>
  <si>
    <t>FUNM1</t>
  </si>
  <si>
    <t>Geometria Plana e Desenho Geométrico</t>
  </si>
  <si>
    <t>GPDM1</t>
  </si>
  <si>
    <t>Analise Combinatoria e Probabilidade</t>
  </si>
  <si>
    <t>ACPM1</t>
  </si>
  <si>
    <t>Matrizes, Determinantes e Sistemas</t>
  </si>
  <si>
    <t>MDSM1</t>
  </si>
  <si>
    <t>História da Educação</t>
  </si>
  <si>
    <t>HTEM1</t>
  </si>
  <si>
    <t>História da Ciência e da Tecnologia</t>
  </si>
  <si>
    <t>HCTM1</t>
  </si>
  <si>
    <t>Leitura, Interpretação e Produção de Textos I</t>
  </si>
  <si>
    <t>LITM1</t>
  </si>
  <si>
    <t>Polinômios e Números Complexos</t>
  </si>
  <si>
    <t>PNCM2</t>
  </si>
  <si>
    <t>Geometria Espacial</t>
  </si>
  <si>
    <t>GEEM2</t>
  </si>
  <si>
    <t>Geometria Análitica</t>
  </si>
  <si>
    <t>GEAM2</t>
  </si>
  <si>
    <t>Trigonometria</t>
  </si>
  <si>
    <t>TRIM2</t>
  </si>
  <si>
    <t>Filosofia da Educação</t>
  </si>
  <si>
    <t>FLEM2</t>
  </si>
  <si>
    <t>Leitura, Interpretação e Produção de Textos II</t>
  </si>
  <si>
    <t>LITM2</t>
  </si>
  <si>
    <t>Educação e Sociedade</t>
  </si>
  <si>
    <t>EDSM3</t>
  </si>
  <si>
    <t>Políticas Públicas e Org. da Educação Brasileira</t>
  </si>
  <si>
    <t>PPEM5</t>
  </si>
  <si>
    <t>Cálculo Diferencial e Integral I</t>
  </si>
  <si>
    <t>CD1M3</t>
  </si>
  <si>
    <t>Geometria Analítica e Vetores</t>
  </si>
  <si>
    <t>GAVM3</t>
  </si>
  <si>
    <t>Estatística 1</t>
  </si>
  <si>
    <t>ES1M2</t>
  </si>
  <si>
    <t>Elementos de Lógica e Teoria dos Conjuntos</t>
  </si>
  <si>
    <t>ELCM2</t>
  </si>
  <si>
    <t>Didática</t>
  </si>
  <si>
    <t>DIDM3</t>
  </si>
  <si>
    <t>Psicologia da Educaçao</t>
  </si>
  <si>
    <t>PSIM3</t>
  </si>
  <si>
    <t>Cálculo Diferencial e Integral II</t>
  </si>
  <si>
    <t>CD2M4</t>
  </si>
  <si>
    <t>Álgebra Linear</t>
  </si>
  <si>
    <t>ALIM4</t>
  </si>
  <si>
    <t>Teoria dos Números</t>
  </si>
  <si>
    <t>TDNM4</t>
  </si>
  <si>
    <t>História da Matemática</t>
  </si>
  <si>
    <t>HMTM4</t>
  </si>
  <si>
    <t>Educação para a Inclusão</t>
  </si>
  <si>
    <t>EDIM8</t>
  </si>
  <si>
    <t>Língua Brasileira de Sinais</t>
  </si>
  <si>
    <t>LBSM8</t>
  </si>
  <si>
    <t>5° Módulo</t>
  </si>
  <si>
    <t>Cálculo Diferencial e Integral III</t>
  </si>
  <si>
    <t>CD3M5</t>
  </si>
  <si>
    <t>Estatística 2</t>
  </si>
  <si>
    <t>ES2M3</t>
  </si>
  <si>
    <t>Laboratório de Ensino de Matemática</t>
  </si>
  <si>
    <t>LEMM5</t>
  </si>
  <si>
    <t>Prática Docente I</t>
  </si>
  <si>
    <t>PD1M5</t>
  </si>
  <si>
    <t>Matemática Aplicada à Física I</t>
  </si>
  <si>
    <t>MF1M5</t>
  </si>
  <si>
    <t>Inglês para Fins Específicos I</t>
  </si>
  <si>
    <t>IN1M5</t>
  </si>
  <si>
    <t>6° Módulo</t>
  </si>
  <si>
    <t>Matemática Discreta</t>
  </si>
  <si>
    <t>MADM6</t>
  </si>
  <si>
    <t>Cálculo Diferencial e integral IV</t>
  </si>
  <si>
    <t>CD4M6</t>
  </si>
  <si>
    <t>Prática Docente II</t>
  </si>
  <si>
    <t>PD2M6</t>
  </si>
  <si>
    <t>Matemática Aplicada à Física II</t>
  </si>
  <si>
    <t>MF2M6</t>
  </si>
  <si>
    <t>Programação Matemática</t>
  </si>
  <si>
    <t>PMAM6</t>
  </si>
  <si>
    <t>Inglês para Fins Específicos II</t>
  </si>
  <si>
    <t>IN2M6</t>
  </si>
  <si>
    <t>7° Módulo</t>
  </si>
  <si>
    <t>Equações Diferenciais</t>
  </si>
  <si>
    <t>EQDM7</t>
  </si>
  <si>
    <t>Sequências e Séries</t>
  </si>
  <si>
    <t>SESM7</t>
  </si>
  <si>
    <t>Matemática Financeira</t>
  </si>
  <si>
    <t>MFIM7</t>
  </si>
  <si>
    <t>CNUM7</t>
  </si>
  <si>
    <t>Metodologia do Trabalho Científico</t>
  </si>
  <si>
    <t>MTCM7</t>
  </si>
  <si>
    <t>Prática Docente III</t>
  </si>
  <si>
    <t>PD3M7</t>
  </si>
  <si>
    <t>Matemática Aplicada à Física III</t>
  </si>
  <si>
    <t>MF3M7</t>
  </si>
  <si>
    <t>8° Módulo</t>
  </si>
  <si>
    <t>Análise Real</t>
  </si>
  <si>
    <t>AREM8</t>
  </si>
  <si>
    <t>Álgebra</t>
  </si>
  <si>
    <t>ALGM8</t>
  </si>
  <si>
    <t>Tecnologias da Informação no Ensino da Matemática</t>
  </si>
  <si>
    <t>TIEM8</t>
  </si>
  <si>
    <t>Prática Docente IV</t>
  </si>
  <si>
    <t>PD4M8</t>
  </si>
  <si>
    <t>Produção de Trabalhos Científicos</t>
  </si>
  <si>
    <t>PTCM8</t>
  </si>
  <si>
    <t>Educação em Direitos Humanos</t>
  </si>
  <si>
    <t>EDHM4</t>
  </si>
  <si>
    <t>NEIEC (Núcleo de Estudos Integradores para Enriquecimento Curricular )</t>
  </si>
  <si>
    <t>TCC (Trabalho de Conclusão de Curso)</t>
  </si>
  <si>
    <t>ESTÁGIO CURRICULAR SUPERVISIONADO</t>
  </si>
  <si>
    <t>Carga Horária Total  Mínima Obrigatória</t>
  </si>
  <si>
    <t>Licenciatura em matemática</t>
  </si>
  <si>
    <t>LicMat</t>
  </si>
  <si>
    <t>Período de oferecimento</t>
  </si>
  <si>
    <t>Integral</t>
  </si>
  <si>
    <t>Noturno</t>
  </si>
  <si>
    <t>x</t>
  </si>
  <si>
    <t>ELE</t>
  </si>
  <si>
    <t>ELD</t>
  </si>
  <si>
    <t>DET</t>
  </si>
  <si>
    <t>Algoritmos, Fluxogramas e Programação</t>
  </si>
  <si>
    <t>AFP</t>
  </si>
  <si>
    <t>Instalações Elétricas Prediais</t>
  </si>
  <si>
    <t>IEP</t>
  </si>
  <si>
    <t>ELA</t>
  </si>
  <si>
    <t>INS</t>
  </si>
  <si>
    <t>Máquinas e Comandos Elétricos</t>
  </si>
  <si>
    <t>MCE</t>
  </si>
  <si>
    <t>Comandos Hidráulico, Pneumático e Eletropineumático</t>
  </si>
  <si>
    <t>CHP</t>
  </si>
  <si>
    <t>Desenho Assistido por Computador</t>
  </si>
  <si>
    <t>DAC</t>
  </si>
  <si>
    <t>MIC</t>
  </si>
  <si>
    <t>COP</t>
  </si>
  <si>
    <t>RPI</t>
  </si>
  <si>
    <t>Sistemas Programáveis de Controle</t>
  </si>
  <si>
    <t>SPC</t>
  </si>
  <si>
    <t>SSP</t>
  </si>
  <si>
    <t xml:space="preserve">Gestão da Qualidade e Empreendedorismo </t>
  </si>
  <si>
    <t>GQE</t>
  </si>
  <si>
    <t>Técnico Integrado em Automação</t>
  </si>
  <si>
    <t>IntAut</t>
  </si>
  <si>
    <t>Área pesquisada</t>
  </si>
  <si>
    <t>Cursos</t>
  </si>
  <si>
    <t>Incluir</t>
  </si>
  <si>
    <t>S</t>
  </si>
  <si>
    <t>Total Geral</t>
  </si>
  <si>
    <t>Técnico Concomitante em Eletroeletrônica (anual)</t>
  </si>
  <si>
    <t>Módulos</t>
  </si>
  <si>
    <t>Exibição</t>
  </si>
  <si>
    <t>Aulas atribuíveis</t>
  </si>
  <si>
    <t>Aula-docente semanal</t>
  </si>
  <si>
    <t>Soma de Aula-docente semanal</t>
  </si>
  <si>
    <t>TOTAL</t>
  </si>
  <si>
    <t>Técnico Concomitante em Fabricação Mecânica</t>
  </si>
  <si>
    <t>TMQG1</t>
  </si>
  <si>
    <t>RMQG1</t>
  </si>
  <si>
    <t>Metrologia</t>
  </si>
  <si>
    <t>MTQG1</t>
  </si>
  <si>
    <t>Desenho Técnico Mecânico</t>
  </si>
  <si>
    <t>DTQG1</t>
  </si>
  <si>
    <t>Matemática Aplicada</t>
  </si>
  <si>
    <t>MAQG1</t>
  </si>
  <si>
    <t>Organização e Segurança no Trabalho</t>
  </si>
  <si>
    <t>OTQG1</t>
  </si>
  <si>
    <t>Informática e Lógica de Programação</t>
  </si>
  <si>
    <t>ILQG1</t>
  </si>
  <si>
    <t>lab. Informática</t>
  </si>
  <si>
    <t>Ensaios Mecânicos</t>
  </si>
  <si>
    <t>EMQG2</t>
  </si>
  <si>
    <t>Técnicas de Usinagem I</t>
  </si>
  <si>
    <t>TUQG2</t>
  </si>
  <si>
    <t>HPQG2</t>
  </si>
  <si>
    <t>Desenho Técnico Assistido por Computador</t>
  </si>
  <si>
    <t>DCQG2</t>
  </si>
  <si>
    <t>EEQG2</t>
  </si>
  <si>
    <t>Eletrotécnica Industrial</t>
  </si>
  <si>
    <t>EIQG2</t>
  </si>
  <si>
    <t>Comando Numérico Computadorizado I</t>
  </si>
  <si>
    <t>CNQG3</t>
  </si>
  <si>
    <t>Fundição</t>
  </si>
  <si>
    <t>FUQG3</t>
  </si>
  <si>
    <t>Técnicas de Usinagem II</t>
  </si>
  <si>
    <t>TUQG3</t>
  </si>
  <si>
    <t>Fundamentos de Soldagem I</t>
  </si>
  <si>
    <t>FSQG3</t>
  </si>
  <si>
    <t>Ensaios Não Destrutivos</t>
  </si>
  <si>
    <t>EDQG3</t>
  </si>
  <si>
    <t>PFQG3</t>
  </si>
  <si>
    <t>Gestão Empresarial</t>
  </si>
  <si>
    <t>GEQG4</t>
  </si>
  <si>
    <t>TTQG4</t>
  </si>
  <si>
    <t>Manutenção Mecânica</t>
  </si>
  <si>
    <t>MMQG4</t>
  </si>
  <si>
    <t>Comando Numérico Computadorizado II</t>
  </si>
  <si>
    <t>CNQG4</t>
  </si>
  <si>
    <t>Fundamentos de Soldagem II</t>
  </si>
  <si>
    <t>FSQG4</t>
  </si>
  <si>
    <t>Projeto Integrador</t>
  </si>
  <si>
    <t>PJMG4</t>
  </si>
  <si>
    <t>Semanas</t>
  </si>
  <si>
    <t>FabMec (antigo)</t>
  </si>
  <si>
    <t>Técnico Concomitante em Fabricação Mecânica (vespertino, antigo)</t>
  </si>
  <si>
    <t>Técnico Concomitante em Fabricação Mecânica (noturno, antigo)</t>
  </si>
  <si>
    <t>Vespertino</t>
  </si>
  <si>
    <t>TCMG1</t>
  </si>
  <si>
    <t>RETG1</t>
  </si>
  <si>
    <t>METG1</t>
  </si>
  <si>
    <t>DTMG1</t>
  </si>
  <si>
    <t>MATG1</t>
  </si>
  <si>
    <t>OSAG1</t>
  </si>
  <si>
    <t>Informática Básica</t>
  </si>
  <si>
    <t>INFG1</t>
  </si>
  <si>
    <t>ESMG2</t>
  </si>
  <si>
    <t>Usinagem Convencional I</t>
  </si>
  <si>
    <t>USCG2</t>
  </si>
  <si>
    <t>PMFG2</t>
  </si>
  <si>
    <t>DACG2</t>
  </si>
  <si>
    <t>Tratamento Térmico e Metalografia</t>
  </si>
  <si>
    <t>TTMG2</t>
  </si>
  <si>
    <t>RESG2</t>
  </si>
  <si>
    <t>Usinagem CNC I</t>
  </si>
  <si>
    <t>CNCG3</t>
  </si>
  <si>
    <t>ELIG3</t>
  </si>
  <si>
    <t>Usinagem Convencional II</t>
  </si>
  <si>
    <t>USCG3</t>
  </si>
  <si>
    <t>SOLG3</t>
  </si>
  <si>
    <t>ENDG3</t>
  </si>
  <si>
    <t>HEPG3</t>
  </si>
  <si>
    <t>ELMG3</t>
  </si>
  <si>
    <t>Gestão Empresarial e Empreendedorismo</t>
  </si>
  <si>
    <t>GEPG4</t>
  </si>
  <si>
    <t>Robótica Industrial, CAE e CAM</t>
  </si>
  <si>
    <t>RICG4</t>
  </si>
  <si>
    <t>MANG4</t>
  </si>
  <si>
    <t>Usinagem CNC II</t>
  </si>
  <si>
    <t>CNCG4</t>
  </si>
  <si>
    <t>SOLG4</t>
  </si>
  <si>
    <t>Máquinas Térmicas e de Fluidos</t>
  </si>
  <si>
    <t>MTFG4</t>
  </si>
  <si>
    <t>Libras (parte diversificada optativa)</t>
  </si>
  <si>
    <t>LIBG4</t>
  </si>
  <si>
    <t>Técnico Concomitante em Fabricação Mecânica (novo)</t>
  </si>
  <si>
    <t>Técnico Concomitante em Fabricação Mecânica (novo - anual)</t>
  </si>
  <si>
    <t>Ginásio</t>
  </si>
  <si>
    <t>Técnico Integrado em Informática</t>
  </si>
  <si>
    <t>Algoritmos e Programação</t>
  </si>
  <si>
    <t>ALP</t>
  </si>
  <si>
    <t>Organização de Computadores e Sistemas Operacionais</t>
  </si>
  <si>
    <t>OCS</t>
  </si>
  <si>
    <t>Programação para Web I</t>
  </si>
  <si>
    <t>PWA</t>
  </si>
  <si>
    <t>Rede de Computadores</t>
  </si>
  <si>
    <t>RDC</t>
  </si>
  <si>
    <t>Banco de Dados</t>
  </si>
  <si>
    <t>BDD</t>
  </si>
  <si>
    <t>Análise e Projetos de Sistemas</t>
  </si>
  <si>
    <t>APS</t>
  </si>
  <si>
    <t>Linguagem de Programação I</t>
  </si>
  <si>
    <t>LPA</t>
  </si>
  <si>
    <t>Programação para Web II</t>
  </si>
  <si>
    <t>PWB</t>
  </si>
  <si>
    <t>Linguagem de Programação II</t>
  </si>
  <si>
    <t>LPB</t>
  </si>
  <si>
    <t>Gestão e Empreendedorismo</t>
  </si>
  <si>
    <t>GEM</t>
  </si>
  <si>
    <t>Programação para dispositivos móveis</t>
  </si>
  <si>
    <t>PDM</t>
  </si>
  <si>
    <t>IntInf</t>
  </si>
  <si>
    <t>Análise e Desenvolvimento de Sistemas</t>
  </si>
  <si>
    <t>HCTI1</t>
  </si>
  <si>
    <t>Inglês Técnico</t>
  </si>
  <si>
    <t>INGI1</t>
  </si>
  <si>
    <t>Comunicação e Expressão</t>
  </si>
  <si>
    <t>CEEI1</t>
  </si>
  <si>
    <t>MATI1</t>
  </si>
  <si>
    <t>APOI1</t>
  </si>
  <si>
    <t>Arquitetura de Computadores</t>
  </si>
  <si>
    <t>ARQI1</t>
  </si>
  <si>
    <t>LP1I1</t>
  </si>
  <si>
    <t>Introdução à Administração</t>
  </si>
  <si>
    <t>ADMI2</t>
  </si>
  <si>
    <t>Banco de Dados I</t>
  </si>
  <si>
    <t>BD1I2</t>
  </si>
  <si>
    <t>Engenharia de Software</t>
  </si>
  <si>
    <t>ESWI2</t>
  </si>
  <si>
    <t>Sistemas Operacionais</t>
  </si>
  <si>
    <t>SOPI2</t>
  </si>
  <si>
    <t>LP2I2</t>
  </si>
  <si>
    <t>Inglês Técnico Avançado</t>
  </si>
  <si>
    <t>IGTI2</t>
  </si>
  <si>
    <t>Análise Orientada à Objetos</t>
  </si>
  <si>
    <t>AOOI3</t>
  </si>
  <si>
    <t>Banco de Dados II</t>
  </si>
  <si>
    <t>BD2I3</t>
  </si>
  <si>
    <t>Interação Humano-Computador</t>
  </si>
  <si>
    <t>IHCI3</t>
  </si>
  <si>
    <t>Estrutura de Dados I</t>
  </si>
  <si>
    <t>ED1I3</t>
  </si>
  <si>
    <t>Linguagem de Programação III</t>
  </si>
  <si>
    <t>LP3I3</t>
  </si>
  <si>
    <t>MFII3</t>
  </si>
  <si>
    <t>Metodologia de Pesquisa Científica e Tecnológica</t>
  </si>
  <si>
    <t>MPCI4</t>
  </si>
  <si>
    <t>ESTI4</t>
  </si>
  <si>
    <t>Estrutura de Dados II</t>
  </si>
  <si>
    <t>ED2I4</t>
  </si>
  <si>
    <t>Programação Orientada à Objetos</t>
  </si>
  <si>
    <t>POOI4</t>
  </si>
  <si>
    <t>Redes de Computadores</t>
  </si>
  <si>
    <t>RCOI4</t>
  </si>
  <si>
    <t>Arquitetura de Software</t>
  </si>
  <si>
    <t>ASWI4</t>
  </si>
  <si>
    <t>GPRI5</t>
  </si>
  <si>
    <t>Desenvolvimento Web</t>
  </si>
  <si>
    <t>DWEI5</t>
  </si>
  <si>
    <t>Projeto de Sistemas I</t>
  </si>
  <si>
    <t>PS1I5</t>
  </si>
  <si>
    <t>Qualidade de Software</t>
  </si>
  <si>
    <t>QSWI5</t>
  </si>
  <si>
    <t>Serviços de Rede</t>
  </si>
  <si>
    <t>SSRI5</t>
  </si>
  <si>
    <t>Eletiva I</t>
  </si>
  <si>
    <t>EL1I5</t>
  </si>
  <si>
    <t>Empreendedorismo</t>
  </si>
  <si>
    <t>EMPI6</t>
  </si>
  <si>
    <t>Tópicos Especiais</t>
  </si>
  <si>
    <t>TPEI6</t>
  </si>
  <si>
    <t>Segurança da Informação</t>
  </si>
  <si>
    <t>SSII6</t>
  </si>
  <si>
    <t>Desenvolvimento de Sistemas Web</t>
  </si>
  <si>
    <t>DSWI6</t>
  </si>
  <si>
    <t>Projeto de Sistemas II</t>
  </si>
  <si>
    <t>PS2I6</t>
  </si>
  <si>
    <t>Eletiva II</t>
  </si>
  <si>
    <t>EL2I6</t>
  </si>
  <si>
    <t xml:space="preserve">Trabalho de Conclusão de Curso (TCC) </t>
  </si>
  <si>
    <t>Estágio Supervisionado (não obrigatório)</t>
  </si>
  <si>
    <t>Atividades Complementares (não obrigatórias)</t>
  </si>
  <si>
    <t>ADS</t>
  </si>
  <si>
    <t>Técnico Concomitante em Manutenção e Suporte em Informática</t>
  </si>
  <si>
    <t>Eletricidade Básica</t>
  </si>
  <si>
    <t>ELES1</t>
  </si>
  <si>
    <t>Manutenção de Computadores 1</t>
  </si>
  <si>
    <t>MN1S1</t>
  </si>
  <si>
    <t>INGS1</t>
  </si>
  <si>
    <t>INBS1</t>
  </si>
  <si>
    <t>Introdução aos Sistemas Operacionais</t>
  </si>
  <si>
    <t>ISOS1</t>
  </si>
  <si>
    <t>RDCS1</t>
  </si>
  <si>
    <t>Lógica de Programação</t>
  </si>
  <si>
    <t>LPRS2</t>
  </si>
  <si>
    <t>Manutenção de Computadores 2</t>
  </si>
  <si>
    <t>MN2S2</t>
  </si>
  <si>
    <t>BNDS2</t>
  </si>
  <si>
    <t>Introdução à Web</t>
  </si>
  <si>
    <t>IWES2</t>
  </si>
  <si>
    <t>Projeto e Configuração de Redes</t>
  </si>
  <si>
    <t>PCRS2</t>
  </si>
  <si>
    <t>Sistemas Operacionais de Redes</t>
  </si>
  <si>
    <t>SORS2</t>
  </si>
  <si>
    <t>Programação Web</t>
  </si>
  <si>
    <t>PRWS3</t>
  </si>
  <si>
    <t>Administração de Serviços de Rede</t>
  </si>
  <si>
    <t>ASRS3</t>
  </si>
  <si>
    <t>Administração de Infraestrutura de Redes</t>
  </si>
  <si>
    <t>AIRS3</t>
  </si>
  <si>
    <t>Empreendedorismo e Técnicas de Gestão</t>
  </si>
  <si>
    <t>ETGS3</t>
  </si>
  <si>
    <t>PJIS3</t>
  </si>
  <si>
    <t>Técnico Concomitante em Manutenção e Suporte</t>
  </si>
  <si>
    <t>ConcMSI</t>
  </si>
  <si>
    <t>Oferta</t>
  </si>
  <si>
    <t>Todos os turnos</t>
  </si>
  <si>
    <t>Matutino</t>
  </si>
  <si>
    <t>Tecnologia em Análise e Des. de Sistemas (noturno)</t>
  </si>
  <si>
    <t>Tecnologia em Análise e Des. de Sistemas (matutino)</t>
  </si>
  <si>
    <t>N</t>
  </si>
  <si>
    <t>Rótulos de Coluna</t>
  </si>
  <si>
    <t>Rótulos de Linha</t>
  </si>
  <si>
    <t>Concomitante em Eletroeletrônica - HTO</t>
  </si>
  <si>
    <t>Laboratório de Eletrônica Digital</t>
  </si>
  <si>
    <t>Geração, Transmissão e Distribuição de Energia</t>
  </si>
  <si>
    <t>Inglês para Fins Específicos 2</t>
  </si>
  <si>
    <t>Leitura, Interpretação e Produção de Textos 2</t>
  </si>
  <si>
    <t>Projetos de Circuitos Eletrônicos</t>
  </si>
  <si>
    <t>Progamação</t>
  </si>
  <si>
    <t>Sensores Industriais</t>
  </si>
  <si>
    <t>Máquinas e Acionamentos Elétricos</t>
  </si>
  <si>
    <t>Projetos Elétricos</t>
  </si>
  <si>
    <t>Controladores Lógicos Programáveis</t>
  </si>
  <si>
    <t>Comandos Eletro-Hidráulicos/Pneumáticos</t>
  </si>
  <si>
    <t>Curso de extensão Taquara Branca</t>
  </si>
  <si>
    <t>2º  Módulo</t>
  </si>
  <si>
    <t>Taquara Branca</t>
  </si>
  <si>
    <t>Taquara</t>
  </si>
  <si>
    <t>Áreas</t>
  </si>
  <si>
    <r>
      <rPr>
        <b/>
        <sz val="14"/>
        <color theme="1"/>
        <rFont val="Calibri"/>
        <family val="2"/>
      </rPr>
      <t>↓</t>
    </r>
    <r>
      <rPr>
        <b/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  <scheme val="minor"/>
      </rPr>
      <t xml:space="preserve">Recursos  </t>
    </r>
  </si>
  <si>
    <t>Concomitante em Mecatrônica - Bragança</t>
  </si>
  <si>
    <t>ELEM1</t>
  </si>
  <si>
    <t>Eletrônica Digital I</t>
  </si>
  <si>
    <t>ED1M1</t>
  </si>
  <si>
    <t>RESM1</t>
  </si>
  <si>
    <t>TCMM1</t>
  </si>
  <si>
    <t>METM1</t>
  </si>
  <si>
    <t>DTMM1</t>
  </si>
  <si>
    <t>MATM1</t>
  </si>
  <si>
    <t>Organização e Segurança do Trabalho</t>
  </si>
  <si>
    <t>OSTM1</t>
  </si>
  <si>
    <t>Programação I</t>
  </si>
  <si>
    <t>PR1M1</t>
  </si>
  <si>
    <t>Circuitos elétricos</t>
  </si>
  <si>
    <t>Eletrônica Digital II</t>
  </si>
  <si>
    <t>Máquinas Elétricas</t>
  </si>
  <si>
    <t>Ensaios Mecânicos e não destrutivos</t>
  </si>
  <si>
    <t>CAD</t>
  </si>
  <si>
    <t>Programação II</t>
  </si>
  <si>
    <t>CELm2</t>
  </si>
  <si>
    <t>ELAM2</t>
  </si>
  <si>
    <t>MAQM2</t>
  </si>
  <si>
    <t>ED2M2</t>
  </si>
  <si>
    <t>ESMM2</t>
  </si>
  <si>
    <t>MFLM2</t>
  </si>
  <si>
    <t>DTCM2</t>
  </si>
  <si>
    <t>PR2M2</t>
  </si>
  <si>
    <t>Microcontroladores I</t>
  </si>
  <si>
    <t>Comandos elétricos</t>
  </si>
  <si>
    <t>Técnicas de usinagem</t>
  </si>
  <si>
    <t>Hidráulica e pneumática</t>
  </si>
  <si>
    <t>Sistemas de manutenção</t>
  </si>
  <si>
    <t>Fundamentos de soldagem</t>
  </si>
  <si>
    <t>Elementos de máquinas</t>
  </si>
  <si>
    <t>Redes industriais</t>
  </si>
  <si>
    <t>MC1M3</t>
  </si>
  <si>
    <t>ELPM3</t>
  </si>
  <si>
    <t>COEM3</t>
  </si>
  <si>
    <t>TEUM3</t>
  </si>
  <si>
    <t>HEPM3</t>
  </si>
  <si>
    <t>SIMM3</t>
  </si>
  <si>
    <t>FUSM3</t>
  </si>
  <si>
    <t>ELMM3</t>
  </si>
  <si>
    <t>REIM3</t>
  </si>
  <si>
    <t>Microcontroladores II</t>
  </si>
  <si>
    <t>Robótica industrial</t>
  </si>
  <si>
    <t>Instrumentação eletrônica</t>
  </si>
  <si>
    <t>Controlador Lógico Programável</t>
  </si>
  <si>
    <t>Instrumentação industrial</t>
  </si>
  <si>
    <t>CNC e CIM</t>
  </si>
  <si>
    <t>Gestão da Qualidade e Empreendedorismo</t>
  </si>
  <si>
    <t>MC2M4</t>
  </si>
  <si>
    <t>ROBM4</t>
  </si>
  <si>
    <t>INEM4</t>
  </si>
  <si>
    <t>CLPM4</t>
  </si>
  <si>
    <t>COPM4</t>
  </si>
  <si>
    <t>INIM4</t>
  </si>
  <si>
    <t>CNCM4</t>
  </si>
  <si>
    <t>GQEM4</t>
  </si>
  <si>
    <t>PRIM4</t>
  </si>
  <si>
    <t>Gerenciamento de Projetos</t>
  </si>
  <si>
    <t>Disciplinas Eletivas</t>
  </si>
  <si>
    <t>Trabalho de Conclusão de Curso II</t>
  </si>
  <si>
    <t>Sistemas Embarcados</t>
  </si>
  <si>
    <t>Trabalho de Conclusão de Curso I</t>
  </si>
  <si>
    <t>Estágio Supervisionado</t>
  </si>
  <si>
    <t>Princípios de Economia</t>
  </si>
  <si>
    <t>Gestão e Organização</t>
  </si>
  <si>
    <t>Sistemas Térmicos e Fluídicos</t>
  </si>
  <si>
    <t>Projeto de Sistemas Mecatrônicos II</t>
  </si>
  <si>
    <t>Elementos de Automação</t>
  </si>
  <si>
    <t>Interfaces Eletromecânicas</t>
  </si>
  <si>
    <t>Dinâmica e Controle de Sistemas Robóticos I</t>
  </si>
  <si>
    <t>Gestão Ambiental para Engenheiros</t>
  </si>
  <si>
    <t>Transferência de Calor e Massa</t>
  </si>
  <si>
    <t>Projeto de Sistemas Mecatrônicos I</t>
  </si>
  <si>
    <t>Instrumentação e Sistemas de Medidas</t>
  </si>
  <si>
    <t>Sistemas de Controle II</t>
  </si>
  <si>
    <t>Eletricidade II</t>
  </si>
  <si>
    <t>Aplicação de Microprocessadores I</t>
  </si>
  <si>
    <t>Práticas em Modelagem e Simulação de Sistemas Dinâmicos</t>
  </si>
  <si>
    <t>Problemas de Engenharia Mecatrônica V</t>
  </si>
  <si>
    <t>Sistemas de Controle I</t>
  </si>
  <si>
    <t>Modelagem e Simulação de Sistemas Dinâmicos II</t>
  </si>
  <si>
    <t>Fundamentos da Mecânica dos Fluidos</t>
  </si>
  <si>
    <t>Vibrações Mecânicas</t>
  </si>
  <si>
    <t>Introdução à Organização de Computadores</t>
  </si>
  <si>
    <t>Projeto Mecânico de Elementos de Máquinas</t>
  </si>
  <si>
    <t>Modelagem e Simulação de Sistemas Dinâmicos I</t>
  </si>
  <si>
    <t>Problemas de Engenharia Mecatrônica IV</t>
  </si>
  <si>
    <t>Princípios de Metrologia Industrial</t>
  </si>
  <si>
    <t>Termodinâmica I</t>
  </si>
  <si>
    <t>Introdução aos Sistemas Digitais</t>
  </si>
  <si>
    <t>Princípios de Eletrônica</t>
  </si>
  <si>
    <t>Engenharia e Ciência dos Materiais II</t>
  </si>
  <si>
    <t>Estatística I</t>
  </si>
  <si>
    <t>Cálculo IV</t>
  </si>
  <si>
    <t>Mecânica dos Sólidos II</t>
  </si>
  <si>
    <t>Problemas de Engenharia Mecatrônica III</t>
  </si>
  <si>
    <t>Mecanismos</t>
  </si>
  <si>
    <t>Eletricidade e Magnetismo</t>
  </si>
  <si>
    <t>Humanidades e Ciências Sociais</t>
  </si>
  <si>
    <t>Engenharia e Ciência dos Materiais I</t>
  </si>
  <si>
    <t>Equações Diferenciais Ordinárias</t>
  </si>
  <si>
    <t>Cálculo III</t>
  </si>
  <si>
    <t>Mecânica dos Sólidos I</t>
  </si>
  <si>
    <t>Problemas de Engenharia Mecatrônica II</t>
  </si>
  <si>
    <t>Dinâmica Aplicada às Máquinas</t>
  </si>
  <si>
    <t>Cálculo II</t>
  </si>
  <si>
    <t>Práticas de Tópicos em Computação</t>
  </si>
  <si>
    <t>Tópicos em Computação</t>
  </si>
  <si>
    <t>Desenho Técnico Mecânico II</t>
  </si>
  <si>
    <t>Problemas de Engenharia Mecatrônica I</t>
  </si>
  <si>
    <t>Estática Aplicada às Máquinas</t>
  </si>
  <si>
    <t>Laboratório de Física Geral II</t>
  </si>
  <si>
    <t>Física II</t>
  </si>
  <si>
    <t>Introdução à Programação para Engenharias</t>
  </si>
  <si>
    <t>Química Geral e Experimental</t>
  </si>
  <si>
    <t>Cálculo I</t>
  </si>
  <si>
    <t xml:space="preserve">Geometria Analítica </t>
  </si>
  <si>
    <t>Desenho Técnico Mecânico I</t>
  </si>
  <si>
    <t>Introdução à Engenharia Mecatrônica</t>
  </si>
  <si>
    <t>Laboratório de Física Geral I</t>
  </si>
  <si>
    <t>Física I</t>
  </si>
  <si>
    <t>Engenharia Mecatrônica - USP</t>
  </si>
  <si>
    <t>MecaEESC</t>
  </si>
  <si>
    <t>Engenharia Mecatrônica EESC-USP</t>
  </si>
  <si>
    <t>Laboratório específico existente</t>
  </si>
  <si>
    <t>Optativa III</t>
  </si>
  <si>
    <t>Optativa II</t>
  </si>
  <si>
    <t>Optativa I</t>
  </si>
  <si>
    <t>Projeto Integrador VI</t>
  </si>
  <si>
    <t>Gestão da Manutenção</t>
  </si>
  <si>
    <t>Automação dos Processos de Soldagem</t>
  </si>
  <si>
    <t>Robótica Industrial</t>
  </si>
  <si>
    <t>Projeto Integrador V</t>
  </si>
  <si>
    <t>Informática Industrial II</t>
  </si>
  <si>
    <t>Gestão e Inovação para Mecatrônica</t>
  </si>
  <si>
    <t>Sistemas Hidráulicos e Pneumáticos</t>
  </si>
  <si>
    <t>Projeto Integrador IV</t>
  </si>
  <si>
    <t>Informática Industrial I</t>
  </si>
  <si>
    <t>Máquinas e Acionamentos Eletromecânicos</t>
  </si>
  <si>
    <t>Projeto Integrador III</t>
  </si>
  <si>
    <t>Desenvolvimento de Produtos</t>
  </si>
  <si>
    <t>Projeto de Mecanismos</t>
  </si>
  <si>
    <t>Eletrônica Analógica e Simulação de Circuitos</t>
  </si>
  <si>
    <t>Projeto Integrador II</t>
  </si>
  <si>
    <t>Processos de Fabricação II</t>
  </si>
  <si>
    <t>Elementos de Máquina</t>
  </si>
  <si>
    <t>Desenho Mecânico Assistido por Computador</t>
  </si>
  <si>
    <t>Análise de Circuitos</t>
  </si>
  <si>
    <t>Processos de Fabricação I</t>
  </si>
  <si>
    <t>Eletricidade e Instalações Elétricas</t>
  </si>
  <si>
    <t>Ergonomia e Segurança do Trabalho</t>
  </si>
  <si>
    <t>Fundamentos da Física em Eletricidade</t>
  </si>
  <si>
    <t>Fundamentos Mecânicos para Mecatrônica</t>
  </si>
  <si>
    <t>Metrologia e Instrumentação</t>
  </si>
  <si>
    <t>Estatística e Probabilidade</t>
  </si>
  <si>
    <t>Ciência e Tecnologia dos Materiais</t>
  </si>
  <si>
    <t>Fundamentos de Física em Termodinâmica e Ondas</t>
  </si>
  <si>
    <t>Tecnologia e Sociedade</t>
  </si>
  <si>
    <t>Engenharia e Sustentabilidade</t>
  </si>
  <si>
    <t>Lógica de Programação Aplicada</t>
  </si>
  <si>
    <t>Algoritmos I</t>
  </si>
  <si>
    <t>Fundamentos de Física em Mecânica</t>
  </si>
  <si>
    <t>Projeto Integrador I</t>
  </si>
  <si>
    <t>Fundamentos de Química</t>
  </si>
  <si>
    <t>Metodologia Científica</t>
  </si>
  <si>
    <t>Geometria Analítica</t>
  </si>
  <si>
    <t>Introdução ao Cálculo</t>
  </si>
  <si>
    <t>Engenharia Mecatrônica - IFC</t>
  </si>
  <si>
    <t>Engenharia Mecatrônica IFC</t>
  </si>
  <si>
    <t>MecaIFC</t>
  </si>
  <si>
    <t>COMUNICAÇÃO E LINGUAGEM</t>
  </si>
  <si>
    <t>COLE1</t>
  </si>
  <si>
    <t>DESENHO TÉCNICO MECÂNICO</t>
  </si>
  <si>
    <t>DTME1</t>
  </si>
  <si>
    <t>INTRODUÇÃO À ENGENHARIA MECÂNICA</t>
  </si>
  <si>
    <t>INEE1</t>
  </si>
  <si>
    <t>INTRODUÇÃO AO CÁLCULO</t>
  </si>
  <si>
    <t>INCE1</t>
  </si>
  <si>
    <t>GEOMETRIA ANALÍTICA</t>
  </si>
  <si>
    <t>GEAE1</t>
  </si>
  <si>
    <t>INTRODUÇÃO À FÍSICA</t>
  </si>
  <si>
    <t>INFE1</t>
  </si>
  <si>
    <t>QUÍMICA</t>
  </si>
  <si>
    <t>QUIE1</t>
  </si>
  <si>
    <t>ÁLGEBRA LINEAR</t>
  </si>
  <si>
    <t>ALLE2</t>
  </si>
  <si>
    <t>ALGORÍTMOS E LÓGICA DE PROGRAMAÇÃO</t>
  </si>
  <si>
    <t>ALPE2</t>
  </si>
  <si>
    <t>CÁLCULO DIFERENCIAL</t>
  </si>
  <si>
    <t>CADE2</t>
  </si>
  <si>
    <t>DESENHO ASSISTIDO POR COMPUTADOR</t>
  </si>
  <si>
    <t>DEAE2</t>
  </si>
  <si>
    <t>FÍSICA GERAL</t>
  </si>
  <si>
    <t>FIGE2</t>
  </si>
  <si>
    <t>MECÂNICA GERAL</t>
  </si>
  <si>
    <t>MEGE2</t>
  </si>
  <si>
    <t>METODOLOGIA CIENTÍFICA</t>
  </si>
  <si>
    <t>MECE2</t>
  </si>
  <si>
    <t>CÁLCULO DIFERENCIAL INTEGRAL</t>
  </si>
  <si>
    <t>CADE3</t>
  </si>
  <si>
    <t>ELETRICIDADE E ELTROMAGNETISMO</t>
  </si>
  <si>
    <t>ELME3</t>
  </si>
  <si>
    <t>ENGENHARIA DO TRABALHO</t>
  </si>
  <si>
    <t>ENTE3</t>
  </si>
  <si>
    <t>MATERIAIS DE CONSTRUÇÃO MECÂNICA</t>
  </si>
  <si>
    <t>MACE3</t>
  </si>
  <si>
    <t>MECÂNICA APLICADA</t>
  </si>
  <si>
    <t>MECE3</t>
  </si>
  <si>
    <t>METROLOGIA INDUSTRIAL</t>
  </si>
  <si>
    <t>MEIE3</t>
  </si>
  <si>
    <t>PROGRAMAÇÃO DE COMPUTADORES</t>
  </si>
  <si>
    <t>PCOE3</t>
  </si>
  <si>
    <t>ELETROTÉCNICA</t>
  </si>
  <si>
    <t>ELTE4</t>
  </si>
  <si>
    <t>ENGENHARIA E MEIO AMBIENTE</t>
  </si>
  <si>
    <t>EMAE4</t>
  </si>
  <si>
    <t>ESTATÍSTICA</t>
  </si>
  <si>
    <t>ESTE4</t>
  </si>
  <si>
    <t>MATERIAIS PARA ENGENHARIA</t>
  </si>
  <si>
    <t>MAEE4</t>
  </si>
  <si>
    <t>MECÂNICA DOS FLUIDOS</t>
  </si>
  <si>
    <t>MEFE4</t>
  </si>
  <si>
    <t>MECÂNICA DOS SÓLIDOS</t>
  </si>
  <si>
    <t>MESE4</t>
  </si>
  <si>
    <t>MÉTODOS NUMÉRICOS</t>
  </si>
  <si>
    <t>MNUE4</t>
  </si>
  <si>
    <t>ELETRÔNICA</t>
  </si>
  <si>
    <t>ETRE5</t>
  </si>
  <si>
    <t>ÉTICA E TECNOLOGIA</t>
  </si>
  <si>
    <t>ETTE5</t>
  </si>
  <si>
    <t>FUNDAMENTOS DOS ELEMENTOS DE MÁQUINA</t>
  </si>
  <si>
    <t>FUEE5</t>
  </si>
  <si>
    <t>LABORATÓRIO DE USINAGEM</t>
  </si>
  <si>
    <t>LABE5</t>
  </si>
  <si>
    <t>MSAE5</t>
  </si>
  <si>
    <t>TERMODINÂMICA APLICADA</t>
  </si>
  <si>
    <t>TERE5</t>
  </si>
  <si>
    <t>USINAGEM DOS MATERIAIS</t>
  </si>
  <si>
    <t>USIE5</t>
  </si>
  <si>
    <t>MECÂNICA DOS SÓLIDOS APLICADA</t>
  </si>
  <si>
    <t>COMANDO NUMÉRICO COMPUTADORIZADO</t>
  </si>
  <si>
    <t>CONE6</t>
  </si>
  <si>
    <t>ELEMENTOS DE MÁQUINAS</t>
  </si>
  <si>
    <t>ELEE6</t>
  </si>
  <si>
    <t>HIDRÁULICA E PNEUMÁTICA</t>
  </si>
  <si>
    <t>HIPE6</t>
  </si>
  <si>
    <t>MECANISMOS</t>
  </si>
  <si>
    <t>MMOE6</t>
  </si>
  <si>
    <t>SISTEMAS TÉRMICOS</t>
  </si>
  <si>
    <t>SITE6</t>
  </si>
  <si>
    <t>TRANSFERÊNCIA DE CALOR E MASSA</t>
  </si>
  <si>
    <t>TCAE6</t>
  </si>
  <si>
    <t>FABRICAÇÃO ASSISTIDA POR COMPUTADOR</t>
  </si>
  <si>
    <t>FAPE7</t>
  </si>
  <si>
    <t>INSTRUMENTAÇÃO E CONTROLE</t>
  </si>
  <si>
    <t>INTE7</t>
  </si>
  <si>
    <t>MÁQUINAS DE FLUXO</t>
  </si>
  <si>
    <t>MAFE7</t>
  </si>
  <si>
    <t>PROCESSOS DE FABRICAÇÃO</t>
  </si>
  <si>
    <t>PRFE7</t>
  </si>
  <si>
    <t>PROJETO DE MÁQUINAS</t>
  </si>
  <si>
    <t>PROE7</t>
  </si>
  <si>
    <t>REFRIGERAÇÃO E AR CONDICIONADO</t>
  </si>
  <si>
    <t>REAE7</t>
  </si>
  <si>
    <t>ADMINISTRAÇÃO E ECONOMIA PARA ENGENHEIROS</t>
  </si>
  <si>
    <t>ADEE8</t>
  </si>
  <si>
    <t>ELABORAÇÃO DE TRABALHOS ACADÊMICOS</t>
  </si>
  <si>
    <t>ETRE8</t>
  </si>
  <si>
    <t>GESTÃO DA PRODUÇÃO</t>
  </si>
  <si>
    <t>GPRE8</t>
  </si>
  <si>
    <t>GESTÃO DA QUALIDADE</t>
  </si>
  <si>
    <t>GEQE8</t>
  </si>
  <si>
    <t>INTRODUÇÃO À MANUFATURA MECÂNICA</t>
  </si>
  <si>
    <t>IMME8</t>
  </si>
  <si>
    <t>MÁQUINAS TÉRMICAS</t>
  </si>
  <si>
    <t>MATE8</t>
  </si>
  <si>
    <t>PE1E8</t>
  </si>
  <si>
    <t>PROJETO INTEGRADO EM ENGENHARIA MECÂNICA 1</t>
  </si>
  <si>
    <t>PROJETO INTEGRADO EM ENGENHARIA MECÂNICA 2</t>
  </si>
  <si>
    <t>PE2E9</t>
  </si>
  <si>
    <t>PROJETO INTEGRADO EM ENGENHARIA MECÂNICA 3</t>
  </si>
  <si>
    <t>PE3E0</t>
  </si>
  <si>
    <t xml:space="preserve">Estrutura Curricular de Engenharia </t>
  </si>
  <si>
    <t>Campus Piracicaba</t>
  </si>
  <si>
    <t>Engenharia Mecânica Piracicaba IFSP</t>
  </si>
  <si>
    <t>MecanicaPira</t>
  </si>
  <si>
    <t>Técnico Integrado em Mecânica (4 anos)</t>
  </si>
  <si>
    <t>IntMec4anos</t>
  </si>
  <si>
    <t>Técnico Integrado em Automação (4 anos) - copiado da Mecânica</t>
  </si>
  <si>
    <t>Técnico Integrado em Automação (4 anos)</t>
  </si>
  <si>
    <t>IntAut4anos</t>
  </si>
  <si>
    <t>Técnico Integrado em Informática (4 anos) - copiado da Mecânica</t>
  </si>
  <si>
    <t>Técnico Integrado em Informática (4 anos)</t>
  </si>
  <si>
    <t>IntInf4anos</t>
  </si>
  <si>
    <t>Horas-docente</t>
  </si>
  <si>
    <t>Técnico em Fabricação Mecânica sem turmas divididas a partir do 3º módulo</t>
  </si>
  <si>
    <t>MA1S1</t>
  </si>
  <si>
    <t>MA2S2</t>
  </si>
  <si>
    <t>MA3S3</t>
  </si>
  <si>
    <t>Corpo e Arte</t>
  </si>
  <si>
    <t>CPA</t>
  </si>
  <si>
    <t>Educação Física e Esportes</t>
  </si>
  <si>
    <t>EFE</t>
  </si>
  <si>
    <t>Matemática A</t>
  </si>
  <si>
    <t>MAA</t>
  </si>
  <si>
    <t>Matemática B</t>
  </si>
  <si>
    <t>MAB</t>
  </si>
  <si>
    <t>Métodos científicos</t>
  </si>
  <si>
    <t>MTC</t>
  </si>
  <si>
    <t>Biologia e Programa da Saúde</t>
  </si>
  <si>
    <t>QUI</t>
  </si>
  <si>
    <t>1º Ano</t>
  </si>
  <si>
    <t>Inglês para fins específicos</t>
  </si>
  <si>
    <t>IFE</t>
  </si>
  <si>
    <t>Estudos sobre o Trabalho</t>
  </si>
  <si>
    <t>EST</t>
  </si>
  <si>
    <t>Tópicos em Matemática e Ciências da Natureza Aplicados à Mecânica</t>
  </si>
  <si>
    <t>TMC</t>
  </si>
  <si>
    <t>Educação física, saúde e segurança do trabalhador</t>
  </si>
  <si>
    <t>EFT</t>
  </si>
  <si>
    <t>Siderurgia e fundição</t>
  </si>
  <si>
    <t>SEF</t>
  </si>
  <si>
    <t>Metrologia e lógica de programação</t>
  </si>
  <si>
    <t>Desenho Técnico Mecânico, CAD e Prototipagem</t>
  </si>
  <si>
    <t>DTP</t>
  </si>
  <si>
    <t>ESM</t>
  </si>
  <si>
    <t>Processos de usinagem</t>
  </si>
  <si>
    <t>Conformação mecânica e tratamentos térmicos</t>
  </si>
  <si>
    <t>CMT</t>
  </si>
  <si>
    <t>Gestão e empreendedorismo</t>
  </si>
  <si>
    <t>GEP</t>
  </si>
  <si>
    <t>Processos de soldagem</t>
  </si>
  <si>
    <t>3º Ano</t>
  </si>
  <si>
    <t>CNC e CAM</t>
  </si>
  <si>
    <t>Automação e Robótica</t>
  </si>
  <si>
    <t>ERA</t>
  </si>
  <si>
    <t>Manutenção Mecânica e Máquinas Térmicas</t>
  </si>
  <si>
    <t>Resistência dos Materiais, Elementos de Máquinas e CAE</t>
  </si>
  <si>
    <t>Inglês (optativo)</t>
  </si>
  <si>
    <t>INP</t>
  </si>
  <si>
    <t>Pesquisa e extensão</t>
  </si>
  <si>
    <t>Técnico Integrado em Mecânica (2018)</t>
  </si>
  <si>
    <t>IntMec (2018)</t>
  </si>
  <si>
    <t>Técnico Integrado em Mecânica (grade 2019+)</t>
  </si>
  <si>
    <t>Estudos sobre o Trabalho - Frente A</t>
  </si>
  <si>
    <t>ETA</t>
  </si>
  <si>
    <t>Estudos sobre o Trabalho - Frente B</t>
  </si>
  <si>
    <t>Algortimos e programação</t>
  </si>
  <si>
    <t>MCN</t>
  </si>
  <si>
    <t>ETB</t>
  </si>
  <si>
    <t>Organização de computadores e sistemas operacionais</t>
  </si>
  <si>
    <t>Rede de computadores</t>
  </si>
  <si>
    <t>Banco de dados</t>
  </si>
  <si>
    <t>Análise e projeto de sistemas</t>
  </si>
  <si>
    <t>Linguagem de programação I</t>
  </si>
  <si>
    <t>Linguagem de programação II</t>
  </si>
  <si>
    <t>Programação da dispositivos móveis</t>
  </si>
  <si>
    <t>Projeto integrador</t>
  </si>
  <si>
    <t>PJT</t>
  </si>
  <si>
    <t>Educação física e saúde</t>
  </si>
  <si>
    <t>EFS</t>
  </si>
  <si>
    <t>Técnico Integrado em Informática (2018)</t>
  </si>
  <si>
    <t>IntInfo (2018)</t>
  </si>
  <si>
    <t>Técnico Integrado em Informática (grade 2019+)</t>
  </si>
  <si>
    <t>Técnico Integrado em Automação Industrial (grade 2019+)</t>
  </si>
  <si>
    <t>Língua Portuguesa e Literaturas</t>
  </si>
  <si>
    <t xml:space="preserve">T </t>
  </si>
  <si>
    <t xml:space="preserve">Língua Estrangeira Moderna - Inglês </t>
  </si>
  <si>
    <t>Educação Física e Saúde</t>
  </si>
  <si>
    <t>Métodos Cientificos</t>
  </si>
  <si>
    <t xml:space="preserve">Biologia </t>
  </si>
  <si>
    <t>Estudos sobre o trabalho A</t>
  </si>
  <si>
    <t>ELT</t>
  </si>
  <si>
    <t>Eletricidade teórica</t>
  </si>
  <si>
    <t>Eletricidade prática</t>
  </si>
  <si>
    <t>ELP</t>
  </si>
  <si>
    <t>Metrologia e processos industriais</t>
  </si>
  <si>
    <t>MPI</t>
  </si>
  <si>
    <t>Estudos sobre o trabalho B</t>
  </si>
  <si>
    <t>Sistemas digitais</t>
  </si>
  <si>
    <t>Algoritmos e programação</t>
  </si>
  <si>
    <t>Comandos hidráulico, elétrico e pneumático</t>
  </si>
  <si>
    <t>Instalações industriais teórica</t>
  </si>
  <si>
    <t>IET</t>
  </si>
  <si>
    <t>Instalações industriais prática</t>
  </si>
  <si>
    <t>Eletrônica analógica</t>
  </si>
  <si>
    <t>EAT</t>
  </si>
  <si>
    <t>AUtomação</t>
  </si>
  <si>
    <t>Eletrônica analógica prática</t>
  </si>
  <si>
    <t>EAP</t>
  </si>
  <si>
    <t>Controle de processos</t>
  </si>
  <si>
    <t>Redes s sistemas supervisórios</t>
  </si>
  <si>
    <t>Sistemas programáveis de controle</t>
  </si>
  <si>
    <t>Técnico Integrado em Automação (2018)</t>
  </si>
  <si>
    <t>IntAuto (2018)</t>
  </si>
  <si>
    <t>Fator de esforço</t>
  </si>
  <si>
    <t>FENC</t>
  </si>
  <si>
    <t>FIC</t>
  </si>
  <si>
    <t>Carga horária mínima</t>
  </si>
  <si>
    <t>FECH</t>
  </si>
  <si>
    <t>Licenciatura</t>
  </si>
  <si>
    <t>Parte 2. Alocação docente</t>
  </si>
  <si>
    <t>Aulas disponíveis</t>
  </si>
  <si>
    <t>Aulas solicitadas</t>
  </si>
  <si>
    <t>↑</t>
  </si>
  <si>
    <t>Parte 3. Alocação de espaços</t>
  </si>
  <si>
    <t>Parte 1. Plano de oferta de vagas</t>
  </si>
  <si>
    <t xml:space="preserve">Parte 1a. Alunos ingressantes acumulados equivalentes </t>
  </si>
  <si>
    <t>Ensino médio</t>
  </si>
  <si>
    <t>Cursos de formação</t>
  </si>
  <si>
    <t>EJA</t>
  </si>
  <si>
    <t>Outros</t>
  </si>
  <si>
    <t>Percentuais</t>
  </si>
  <si>
    <r>
      <t xml:space="preserve">Calculados segundo Portaria SETEC/MEC nº 25, de 13 de agosto de 2015, Art. 7º </t>
    </r>
    <r>
      <rPr>
        <sz val="11"/>
        <color theme="1"/>
        <rFont val="Calibri"/>
        <family val="2"/>
      </rPr>
      <t>§2º</t>
    </r>
  </si>
  <si>
    <t>Calculados segundo Portaria SETEC/MEC nº 25, de 13 de agosto de 2015, Art. 9º</t>
  </si>
  <si>
    <t>Totais</t>
  </si>
  <si>
    <t>Parte 1b. Relação aluno-professor</t>
  </si>
  <si>
    <t>supondo que não haja evasão</t>
  </si>
  <si>
    <t>Número de professores no câmpus</t>
  </si>
  <si>
    <t>RAP</t>
  </si>
  <si>
    <t>3º Módulo</t>
  </si>
  <si>
    <t>EspecLetras</t>
  </si>
  <si>
    <t>Planilha de impacto de cursos do câmpus Hortolândia do IFSP</t>
  </si>
  <si>
    <t>Versão</t>
  </si>
  <si>
    <t>Data</t>
  </si>
  <si>
    <t>Autor</t>
  </si>
  <si>
    <t>L. Baruffaldi</t>
  </si>
  <si>
    <t>Instruções de uso</t>
  </si>
  <si>
    <t>Consultar a distribuição de carga docente, balizadores e RAP</t>
  </si>
  <si>
    <t>1. Utilizar a planilha "Relatório consolidado"</t>
  </si>
  <si>
    <t>Consultar as grades dos cursos</t>
  </si>
  <si>
    <t>1. Clicar no nome de qualquer uma das planilhas com o botão direito do mouse e selecionar "Re-exibir"</t>
  </si>
  <si>
    <t>2. Escolher qual grade se deseja visualizar</t>
  </si>
  <si>
    <t>3. Para melhor visibilidade, ocultar novamente a planilha depois de utilizá-la</t>
  </si>
  <si>
    <t>Consultar as disciplinas dos cursos cadastrados</t>
  </si>
  <si>
    <t>1. Utilizar a planilha "Resumo das disciplinas"</t>
  </si>
  <si>
    <t>2. Podem-se ultilizar os filtros para melhorar a visualização, mas eles devem ser desativados para recalcular os dados de oferta</t>
  </si>
  <si>
    <t>Consultar alocação docente por curso e ano</t>
  </si>
  <si>
    <t>1. Utilizar a planilha "Alocação de docentes"</t>
  </si>
  <si>
    <t>Consultar alocação de espaços</t>
  </si>
  <si>
    <t>1. Utilizar a planilha "Alocação de ambientes"</t>
  </si>
  <si>
    <t>2. Utilizar a célula "C1" para filtrar por área</t>
  </si>
  <si>
    <t>2. Utilizar a célula "C1" para filtrar por ambiente e a "D1" para filtrar por período</t>
  </si>
  <si>
    <t>Cadastrar novo curso</t>
  </si>
  <si>
    <t>1. Utilizar a planilha "Cadastro dos cursos"</t>
  </si>
  <si>
    <t>2. Incluir as informações do curso, coluna a coluna</t>
  </si>
  <si>
    <t>3. Na coluna "Grade" deve-se informar o nome da planilha de contém a grade do curso (ver abaixo como cadastrar nova grade)</t>
  </si>
  <si>
    <t>5. A primeira coluna, "Inserir", define se o curso deve ou não ser incluido na análise. A letra "S" inclui o curso, enquanto que "N" o retira de consideração</t>
  </si>
  <si>
    <t>6. Após cadastro de novo curso, os dados do "Relatório consolidado" devem ser atualizados</t>
  </si>
  <si>
    <t>Cadastrar nova grade</t>
  </si>
  <si>
    <t>1. Novas grades devem ser incluidas seguindo o padrão de formatação das grades existentes (ver o item Consultar as disciplinas dos cursos cadastrados)</t>
  </si>
  <si>
    <t>2. Dar um nome único a cada grade e não esquecer de associá-la ao curso, conforme indicado na seção Cadastrar novo curso)</t>
  </si>
  <si>
    <t>Especialização em humanidades</t>
  </si>
  <si>
    <t>2. Utilizar o botão "Atualizar" para recalcular os dados (pode demorar alguns minutos para rodar todo o procedimento)</t>
  </si>
  <si>
    <t>ERROS CONHECIDOS</t>
  </si>
  <si>
    <t>1. Cursos de oferta anual que comecem no segundo semestre estão sendo preenchidos de maneira errônea</t>
  </si>
  <si>
    <t>Carga real, sem divisão de turmas a partir do 3 módulo</t>
  </si>
  <si>
    <t>Programação</t>
  </si>
  <si>
    <t>Componentes optativas dos cursos integrados</t>
  </si>
  <si>
    <t>1 ano</t>
  </si>
  <si>
    <t>2 ano</t>
  </si>
  <si>
    <t>3 ano</t>
  </si>
  <si>
    <t>Componentes optativas dos cursos superiores</t>
  </si>
  <si>
    <t>1 semestre</t>
  </si>
  <si>
    <t>2 semestre</t>
  </si>
  <si>
    <t>Libras (concomitantes)</t>
  </si>
  <si>
    <t>LIBC</t>
  </si>
  <si>
    <t>LIBS</t>
  </si>
  <si>
    <t>Libras (superiores)</t>
  </si>
  <si>
    <t>Optativas anuais</t>
  </si>
  <si>
    <t>Optativas semestrais</t>
  </si>
  <si>
    <t>OptativasIntegrado (2018)</t>
  </si>
  <si>
    <t>OptativasSemestrais</t>
  </si>
  <si>
    <t>Higiene e segurança do trabalho</t>
  </si>
  <si>
    <t>Fundamentos de eletricidade</t>
  </si>
  <si>
    <t>Teoria  e prática de soldagem com eletrodo</t>
  </si>
  <si>
    <t>ConcEletro (real)</t>
  </si>
  <si>
    <t>Noções de metrologia e desenho técnico</t>
  </si>
  <si>
    <t>Curso de formação em auxiliar de soldagem</t>
  </si>
  <si>
    <t>Gestão da Qualidade</t>
  </si>
  <si>
    <t>Gestão da Produção e Inovação</t>
  </si>
  <si>
    <t>Redes</t>
  </si>
  <si>
    <t>Teoria de soldagem</t>
  </si>
  <si>
    <t>Teoria e prática de soldagem MIG/MAG</t>
  </si>
  <si>
    <t xml:space="preserve">Redes </t>
  </si>
  <si>
    <t>Alterar a área pesquisada aqui</t>
  </si>
  <si>
    <t>MODIFICAÇÕES</t>
  </si>
  <si>
    <t>ver 2.0.2</t>
  </si>
  <si>
    <t>- separação de "Informática" em "Redes" e "Programação"</t>
  </si>
  <si>
    <t>INSTS4</t>
  </si>
  <si>
    <t>Instalações elétricas 2</t>
  </si>
  <si>
    <t>INSTS3</t>
  </si>
  <si>
    <t>Instalações elétricas 1</t>
  </si>
  <si>
    <t>EQUS2</t>
  </si>
  <si>
    <t>Equipamentos e medidas elétricas</t>
  </si>
  <si>
    <t>FDES1</t>
  </si>
  <si>
    <t>Fundamentos de Eletricidade e Segurança do Trabalho</t>
  </si>
  <si>
    <t>1 sem / 2020</t>
  </si>
  <si>
    <t>PROEJA-FIC Auxiliar de Manutenção Elétrica</t>
  </si>
  <si>
    <t>4. As colunas "FECH", "Fator de esforço" e "FENC" são inseridas segundo os dados da Portaria SETEC/MEC nº 25 de 13 de agosto de 2014</t>
  </si>
  <si>
    <t>Especialização em estudos da linguagem</t>
  </si>
  <si>
    <t>Esp. Formação</t>
  </si>
  <si>
    <t>ver 2.0.3</t>
  </si>
  <si>
    <t>- cursos de especialização em formação são adicionados ao balizador de "Cursos de formação"</t>
  </si>
  <si>
    <t>- correção no cálculo da RAP: os cursos de licenciatura tinham ficado fora do cálculo na versão anterior. Agora, todos os cursos que tiverem FENC diferente de zero são considerados.</t>
  </si>
  <si>
    <t>,</t>
  </si>
  <si>
    <t>Licenciatura +</t>
  </si>
  <si>
    <t>Engenharia de Controle e Automação (contra-semestre)</t>
  </si>
  <si>
    <t>ver 2.1.0</t>
  </si>
  <si>
    <t>- cálculo de matrículas equivalentes segundo novas resoluções (MEC n° 1162/2018 e SETEC n°51/2018). As matrículas equivalentes na panilha ainda consideram evasão zero.</t>
  </si>
  <si>
    <t>Proeja Médio Mecânica</t>
  </si>
  <si>
    <t>ProejaIntMec</t>
  </si>
  <si>
    <t>Segurança do trabalho</t>
  </si>
  <si>
    <t>Alfabetização</t>
  </si>
  <si>
    <t>Sociologia da educação</t>
  </si>
  <si>
    <t>Filosofia e história da educação</t>
  </si>
  <si>
    <t>Informática na educação e educação inclusiva</t>
  </si>
  <si>
    <t>Introdução á licenciatura em física</t>
  </si>
  <si>
    <t>Educação matemática</t>
  </si>
  <si>
    <t>História dos povos indíginas e afrodescendentes</t>
  </si>
  <si>
    <t>Projeto de ensino</t>
  </si>
  <si>
    <t>Organização da Educação Básica</t>
  </si>
  <si>
    <t>Estágio</t>
  </si>
  <si>
    <t>Planejamento escolar</t>
  </si>
  <si>
    <t>Instrumentos de avaliação</t>
  </si>
  <si>
    <t>Planejamento de aulas de laboratório</t>
  </si>
  <si>
    <t>Teoria e prática na educação profissional</t>
  </si>
  <si>
    <t>ConcEletro</t>
  </si>
  <si>
    <t>FCC</t>
  </si>
  <si>
    <t>Nº de professores efetivos</t>
  </si>
  <si>
    <t>Nº de professores total</t>
  </si>
  <si>
    <t>ver 2.1.3</t>
  </si>
  <si>
    <t>- Correção nos cálculos de balizadores e de RAP.</t>
  </si>
  <si>
    <t>- mudança nos cálculos de aulas disponíveis para levar em consideração FCC e CD.</t>
  </si>
  <si>
    <t>Técnico Concomitante em Mecatrônica (Estudos)</t>
  </si>
  <si>
    <t>ConcMecaHto</t>
  </si>
  <si>
    <t>2. Cursos de oferta anual que não tenham completado um ciclo de formandos são preenchidos de maneira errônea quando o curso começa e termina no mesmo semestre.</t>
  </si>
  <si>
    <t>Proeja Médio</t>
  </si>
  <si>
    <t>Técnico Concomitante em Manutenção e Suporte (25 ingressantes)</t>
  </si>
  <si>
    <t>ConcMSI (25 vagas)</t>
  </si>
  <si>
    <t>ECA (mínimo)</t>
  </si>
  <si>
    <t>FabMec (novo) (real)</t>
  </si>
  <si>
    <t>Técnico Concomitante em Fabricação Mecânica (novo)(1vez)</t>
  </si>
  <si>
    <t>Curso de formação em auxiliar de usinagem</t>
  </si>
  <si>
    <t>Teoria e prática de usinagem - fresamento e retificação</t>
  </si>
  <si>
    <t>Teoria de usinagem</t>
  </si>
  <si>
    <t>Teoria e prática de usinagem - torneamento e furação</t>
  </si>
  <si>
    <t>Noções de tecnologia dos materiais</t>
  </si>
  <si>
    <t>EJAFICSolda</t>
  </si>
  <si>
    <t>EJAFICEletro</t>
  </si>
  <si>
    <t>PROEJA-FIC Auxiliar de Soldagem</t>
  </si>
  <si>
    <t>PROEJA-FIC Auxiliar de Usinagem</t>
  </si>
  <si>
    <t>EJAFICUsinagem</t>
  </si>
  <si>
    <t>Técnico Concomitante em Manutenção e Suporte (1vez)</t>
  </si>
  <si>
    <t>Técnico Concomitante em Manutenção e Suporte (normalização)</t>
  </si>
  <si>
    <t>Técnico Concomitante em Eletroeletrônica (anual turma única)</t>
  </si>
  <si>
    <t>ConcEletroTurmaUnica</t>
  </si>
  <si>
    <t>Técnico Concomitante em Manutenção e Suporte (turma única)</t>
  </si>
  <si>
    <t>LicMat (real)</t>
  </si>
  <si>
    <t>Literatura, cultura e sociedade</t>
  </si>
  <si>
    <t>Análise linguística e ensino</t>
  </si>
  <si>
    <t>Ensino de literaturas de língua portuguesa</t>
  </si>
  <si>
    <t>Texto e ensino</t>
  </si>
  <si>
    <t>TCC</t>
  </si>
  <si>
    <t>Linguagem e significação</t>
  </si>
  <si>
    <t>Tópicos em linguística aplicada</t>
  </si>
  <si>
    <t>Corpo, Cultura e Educação</t>
  </si>
  <si>
    <t>Educação Arte e Cultura</t>
  </si>
  <si>
    <t>Educação e a Questão Ambiental</t>
  </si>
  <si>
    <t>Disciplina a ser proposta Luciana (educação ambiental como tema transversal, meio ambiente, ações de pesquisa na educação básica e participação em competições científicas) (provisório)</t>
  </si>
  <si>
    <t>Disciplina a ser proposta Mariana Miguel (provisório)</t>
  </si>
  <si>
    <t>EspecEduc</t>
  </si>
  <si>
    <t>Especialização em humanidades (projeto) turma 2</t>
  </si>
  <si>
    <t>Especialização em letras (projeto) turma 2</t>
  </si>
  <si>
    <t>Especialização em humanidades (projeto) turma 3</t>
  </si>
  <si>
    <t>Especialização em letras (projeto) turma 3</t>
  </si>
  <si>
    <t>Especialização em humanidades (projeto) turma 4</t>
  </si>
  <si>
    <t>Especialização em letras (projeto) turma 4</t>
  </si>
  <si>
    <t>Especialização em humanidades (projeto) turma 1</t>
  </si>
  <si>
    <t>Especialização em letras (projeto) turma 1</t>
  </si>
  <si>
    <t>Especialização em letras (projeto) turma 5</t>
  </si>
  <si>
    <t>PROEJA-FIC</t>
  </si>
  <si>
    <t>Disciplina 1</t>
  </si>
  <si>
    <t>Disciplina 2</t>
  </si>
  <si>
    <t>Disciplina 3</t>
  </si>
  <si>
    <t>Disciplina 4</t>
  </si>
  <si>
    <t>Disciplina 5</t>
  </si>
  <si>
    <t>Disciplina 6</t>
  </si>
  <si>
    <t>PROEJA-FIC Manutenção de Computadores</t>
  </si>
  <si>
    <t>EJAFICInfo</t>
  </si>
  <si>
    <t>Técnico Concomitante em Eletroeletrônica (1vez)</t>
  </si>
  <si>
    <t>Políticas educadionais</t>
  </si>
  <si>
    <t>Teorias de gênero</t>
  </si>
  <si>
    <t>História da Ciência e Letramento Científico</t>
  </si>
  <si>
    <t>Ensino a distância e suas tecnologias de educação (provisório)</t>
  </si>
  <si>
    <t>História e Cultura afro-brasileira e indígena</t>
  </si>
  <si>
    <t>Metodologias científicas e práticas na pesquisa</t>
  </si>
  <si>
    <t>Disciplina a ser proposta pela Matemática (tecnologias educacionais) (provisório)</t>
  </si>
  <si>
    <t>Engenharia de Controle e Automação 2022</t>
  </si>
  <si>
    <t>ECA 2022</t>
  </si>
  <si>
    <t>CÁLCULO 1</t>
  </si>
  <si>
    <t>HTOCAL1</t>
  </si>
  <si>
    <t xml:space="preserve">ELETRICIDADE </t>
  </si>
  <si>
    <t>HTOELET</t>
  </si>
  <si>
    <t xml:space="preserve">LABORATÓRIO DE ELETRICIDADE </t>
  </si>
  <si>
    <t>HTOELEP</t>
  </si>
  <si>
    <t xml:space="preserve">FUNDAMENTO DA COMPUTAÇÃO </t>
  </si>
  <si>
    <t>HTOFCOM</t>
  </si>
  <si>
    <t xml:space="preserve">DESENHO TÉCNICO </t>
  </si>
  <si>
    <t>HTODTEC</t>
  </si>
  <si>
    <t xml:space="preserve">QUÍMICA 1 </t>
  </si>
  <si>
    <t>HTOQUI1</t>
  </si>
  <si>
    <t xml:space="preserve">ADMINISTRAÇÃO </t>
  </si>
  <si>
    <t>HTOADMI</t>
  </si>
  <si>
    <t xml:space="preserve">EDUCAÇÃO PARA AS RELAÇÕES ÉTNICO-RACIAIS: ABORDAGENS FILOSÓFICAS CONTEMPORÂNEAS </t>
  </si>
  <si>
    <t>HTOERER</t>
  </si>
  <si>
    <t>COMUNICAÇÃO E EXPRESSÃO</t>
  </si>
  <si>
    <t>HTOCEXP</t>
  </si>
  <si>
    <t>CÁLCULO 2</t>
  </si>
  <si>
    <t>HTOCAL2</t>
  </si>
  <si>
    <t xml:space="preserve">GEOMETRIA ANALÍTICA E ÁLGEBRA LINEAR </t>
  </si>
  <si>
    <t>HTOGAAL</t>
  </si>
  <si>
    <t xml:space="preserve">CIRCUITOS ELÉTRICOS </t>
  </si>
  <si>
    <t>HTOCELT</t>
  </si>
  <si>
    <t xml:space="preserve">LABORATÓRIO DE CIRCUITOS ELÉTRICOS </t>
  </si>
  <si>
    <t>HTOCELP</t>
  </si>
  <si>
    <t>HTOEDIG</t>
  </si>
  <si>
    <t>SISTEMAS DE COMPUTAÇÃO 1</t>
  </si>
  <si>
    <t>HTOSCO1</t>
  </si>
  <si>
    <t xml:space="preserve">PROGRAMAÇÃO DE COMPUTADORES 1 </t>
  </si>
  <si>
    <t>HTOPRC1</t>
  </si>
  <si>
    <t>QUÍMICA 2</t>
  </si>
  <si>
    <t>HTOQUI2</t>
  </si>
  <si>
    <t xml:space="preserve">CIÊNCIA, TECNOLOGIA E SOCIEDADE </t>
  </si>
  <si>
    <t>HTOCTSO</t>
  </si>
  <si>
    <t>CÁLCULO 3</t>
  </si>
  <si>
    <t>HTOCAL3</t>
  </si>
  <si>
    <t xml:space="preserve">ELETRÔNICA ANALÓGICA </t>
  </si>
  <si>
    <t>HTOEANT</t>
  </si>
  <si>
    <t xml:space="preserve">LABORATÓRIO DE ELETRÔNICA ANALÓGICA </t>
  </si>
  <si>
    <t>HTOEANP</t>
  </si>
  <si>
    <t>HTOMICR</t>
  </si>
  <si>
    <t>SISTEMAS DE COMPUTAÇÃO 2</t>
  </si>
  <si>
    <t>HTOSCO2</t>
  </si>
  <si>
    <t xml:space="preserve">PROGRAMAÇÃO DE COMPUTADORES 2 </t>
  </si>
  <si>
    <t>HTOPRC2</t>
  </si>
  <si>
    <t xml:space="preserve">MECÂNICA CLÁSSICA </t>
  </si>
  <si>
    <t>HTOMECL</t>
  </si>
  <si>
    <t xml:space="preserve">GESTÃO DE PESSOAS </t>
  </si>
  <si>
    <t>HTOGPES</t>
  </si>
  <si>
    <t>ELETRÔNICA DE POTÊNCIA</t>
  </si>
  <si>
    <t>HTOEPOT</t>
  </si>
  <si>
    <t>LABORATÓRIO DE ELETRÔNICA DE POTÊNCIA</t>
  </si>
  <si>
    <t>HTOEPOP</t>
  </si>
  <si>
    <t xml:space="preserve">RESISTÊNCIA DOS MATERIAIS </t>
  </si>
  <si>
    <t>HTOREMA</t>
  </si>
  <si>
    <t xml:space="preserve">CIÊNCIAS DOS MATERIAIS </t>
  </si>
  <si>
    <t>HTOCIMA</t>
  </si>
  <si>
    <t xml:space="preserve">PROGRAMAÇÃO DE COMPUTADORES 3 </t>
  </si>
  <si>
    <t>HTOPRC3</t>
  </si>
  <si>
    <t xml:space="preserve">OSCILAÇÕES E ONDAS </t>
  </si>
  <si>
    <t>HTOOSON</t>
  </si>
  <si>
    <t xml:space="preserve">CÁLCULO NUMÉRICO </t>
  </si>
  <si>
    <t>HTOCANU</t>
  </si>
  <si>
    <t xml:space="preserve">TERMODINÂMICA </t>
  </si>
  <si>
    <t>HTOTERM</t>
  </si>
  <si>
    <t xml:space="preserve">SEGURANÇA DO TRABALHO </t>
  </si>
  <si>
    <t>HTOSTRA</t>
  </si>
  <si>
    <t xml:space="preserve">COMANDOS ELÉTRICOS </t>
  </si>
  <si>
    <t>HTOCELE</t>
  </si>
  <si>
    <t>HTOMIEI</t>
  </si>
  <si>
    <t xml:space="preserve">METROLOGIA APLICADA À INSTRUMENTAÇÃO INDUSTRIAL </t>
  </si>
  <si>
    <t>HTOMAII</t>
  </si>
  <si>
    <t xml:space="preserve">DINÂMICA </t>
  </si>
  <si>
    <t>HTODINA</t>
  </si>
  <si>
    <t>FENÔMENOS DE TRANSPORTE 1</t>
  </si>
  <si>
    <t>HTOFTR1</t>
  </si>
  <si>
    <t xml:space="preserve">ECONÔMIA </t>
  </si>
  <si>
    <t>HTOECON</t>
  </si>
  <si>
    <t xml:space="preserve">SOCIOLOGIA E SOCIOLOGIA DO TRABALHO </t>
  </si>
  <si>
    <t>HTOSSTR</t>
  </si>
  <si>
    <t>ATIVIDADE DE EXTENSÃO 1</t>
  </si>
  <si>
    <t>HTOAEX1</t>
  </si>
  <si>
    <t xml:space="preserve">CONTROLADOR LÓGICO PROGRAMÁVEL 1 </t>
  </si>
  <si>
    <t>HTOCLP1</t>
  </si>
  <si>
    <t xml:space="preserve">MODELAGEM DE SISTEMAS </t>
  </si>
  <si>
    <t>HTOMOSI</t>
  </si>
  <si>
    <t xml:space="preserve">PROBABILIDADE </t>
  </si>
  <si>
    <t>HTOPROB</t>
  </si>
  <si>
    <t>FENÔMENOS DE TRANSPORTE 2</t>
  </si>
  <si>
    <t>HTOFTR2</t>
  </si>
  <si>
    <t xml:space="preserve">INSTRUMENTAÇÃO </t>
  </si>
  <si>
    <t>HTOINST</t>
  </si>
  <si>
    <t xml:space="preserve">LABORATÓRIO DE INSTRUMENTAÇÃO </t>
  </si>
  <si>
    <t>HTOINSP</t>
  </si>
  <si>
    <t>ATIVIDADE DE EXTENSÃO 2</t>
  </si>
  <si>
    <t>HTOAEX2</t>
  </si>
  <si>
    <t>CONTROLADOR LÓGICO PROGRAMÁVEL 2</t>
  </si>
  <si>
    <t>HTOCLP2</t>
  </si>
  <si>
    <t xml:space="preserve">CONTROLE LINEAR </t>
  </si>
  <si>
    <t>HTOCOLI</t>
  </si>
  <si>
    <t xml:space="preserve">HIDRÁULICA E PNEUMÁTICA </t>
  </si>
  <si>
    <t>HTOHIPE</t>
  </si>
  <si>
    <t xml:space="preserve">GESTÃO DA QUALIDADE </t>
  </si>
  <si>
    <t>HTOGQUA</t>
  </si>
  <si>
    <t xml:space="preserve">ESTATÍSTICA </t>
  </si>
  <si>
    <t>HTOESTA</t>
  </si>
  <si>
    <t>ATIVIDADE DE EXTENSÃO 3</t>
  </si>
  <si>
    <t>HTOAEX3</t>
  </si>
  <si>
    <t xml:space="preserve">SISTEMAS SUPERVISÓRIOS </t>
  </si>
  <si>
    <t>HTOSSUP</t>
  </si>
  <si>
    <t xml:space="preserve">GERAÇÃO DE ENERGIA E EFICIÊNCIA ENERGÉTICA </t>
  </si>
  <si>
    <t>HTOGEEE</t>
  </si>
  <si>
    <t xml:space="preserve">AMBIENTE E TERRITÓRIO: AS DIMENSÕES SOCIOAMBIENTAIS DA AUTOMAÇÃO </t>
  </si>
  <si>
    <t>HTOAMTE</t>
  </si>
  <si>
    <t xml:space="preserve">PROCESSOS DE FABRICAÇÃO </t>
  </si>
  <si>
    <t>HTOPFAB</t>
  </si>
  <si>
    <t xml:space="preserve">CONTROLE DE PROCESSOS </t>
  </si>
  <si>
    <t>HTOCPRO</t>
  </si>
  <si>
    <t>ATIVIDADE DE EXTENSÃO 4</t>
  </si>
  <si>
    <t>HTOAEX4</t>
  </si>
  <si>
    <t xml:space="preserve">CONTROLE AVANÇADO DE PROCESSO </t>
  </si>
  <si>
    <t>HTOCAPR</t>
  </si>
  <si>
    <t xml:space="preserve">FUNDAMENTOS DE ROBÓTICA </t>
  </si>
  <si>
    <t>HTPFROB</t>
  </si>
  <si>
    <t xml:space="preserve">ELEMENTOS DE MÁQUINAS </t>
  </si>
  <si>
    <t>HTOEMAQ</t>
  </si>
  <si>
    <t xml:space="preserve">EMPREENDEDORISMO E INOVAÇÃO </t>
  </si>
  <si>
    <t>HTOEMPI</t>
  </si>
  <si>
    <t xml:space="preserve">SISTEMAS AUTOMATIZADOS DE MANUFATURA </t>
  </si>
  <si>
    <t>HTOSAMA</t>
  </si>
  <si>
    <t>ATIVIDADE DE EXTENSÃO 5</t>
  </si>
  <si>
    <t>HTOAEX5</t>
  </si>
  <si>
    <t xml:space="preserve">CONTROLE DIGITAL </t>
  </si>
  <si>
    <t>HTOCDIG</t>
  </si>
  <si>
    <t xml:space="preserve">REDES INSDUSTRIAIS </t>
  </si>
  <si>
    <t>HTORIND</t>
  </si>
  <si>
    <t xml:space="preserve">GESTÃO DE PROJETOS </t>
  </si>
  <si>
    <t>HTOGPRO</t>
  </si>
  <si>
    <t xml:space="preserve">MANUFATURA ASSISTIDA POR COMPUTADOR </t>
  </si>
  <si>
    <t>HTOMACO</t>
  </si>
  <si>
    <t>Engenharia de Requisitos</t>
  </si>
  <si>
    <t>HTOENRQ</t>
  </si>
  <si>
    <t>HTOIHCI</t>
  </si>
  <si>
    <t>HTOLPR1</t>
  </si>
  <si>
    <t>HTODWEB</t>
  </si>
  <si>
    <t>HTOARQC</t>
  </si>
  <si>
    <t>HTOINGT</t>
  </si>
  <si>
    <t>HTOENSW</t>
  </si>
  <si>
    <t>HTOBDA1</t>
  </si>
  <si>
    <t>HTOLPR2</t>
  </si>
  <si>
    <t>Desenvolvimento de Sistemas Web I</t>
  </si>
  <si>
    <t>HTODSW1</t>
  </si>
  <si>
    <t>Estruturas de Dados I</t>
  </si>
  <si>
    <t>HTOESD1</t>
  </si>
  <si>
    <t>HTOCEEX</t>
  </si>
  <si>
    <t>HTOBDA2</t>
  </si>
  <si>
    <t>Estruturas de Dados II</t>
  </si>
  <si>
    <t>HTOESD2</t>
  </si>
  <si>
    <t>HTOLPR3</t>
  </si>
  <si>
    <t>HTOREDE</t>
  </si>
  <si>
    <t>Práticas em Sociedade e Informática I</t>
  </si>
  <si>
    <t>HTOPSI1</t>
  </si>
  <si>
    <t>Metodologias Ágeis</t>
  </si>
  <si>
    <t>HTOAGIL</t>
  </si>
  <si>
    <t>Desenvolvimento de Sistemas Web II</t>
  </si>
  <si>
    <t>HTODSW2</t>
  </si>
  <si>
    <t>Desenvolvimento para Dispositivos Móveis</t>
  </si>
  <si>
    <t>HTODDMO</t>
  </si>
  <si>
    <t>HTOARQS</t>
  </si>
  <si>
    <t>HTOSIOP</t>
  </si>
  <si>
    <t>Práticas em Sociedade e Informática II</t>
  </si>
  <si>
    <t>HTOPSI2</t>
  </si>
  <si>
    <t>Administração de Redes</t>
  </si>
  <si>
    <t>HTOADRD</t>
  </si>
  <si>
    <t>HTOQSWR</t>
  </si>
  <si>
    <t>Segurança de Sistemas de Informação</t>
  </si>
  <si>
    <t>HTOSGSI</t>
  </si>
  <si>
    <t>Computação Paralela e Distribuída</t>
  </si>
  <si>
    <t>HTOCPDS</t>
  </si>
  <si>
    <t>Fundamentos em Estatística Aplicada a Análise de Dados</t>
  </si>
  <si>
    <t>HTOEA2D</t>
  </si>
  <si>
    <t>HTOGSPR</t>
  </si>
  <si>
    <t>Desenvolvimento de Sistemas Web III</t>
  </si>
  <si>
    <t>HTODSW3</t>
  </si>
  <si>
    <t>HTOTESP</t>
  </si>
  <si>
    <t>Inteligência Artificial e Aprendizagem de Máquina</t>
  </si>
  <si>
    <t>HTOIA2M</t>
  </si>
  <si>
    <t>Gestão de Tecnologia da Informação</t>
  </si>
  <si>
    <t>HTOGSTI</t>
  </si>
  <si>
    <t>Internet das Coisas</t>
  </si>
  <si>
    <t>HTOIOTS</t>
  </si>
  <si>
    <t>HTOEMPR</t>
  </si>
  <si>
    <t>Práticas em Sociedade e Informática III</t>
  </si>
  <si>
    <t>HTOPSI3</t>
  </si>
  <si>
    <t>HTOLBRS</t>
  </si>
  <si>
    <t>Tecnologia em Análise e Des. de Sistemas (noturno) 2022</t>
  </si>
  <si>
    <t>ADS 2022</t>
  </si>
  <si>
    <t>Especialização em Ed. Básica (projeto) turma 1 2022</t>
  </si>
  <si>
    <t>EspecEduc 2022</t>
  </si>
  <si>
    <t>Especialização em Ed. Básica (projeto) turma 2 2022</t>
  </si>
  <si>
    <t>Especialização em Ed. Básica (projeto) turma 3 2022</t>
  </si>
  <si>
    <t>Especialização em Ed. Básica (projeto) turma 4 2022</t>
  </si>
  <si>
    <t>Especialização em letras (projeto) turma 1 2022</t>
  </si>
  <si>
    <t>EspecLetras 2022</t>
  </si>
  <si>
    <t>Especialização em letras (projeto) turma 2 2022</t>
  </si>
  <si>
    <t>Especialização em letras (projeto) turma 3 2022</t>
  </si>
  <si>
    <t>Especialização em letras (projeto) turma 4 2022</t>
  </si>
  <si>
    <t>História e cultura afrobrasileira e indígena</t>
  </si>
  <si>
    <t>HCAI</t>
  </si>
  <si>
    <t>Educação, arte e cultura</t>
  </si>
  <si>
    <t>EAC</t>
  </si>
  <si>
    <t>Teorias Pedagógicas Contemporâneas</t>
  </si>
  <si>
    <t>TPC</t>
  </si>
  <si>
    <t>Culturas Rítmicas Afro-Brasileiras e Currículo Decolonial</t>
  </si>
  <si>
    <t>CRA</t>
  </si>
  <si>
    <t>Políticas educacionais</t>
  </si>
  <si>
    <t>PE</t>
  </si>
  <si>
    <t>História da ciência e letramento científico</t>
  </si>
  <si>
    <t>HCLC</t>
  </si>
  <si>
    <t>Educação e teorias de gênero</t>
  </si>
  <si>
    <t>ETG</t>
  </si>
  <si>
    <t>Ensino a distância e suas tecnologias na educação</t>
  </si>
  <si>
    <t>EDTE</t>
  </si>
  <si>
    <t>Saúde e o ensino de ciências</t>
  </si>
  <si>
    <t>SEC</t>
  </si>
  <si>
    <t>Práticas docentes com tecnologias e  a Escola</t>
  </si>
  <si>
    <t>PDTE</t>
  </si>
  <si>
    <t>Educação e a questão ambiental</t>
  </si>
  <si>
    <t>EQA</t>
  </si>
  <si>
    <t>Metodologias científicas e práticas de pesquisa em educação</t>
  </si>
  <si>
    <t>MCPPE</t>
  </si>
  <si>
    <t>Eletricidade CC</t>
  </si>
  <si>
    <t>HTOELCT</t>
  </si>
  <si>
    <t>Laboratório de Eletricidade CC</t>
  </si>
  <si>
    <t>HTOELCP</t>
  </si>
  <si>
    <t>HTOELDT</t>
  </si>
  <si>
    <t>HTOELDP</t>
  </si>
  <si>
    <t>MATEMÁTICA APLICADA</t>
  </si>
  <si>
    <t>MAPE1</t>
  </si>
  <si>
    <t>LEITURA, INTERPRETAÇÃO E PRODUÇÃO DE TEXTO</t>
  </si>
  <si>
    <t>HTOLIPE</t>
  </si>
  <si>
    <t>Eletricidade CA</t>
  </si>
  <si>
    <t>ELTE1</t>
  </si>
  <si>
    <t>Laboratório de Eletricidade CA</t>
  </si>
  <si>
    <t>HTOELAP</t>
  </si>
  <si>
    <t>HTOPRGE</t>
  </si>
  <si>
    <t>OSTE1</t>
  </si>
  <si>
    <t>Inglês para Fins Específicos</t>
  </si>
  <si>
    <t>HTOINFE</t>
  </si>
  <si>
    <t>Projeto e Montagem de Circuitos Eletrônicos</t>
  </si>
  <si>
    <t>HTOPJEL</t>
  </si>
  <si>
    <t>Máquinas, Comandos e  Acionamentos elétricos</t>
  </si>
  <si>
    <t>HTOMCAE</t>
  </si>
  <si>
    <t>HTOGTDE</t>
  </si>
  <si>
    <t>Instrumentação Eletrônica e Microcontroladores</t>
  </si>
  <si>
    <t>HTOIEMP</t>
  </si>
  <si>
    <t>HTOELPT</t>
  </si>
  <si>
    <t>HTOELPP</t>
  </si>
  <si>
    <t>HTOGEME</t>
  </si>
  <si>
    <t>Projetos Elétricos Residenciais e Industriais</t>
  </si>
  <si>
    <t>HTOPJRI</t>
  </si>
  <si>
    <t>COPE4</t>
  </si>
  <si>
    <t>HTOINEL</t>
  </si>
  <si>
    <t>Energias Renováveis e Sistemas Fotovoltáicos</t>
  </si>
  <si>
    <t>HTOERSF</t>
  </si>
  <si>
    <t>HTOCEHP</t>
  </si>
  <si>
    <t>Projeto Integrador </t>
  </si>
  <si>
    <t>PRJI4</t>
  </si>
  <si>
    <t>Técnico Concomitante em Eletroeletrônica (anual turma única) 2022</t>
  </si>
  <si>
    <t>ConcEletroTurmaUnica 2022</t>
  </si>
  <si>
    <t>Eletricidade Básica para Sistemas Computacionais</t>
  </si>
  <si>
    <t>HTOELTB</t>
  </si>
  <si>
    <t>Manutenção de Computadores I</t>
  </si>
  <si>
    <t>HTOMAN1</t>
  </si>
  <si>
    <t>HTOINGI</t>
  </si>
  <si>
    <t>HTOINFB</t>
  </si>
  <si>
    <t>HTOISOP</t>
  </si>
  <si>
    <t>HTORDCP</t>
  </si>
  <si>
    <t>HTOLPRG</t>
  </si>
  <si>
    <t>Manutenção de Computadores II</t>
  </si>
  <si>
    <t>HTOMAN2</t>
  </si>
  <si>
    <t>HTOBNCD</t>
  </si>
  <si>
    <t>HTOPJI1</t>
  </si>
  <si>
    <t>Suporte e Configuração de Redes</t>
  </si>
  <si>
    <t> HTOSCRD</t>
  </si>
  <si>
    <t>HTOSOPR</t>
  </si>
  <si>
    <t>Sistemas Web</t>
  </si>
  <si>
    <t>HTOSTWE</t>
  </si>
  <si>
    <t>Segurança e Gerenciamento de Informação</t>
  </si>
  <si>
    <t>HTOSGIN</t>
  </si>
  <si>
    <t>Serviços de Rede Corporativos</t>
  </si>
  <si>
    <t>HTOSRCP</t>
  </si>
  <si>
    <t>Serviços de Rede para a Internet</t>
  </si>
  <si>
    <t>HTOSRDI</t>
  </si>
  <si>
    <t>Administração e Empreendedorismo</t>
  </si>
  <si>
    <t>HTOADME</t>
  </si>
  <si>
    <t>HTOPJI2</t>
  </si>
  <si>
    <t>Técnico Concomitante em Manutenção e Suporte (turma única) 2022</t>
  </si>
  <si>
    <t>ConcMSI (40 vagas) 2022</t>
  </si>
  <si>
    <t>Historia</t>
  </si>
  <si>
    <t>Geometria Analítica 1</t>
  </si>
  <si>
    <t>HTOGAN1</t>
  </si>
  <si>
    <t>Análise Combinatória e Probabilidade</t>
  </si>
  <si>
    <t>HTOACPR</t>
  </si>
  <si>
    <t>HTOGESP</t>
  </si>
  <si>
    <t>HTOTRIG</t>
  </si>
  <si>
    <t>HTOEDSO</t>
  </si>
  <si>
    <t>Psicologia da Educação</t>
  </si>
  <si>
    <t>HTOPSED</t>
  </si>
  <si>
    <t>HTOFLED</t>
  </si>
  <si>
    <t>HTOLIP2</t>
  </si>
  <si>
    <t>HTOCDI1</t>
  </si>
  <si>
    <t>HTOPLNC</t>
  </si>
  <si>
    <t>Geometria Analítica 2</t>
  </si>
  <si>
    <t>HTOGAN2</t>
  </si>
  <si>
    <t>HTOHIMA</t>
  </si>
  <si>
    <t>HTODDTC</t>
  </si>
  <si>
    <t>HTOPPEB</t>
  </si>
  <si>
    <t>HTOCDI2</t>
  </si>
  <si>
    <t>HTOAGLI</t>
  </si>
  <si>
    <t>Educação Financeira</t>
  </si>
  <si>
    <t>HTOEDFI</t>
  </si>
  <si>
    <t>Probabilidade (antiga Estatística 1)</t>
  </si>
  <si>
    <t>HTOFIS1</t>
  </si>
  <si>
    <t>Educação Inclusiva</t>
  </si>
  <si>
    <t>HTOEINC</t>
  </si>
  <si>
    <t>HTOLIBR</t>
  </si>
  <si>
    <t>HTOMTTC</t>
  </si>
  <si>
    <t>HTOCDI3</t>
  </si>
  <si>
    <t>HTOLEMA</t>
  </si>
  <si>
    <t>HTOPDO1</t>
  </si>
  <si>
    <t>Estatística (antiga Estatística II)</t>
  </si>
  <si>
    <t>HTOFIS2</t>
  </si>
  <si>
    <t>Educação Profissional e Tecnológica</t>
  </si>
  <si>
    <t>HTOEPTC</t>
  </si>
  <si>
    <t>HTOING1</t>
  </si>
  <si>
    <t>HTOMDIS</t>
  </si>
  <si>
    <t>HTOCDI4</t>
  </si>
  <si>
    <t>HTOPDO2</t>
  </si>
  <si>
    <t>HTOPRTC</t>
  </si>
  <si>
    <t>HTOFIS3</t>
  </si>
  <si>
    <t>HTOING2</t>
  </si>
  <si>
    <t>Atividades de Extensão 1</t>
  </si>
  <si>
    <t>HTOEQDF</t>
  </si>
  <si>
    <t>HTOTNUM</t>
  </si>
  <si>
    <t>HTOANRE</t>
  </si>
  <si>
    <t>Matemática Aplicada à Física IV</t>
  </si>
  <si>
    <t>HTOFIS4</t>
  </si>
  <si>
    <t>HTOPDO3</t>
  </si>
  <si>
    <t>Atividades de Extensão 2</t>
  </si>
  <si>
    <t>HTOEXT2</t>
  </si>
  <si>
    <t>HTOALGE</t>
  </si>
  <si>
    <t>HTOSEQS</t>
  </si>
  <si>
    <t>HTOTIEM</t>
  </si>
  <si>
    <t>HTOPDO4</t>
  </si>
  <si>
    <t>Gestão e Currículo</t>
  </si>
  <si>
    <t>HTOGECR</t>
  </si>
  <si>
    <t>HTOEDHU</t>
  </si>
  <si>
    <t>HTOPRMA</t>
  </si>
  <si>
    <t>Licenciatura em Matematica 2022</t>
  </si>
  <si>
    <t>LicMat 2022</t>
  </si>
  <si>
    <t>Filosofia da EducaçãoA</t>
  </si>
  <si>
    <t>Filosofia da EducaçãoB</t>
  </si>
  <si>
    <t>ELETRÔNICA DIGITAL (T)</t>
  </si>
  <si>
    <t>ELETRÔNICA DIGITAL (P)</t>
  </si>
  <si>
    <t>MICROCONTROLADORES (T)</t>
  </si>
  <si>
    <t>MICROCONTROLADORES (P)</t>
  </si>
  <si>
    <t>MÁQUINAS E INSTALAÇÕES ELÉTRICAS INDUSTRIAIS (T)</t>
  </si>
  <si>
    <t>MÁQUINAS E INSTALAÇÕES ELÉTRICAS INDUSTRIAIS (P)</t>
  </si>
  <si>
    <t>Coluna1</t>
  </si>
  <si>
    <t>Coluna2</t>
  </si>
  <si>
    <t>Coluna3</t>
  </si>
  <si>
    <t>Coluna4</t>
  </si>
  <si>
    <t>Coluna5</t>
  </si>
  <si>
    <t>Coluna6</t>
  </si>
  <si>
    <t>Coluna7</t>
  </si>
  <si>
    <t>Coluna8</t>
  </si>
  <si>
    <t>Coluna9</t>
  </si>
  <si>
    <t>Coluna10</t>
  </si>
  <si>
    <t>Coluna11</t>
  </si>
  <si>
    <t>Coluna12</t>
  </si>
  <si>
    <t>Coluna13</t>
  </si>
  <si>
    <t>Coluna14</t>
  </si>
  <si>
    <t>Coluna15</t>
  </si>
  <si>
    <t>Coluna16</t>
  </si>
  <si>
    <t>Coluna17</t>
  </si>
  <si>
    <t>Coluna18</t>
  </si>
  <si>
    <t>Coluna19</t>
  </si>
  <si>
    <t>Coluna20</t>
  </si>
  <si>
    <t>Coluna21</t>
  </si>
  <si>
    <t>Coluna22</t>
  </si>
  <si>
    <t>Coluna23</t>
  </si>
  <si>
    <t>Coluna24</t>
  </si>
  <si>
    <t>Coluna25</t>
  </si>
  <si>
    <t>Coluna26</t>
  </si>
  <si>
    <t>Coluna27</t>
  </si>
  <si>
    <t>Coluna28</t>
  </si>
  <si>
    <t>Coluna29</t>
  </si>
  <si>
    <t>Coluna30</t>
  </si>
  <si>
    <t>Coluna31</t>
  </si>
  <si>
    <t>Coluna32</t>
  </si>
  <si>
    <t>Coluna33</t>
  </si>
  <si>
    <t>HTODTME</t>
  </si>
  <si>
    <t>INFORMÁTICA BÁSICA</t>
  </si>
  <si>
    <t>MATEMÁTICA APLICADA 1</t>
  </si>
  <si>
    <t>HTOMAP1</t>
  </si>
  <si>
    <t>MATEMÁTICA APLICADA 2</t>
  </si>
  <si>
    <t>HTOMAP2</t>
  </si>
  <si>
    <t>METROLOGIA</t>
  </si>
  <si>
    <t>HTOMETR</t>
  </si>
  <si>
    <t>REDAÇÃO TÉCNICA</t>
  </si>
  <si>
    <t>HTOREDT</t>
  </si>
  <si>
    <t>TECNOLOGIA DOS MATERIAIS</t>
  </si>
  <si>
    <t>HTOTCMA</t>
  </si>
  <si>
    <t>INTRODUÇÃO À FABRICAÇÃO MECÂNICA</t>
  </si>
  <si>
    <t>HTOFABM</t>
  </si>
  <si>
    <t>Técnico em Fabricação Mecânica reformulação 2022</t>
  </si>
  <si>
    <t>HTODACO</t>
  </si>
  <si>
    <t>ELETROTÉCNICA INDUSTRIAL</t>
  </si>
  <si>
    <t>HTOELIN</t>
  </si>
  <si>
    <t>ENSAIOS MECÂNICOS</t>
  </si>
  <si>
    <t>HTOENSM</t>
  </si>
  <si>
    <t>PROCESSOS METALÚRGICOS DE FABRICAÇÃO</t>
  </si>
  <si>
    <t>HTOPMET</t>
  </si>
  <si>
    <t>RESISTÊNCIA DOS MATERIAIS 1 - ESTÁTICA</t>
  </si>
  <si>
    <t>USINAGEM CONVENCIONAL 1</t>
  </si>
  <si>
    <t>HTOUSC1</t>
  </si>
  <si>
    <t>GESTÃO EMPRESARIAL E EMPREENDEDORISMO</t>
  </si>
  <si>
    <t>HTOGEEM</t>
  </si>
  <si>
    <t>FUNDAMENTOS DE SOLDAGEM 1</t>
  </si>
  <si>
    <t>HTOSOL1</t>
  </si>
  <si>
    <t>HTOHIPN</t>
  </si>
  <si>
    <t>RESISTÊNCIA DOS MATERIAIS 2</t>
  </si>
  <si>
    <t>HTORMAT</t>
  </si>
  <si>
    <t>TRATAMENTO TÉRMICO E METALOGRAFIA</t>
  </si>
  <si>
    <t>HTOTTER</t>
  </si>
  <si>
    <t>MANUFATURA ADITIVA</t>
  </si>
  <si>
    <t>HTOADIT</t>
  </si>
  <si>
    <t>USINAGEM CONVENCIONAL 2</t>
  </si>
  <si>
    <t>HTOUSC2</t>
  </si>
  <si>
    <t>USINAGEM CNC 1</t>
  </si>
  <si>
    <t>HTOCNC1</t>
  </si>
  <si>
    <t>PROJETO INTEGRADOR 1</t>
  </si>
  <si>
    <t>HTOELMQ</t>
  </si>
  <si>
    <t>FUNDAMENTOS DE SOLDAGEM 2</t>
  </si>
  <si>
    <t>HTOSOL2</t>
  </si>
  <si>
    <t>MANUTENÇÃO MECÂNICA</t>
  </si>
  <si>
    <t>HTOMANU</t>
  </si>
  <si>
    <t>MÁQUINAS TÉRMICAS E DE FLUIDOS</t>
  </si>
  <si>
    <t>HTOMTER</t>
  </si>
  <si>
    <t>PROJETO INTEGRADOR 2</t>
  </si>
  <si>
    <t>AUTOMAÇÃO INDUSTRIAL</t>
  </si>
  <si>
    <t>HTOAUTI</t>
  </si>
  <si>
    <t>USINAGEM CNC 2</t>
  </si>
  <si>
    <t>HTOCNC2</t>
  </si>
  <si>
    <t>Técnico Concomitante em Fabricação Mecânica 2022</t>
  </si>
  <si>
    <t>FabMec 2022</t>
  </si>
  <si>
    <t>2.1.5.</t>
  </si>
  <si>
    <t>ver 2.1.4</t>
  </si>
  <si>
    <t>- correção do problema de Cursos de entrada anual com módulos semestrais descontinuados.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</si>
</sst>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$-416]yyyy/mmm;@"/>
    <numFmt numFmtId="166" formatCode="0.0%"/>
    <numFmt numFmtId="167" formatCode="0.000%"/>
  </numFmts>
  <fonts count="45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Open Sans"/>
      <family val="2"/>
    </font>
    <font>
      <b/>
      <i/>
      <sz val="11"/>
      <color theme="1"/>
      <name val="Calibri"/>
      <family val="2"/>
      <scheme val="minor"/>
    </font>
    <font>
      <b/>
      <sz val="11"/>
      <color theme="1"/>
      <name val="Open Sans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1"/>
      <color rgb="FF000000"/>
      <name val="Open Sans"/>
      <family val="2"/>
    </font>
    <font>
      <sz val="9"/>
      <color theme="1"/>
      <name val="Calibri"/>
      <family val="2"/>
      <scheme val="minor"/>
    </font>
    <font>
      <sz val="9"/>
      <color theme="1"/>
      <name val="Open Sans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0"/>
      <color rgb="FF000000"/>
      <name val="Cambria"/>
      <family val="1"/>
    </font>
    <font>
      <sz val="9"/>
      <color rgb="FF000000"/>
      <name val="Calibri"/>
      <family val="2"/>
      <scheme val="minor"/>
    </font>
    <font>
      <sz val="9"/>
      <color theme="1"/>
      <name val="Arial"/>
      <family val="2"/>
    </font>
    <font>
      <sz val="8"/>
      <name val="Calibri"/>
      <family val="2"/>
      <scheme val="minor"/>
    </font>
    <font>
      <sz val="12"/>
      <name val="Calibri"/>
      <family val="2"/>
    </font>
    <font>
      <sz val="12"/>
      <color theme="1"/>
      <name val="Calibri"/>
      <family val="2"/>
    </font>
    <font>
      <sz val="12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26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DAC4CA"/>
        <bgColor indexed="64"/>
      </patternFill>
    </fill>
  </fills>
  <borders count="1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hair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 style="thin">
        <color theme="4"/>
      </top>
      <bottom/>
      <diagonal/>
    </border>
    <border>
      <left/>
      <right/>
      <top style="thick">
        <color theme="4" tint="0.499984740745262"/>
      </top>
      <bottom/>
      <diagonal/>
    </border>
    <border>
      <left style="thick">
        <color indexed="64"/>
      </left>
      <right style="thin">
        <color auto="1"/>
      </right>
      <top style="thick">
        <color indexed="64"/>
      </top>
      <bottom/>
      <diagonal/>
    </border>
    <border>
      <left style="thin">
        <color auto="1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auto="1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/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hair">
        <color indexed="8"/>
      </right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8"/>
      </left>
      <right style="hair">
        <color indexed="8"/>
      </right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8"/>
      </right>
      <top style="medium">
        <color indexed="8"/>
      </top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hair">
        <color indexed="8"/>
      </right>
      <top style="medium">
        <color indexed="64"/>
      </top>
      <bottom/>
      <diagonal/>
    </border>
    <border>
      <left style="hair">
        <color indexed="8"/>
      </left>
      <right style="hair">
        <color indexed="8"/>
      </right>
      <top style="medium">
        <color indexed="64"/>
      </top>
      <bottom style="hair">
        <color indexed="8"/>
      </bottom>
      <diagonal/>
    </border>
    <border>
      <left style="hair">
        <color indexed="8"/>
      </left>
      <right style="medium">
        <color indexed="64"/>
      </right>
      <top style="medium">
        <color indexed="64"/>
      </top>
      <bottom style="hair">
        <color indexed="8"/>
      </bottom>
      <diagonal/>
    </border>
    <border>
      <left style="medium">
        <color indexed="64"/>
      </left>
      <right style="hair">
        <color indexed="8"/>
      </right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 style="medium">
        <color indexed="64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8"/>
      </bottom>
      <diagonal/>
    </border>
    <border>
      <left style="medium">
        <color indexed="64"/>
      </left>
      <right/>
      <top style="hair">
        <color indexed="8"/>
      </top>
      <bottom style="hair">
        <color indexed="8"/>
      </bottom>
      <diagonal/>
    </border>
    <border>
      <left style="medium">
        <color indexed="64"/>
      </left>
      <right/>
      <top style="hair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hair">
        <color indexed="8"/>
      </right>
      <top style="medium">
        <color indexed="64"/>
      </top>
      <bottom style="hair">
        <color indexed="8"/>
      </bottom>
      <diagonal/>
    </border>
    <border>
      <left style="medium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64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medium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indexed="64"/>
      </top>
      <bottom style="medium">
        <color rgb="FFCCCCCC"/>
      </bottom>
      <diagonal/>
    </border>
    <border>
      <left/>
      <right style="hair">
        <color indexed="8"/>
      </right>
      <top style="medium">
        <color indexed="64"/>
      </top>
      <bottom/>
      <diagonal/>
    </border>
    <border>
      <left/>
      <right style="hair">
        <color indexed="8"/>
      </right>
      <top/>
      <bottom style="medium">
        <color indexed="64"/>
      </bottom>
      <diagonal/>
    </border>
    <border>
      <left/>
      <right/>
      <top style="hair">
        <color indexed="8"/>
      </top>
      <bottom style="medium">
        <color indexed="64"/>
      </bottom>
      <diagonal/>
    </border>
    <border>
      <left/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/>
      <top style="hair">
        <color indexed="8"/>
      </top>
      <bottom style="medium">
        <color indexed="64"/>
      </bottom>
      <diagonal/>
    </border>
    <border>
      <left style="hair">
        <color indexed="8"/>
      </left>
      <right/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hair">
        <color indexed="8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 style="medium">
        <color indexed="64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8"/>
      </top>
      <bottom/>
      <diagonal/>
    </border>
    <border>
      <left style="medium">
        <color indexed="64"/>
      </left>
      <right/>
      <top/>
      <bottom style="hair">
        <color indexed="8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3" fillId="0" borderId="0"/>
    <xf numFmtId="9" fontId="28" fillId="0" borderId="0" applyFont="0" applyFill="0" applyBorder="0" applyAlignment="0" applyProtection="0"/>
  </cellStyleXfs>
  <cellXfs count="622">
    <xf numFmtId="0" fontId="0" fillId="0" borderId="0" xfId="0"/>
    <xf numFmtId="0" fontId="2" fillId="0" borderId="1" xfId="2"/>
    <xf numFmtId="0" fontId="4" fillId="2" borderId="6" xfId="0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vertical="center" wrapText="1"/>
    </xf>
    <xf numFmtId="0" fontId="5" fillId="0" borderId="12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1" fontId="5" fillId="0" borderId="12" xfId="0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4" fontId="5" fillId="2" borderId="14" xfId="0" applyNumberFormat="1" applyFont="1" applyFill="1" applyBorder="1" applyAlignment="1">
      <alignment horizontal="center" vertical="center"/>
    </xf>
    <xf numFmtId="0" fontId="5" fillId="0" borderId="16" xfId="0" applyFont="1" applyBorder="1" applyAlignment="1">
      <alignment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1" fontId="5" fillId="0" borderId="15" xfId="0" applyNumberFormat="1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64" fontId="5" fillId="2" borderId="17" xfId="0" applyNumberFormat="1" applyFont="1" applyFill="1" applyBorder="1" applyAlignment="1">
      <alignment horizontal="center" vertical="center"/>
    </xf>
    <xf numFmtId="0" fontId="5" fillId="0" borderId="19" xfId="0" applyFont="1" applyBorder="1" applyAlignment="1">
      <alignment vertical="center" wrapText="1"/>
    </xf>
    <xf numFmtId="0" fontId="5" fillId="0" borderId="18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1" fontId="5" fillId="0" borderId="18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2" borderId="20" xfId="0" applyNumberFormat="1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vertical="center"/>
    </xf>
    <xf numFmtId="164" fontId="5" fillId="2" borderId="22" xfId="0" applyNumberFormat="1" applyFont="1" applyFill="1" applyBorder="1" applyAlignment="1">
      <alignment vertical="center"/>
    </xf>
    <xf numFmtId="0" fontId="5" fillId="2" borderId="22" xfId="0" applyFont="1" applyFill="1" applyBorder="1" applyAlignment="1">
      <alignment horizontal="center" vertical="center"/>
    </xf>
    <xf numFmtId="1" fontId="5" fillId="2" borderId="22" xfId="0" applyNumberFormat="1" applyFont="1" applyFill="1" applyBorder="1" applyAlignment="1">
      <alignment horizontal="center" vertical="center"/>
    </xf>
    <xf numFmtId="0" fontId="11" fillId="2" borderId="23" xfId="0" applyFont="1" applyFill="1" applyBorder="1"/>
    <xf numFmtId="0" fontId="12" fillId="2" borderId="24" xfId="0" applyFont="1" applyFill="1" applyBorder="1" applyAlignment="1">
      <alignment horizontal="right" vertical="center"/>
    </xf>
    <xf numFmtId="0" fontId="12" fillId="2" borderId="24" xfId="0" applyFont="1" applyFill="1" applyBorder="1" applyAlignment="1">
      <alignment horizontal="center" vertical="center"/>
    </xf>
    <xf numFmtId="0" fontId="12" fillId="2" borderId="24" xfId="0" applyFont="1" applyFill="1" applyBorder="1" applyAlignment="1">
      <alignment vertical="center"/>
    </xf>
    <xf numFmtId="0" fontId="12" fillId="2" borderId="25" xfId="0" applyFont="1" applyFill="1" applyBorder="1" applyAlignment="1">
      <alignment vertical="center"/>
    </xf>
    <xf numFmtId="0" fontId="5" fillId="2" borderId="3" xfId="0" applyFont="1" applyFill="1" applyBorder="1" applyAlignment="1">
      <alignment horizontal="center" vertical="center" wrapText="1"/>
    </xf>
    <xf numFmtId="0" fontId="13" fillId="0" borderId="0" xfId="4"/>
    <xf numFmtId="0" fontId="15" fillId="0" borderId="0" xfId="4" applyFont="1" applyAlignment="1">
      <alignment horizontal="left" vertical="center"/>
    </xf>
    <xf numFmtId="0" fontId="14" fillId="0" borderId="0" xfId="4" applyFont="1" applyAlignment="1">
      <alignment horizontal="center" vertical="center"/>
    </xf>
    <xf numFmtId="0" fontId="0" fillId="0" borderId="26" xfId="4" applyFont="1" applyBorder="1" applyAlignment="1">
      <alignment horizontal="center" vertical="center"/>
    </xf>
    <xf numFmtId="0" fontId="16" fillId="0" borderId="26" xfId="4" applyFont="1" applyBorder="1" applyAlignment="1" applyProtection="1">
      <alignment vertical="center"/>
      <protection locked="0"/>
    </xf>
    <xf numFmtId="0" fontId="0" fillId="3" borderId="26" xfId="4" applyFont="1" applyFill="1" applyBorder="1" applyAlignment="1" applyProtection="1">
      <alignment horizontal="center" vertical="center"/>
      <protection locked="0"/>
    </xf>
    <xf numFmtId="0" fontId="15" fillId="0" borderId="26" xfId="4" applyFont="1" applyBorder="1" applyAlignment="1" applyProtection="1">
      <alignment horizontal="center" vertical="center"/>
      <protection locked="0"/>
    </xf>
    <xf numFmtId="0" fontId="15" fillId="3" borderId="26" xfId="4" applyFont="1" applyFill="1" applyBorder="1" applyAlignment="1" applyProtection="1">
      <alignment horizontal="center" vertical="center"/>
      <protection locked="0"/>
    </xf>
    <xf numFmtId="0" fontId="15" fillId="0" borderId="26" xfId="4" applyFont="1" applyBorder="1" applyAlignment="1">
      <alignment horizontal="center" vertical="center"/>
    </xf>
    <xf numFmtId="1" fontId="15" fillId="0" borderId="26" xfId="4" applyNumberFormat="1" applyFont="1" applyBorder="1" applyAlignment="1">
      <alignment horizontal="center" vertical="center"/>
    </xf>
    <xf numFmtId="0" fontId="0" fillId="0" borderId="26" xfId="4" applyFont="1" applyBorder="1" applyAlignment="1" applyProtection="1">
      <alignment horizontal="left"/>
      <protection locked="0"/>
    </xf>
    <xf numFmtId="0" fontId="0" fillId="0" borderId="26" xfId="4" applyFont="1" applyBorder="1" applyAlignment="1" applyProtection="1">
      <alignment horizontal="center"/>
      <protection locked="0"/>
    </xf>
    <xf numFmtId="0" fontId="0" fillId="0" borderId="26" xfId="4" applyFont="1" applyBorder="1" applyAlignment="1" applyProtection="1">
      <alignment horizontal="center" vertical="center"/>
      <protection locked="0"/>
    </xf>
    <xf numFmtId="0" fontId="0" fillId="0" borderId="26" xfId="4" applyFont="1" applyBorder="1" applyAlignment="1" applyProtection="1">
      <alignment horizontal="center" vertical="center" wrapText="1"/>
      <protection locked="0"/>
    </xf>
    <xf numFmtId="1" fontId="15" fillId="0" borderId="26" xfId="4" applyNumberFormat="1" applyFont="1" applyBorder="1" applyAlignment="1" applyProtection="1">
      <alignment horizontal="center" vertical="center"/>
      <protection locked="0"/>
    </xf>
    <xf numFmtId="1" fontId="15" fillId="3" borderId="26" xfId="4" applyNumberFormat="1" applyFont="1" applyFill="1" applyBorder="1" applyAlignment="1" applyProtection="1">
      <alignment horizontal="center" vertical="center"/>
      <protection locked="0"/>
    </xf>
    <xf numFmtId="0" fontId="17" fillId="0" borderId="26" xfId="4" applyFont="1" applyBorder="1" applyAlignment="1" applyProtection="1">
      <alignment vertical="center"/>
      <protection locked="0"/>
    </xf>
    <xf numFmtId="0" fontId="15" fillId="0" borderId="28" xfId="4" applyFont="1" applyBorder="1" applyAlignment="1">
      <alignment horizontal="center" vertical="center"/>
    </xf>
    <xf numFmtId="164" fontId="15" fillId="4" borderId="28" xfId="4" applyNumberFormat="1" applyFont="1" applyFill="1" applyBorder="1" applyAlignment="1">
      <alignment horizontal="center" vertical="center"/>
    </xf>
    <xf numFmtId="1" fontId="15" fillId="0" borderId="28" xfId="4" applyNumberFormat="1" applyFont="1" applyBorder="1" applyAlignment="1">
      <alignment horizontal="center" vertical="center"/>
    </xf>
    <xf numFmtId="1" fontId="14" fillId="0" borderId="28" xfId="4" applyNumberFormat="1" applyFont="1" applyBorder="1" applyAlignment="1">
      <alignment horizontal="center" vertical="center"/>
    </xf>
    <xf numFmtId="0" fontId="18" fillId="0" borderId="0" xfId="4" applyFont="1"/>
    <xf numFmtId="1" fontId="15" fillId="0" borderId="28" xfId="4" applyNumberFormat="1" applyFont="1" applyBorder="1" applyAlignment="1" applyProtection="1">
      <alignment horizontal="center" vertical="center"/>
      <protection locked="0"/>
    </xf>
    <xf numFmtId="0" fontId="0" fillId="0" borderId="0" xfId="4" applyFont="1"/>
    <xf numFmtId="0" fontId="14" fillId="0" borderId="0" xfId="4" applyFont="1" applyAlignment="1">
      <alignment horizontal="left" vertical="center"/>
    </xf>
    <xf numFmtId="0" fontId="14" fillId="0" borderId="27" xfId="4" applyFont="1" applyBorder="1" applyAlignment="1">
      <alignment horizontal="left" vertical="center"/>
    </xf>
    <xf numFmtId="0" fontId="14" fillId="0" borderId="29" xfId="4" applyFont="1" applyBorder="1" applyAlignment="1">
      <alignment horizontal="left" vertical="center"/>
    </xf>
    <xf numFmtId="0" fontId="14" fillId="0" borderId="31" xfId="4" applyFont="1" applyBorder="1" applyAlignment="1">
      <alignment horizontal="left" vertical="center"/>
    </xf>
    <xf numFmtId="0" fontId="14" fillId="0" borderId="32" xfId="4" applyFont="1" applyBorder="1" applyAlignment="1">
      <alignment horizontal="left" vertical="center"/>
    </xf>
    <xf numFmtId="0" fontId="15" fillId="0" borderId="26" xfId="4" applyFont="1" applyBorder="1" applyAlignment="1">
      <alignment vertical="center"/>
    </xf>
    <xf numFmtId="0" fontId="1" fillId="0" borderId="0" xfId="1" applyAlignment="1">
      <alignment wrapText="1"/>
    </xf>
    <xf numFmtId="0" fontId="0" fillId="0" borderId="0" xfId="0" applyAlignment="1">
      <alignment wrapText="1"/>
    </xf>
    <xf numFmtId="0" fontId="5" fillId="2" borderId="23" xfId="0" applyFont="1" applyFill="1" applyBorder="1" applyAlignment="1">
      <alignment horizontal="center" vertical="center" wrapText="1"/>
    </xf>
    <xf numFmtId="0" fontId="0" fillId="5" borderId="34" xfId="0" applyFill="1" applyBorder="1"/>
    <xf numFmtId="0" fontId="0" fillId="5" borderId="35" xfId="0" applyFill="1" applyBorder="1"/>
    <xf numFmtId="0" fontId="0" fillId="5" borderId="36" xfId="0" applyFill="1" applyBorder="1"/>
    <xf numFmtId="0" fontId="0" fillId="5" borderId="34" xfId="0" applyFill="1" applyBorder="1" applyAlignment="1">
      <alignment vertical="center"/>
    </xf>
    <xf numFmtId="0" fontId="0" fillId="5" borderId="35" xfId="0" applyFill="1" applyBorder="1" applyAlignment="1">
      <alignment vertical="center"/>
    </xf>
    <xf numFmtId="0" fontId="0" fillId="5" borderId="37" xfId="0" applyFill="1" applyBorder="1"/>
    <xf numFmtId="0" fontId="14" fillId="0" borderId="38" xfId="4" applyFont="1" applyBorder="1" applyAlignment="1">
      <alignment horizontal="left" vertical="center"/>
    </xf>
    <xf numFmtId="0" fontId="14" fillId="0" borderId="39" xfId="4" applyFont="1" applyBorder="1" applyAlignment="1">
      <alignment horizontal="left" vertical="center"/>
    </xf>
    <xf numFmtId="0" fontId="15" fillId="0" borderId="39" xfId="4" applyFont="1" applyBorder="1" applyAlignment="1">
      <alignment horizontal="left" vertical="center"/>
    </xf>
    <xf numFmtId="0" fontId="14" fillId="0" borderId="41" xfId="4" applyFont="1" applyBorder="1" applyAlignment="1">
      <alignment horizontal="center" vertical="center"/>
    </xf>
    <xf numFmtId="0" fontId="14" fillId="0" borderId="41" xfId="4" applyFont="1" applyBorder="1" applyAlignment="1">
      <alignment horizontal="left" vertical="center"/>
    </xf>
    <xf numFmtId="0" fontId="14" fillId="0" borderId="42" xfId="4" applyFont="1" applyBorder="1" applyAlignment="1">
      <alignment horizontal="left" vertical="center"/>
    </xf>
    <xf numFmtId="0" fontId="0" fillId="0" borderId="26" xfId="0" applyBorder="1" applyProtection="1">
      <protection locked="0"/>
    </xf>
    <xf numFmtId="0" fontId="0" fillId="0" borderId="0" xfId="0" applyProtection="1">
      <protection locked="0"/>
    </xf>
    <xf numFmtId="0" fontId="0" fillId="0" borderId="26" xfId="4" applyFont="1" applyBorder="1" applyProtection="1">
      <protection locked="0"/>
    </xf>
    <xf numFmtId="0" fontId="15" fillId="6" borderId="26" xfId="4" applyFont="1" applyFill="1" applyBorder="1" applyAlignment="1" applyProtection="1">
      <alignment horizontal="center" vertical="center"/>
      <protection locked="0"/>
    </xf>
    <xf numFmtId="0" fontId="0" fillId="6" borderId="26" xfId="4" applyFont="1" applyFill="1" applyBorder="1" applyAlignment="1" applyProtection="1">
      <alignment horizontal="center"/>
      <protection locked="0"/>
    </xf>
    <xf numFmtId="0" fontId="0" fillId="0" borderId="26" xfId="4" applyFont="1" applyBorder="1" applyAlignment="1">
      <alignment horizontal="center" vertical="center" wrapText="1"/>
    </xf>
    <xf numFmtId="0" fontId="0" fillId="0" borderId="26" xfId="4" applyFont="1" applyBorder="1" applyAlignment="1">
      <alignment vertical="center"/>
    </xf>
    <xf numFmtId="165" fontId="0" fillId="0" borderId="0" xfId="0" applyNumberFormat="1"/>
    <xf numFmtId="0" fontId="0" fillId="0" borderId="43" xfId="0" applyBorder="1"/>
    <xf numFmtId="165" fontId="0" fillId="0" borderId="43" xfId="0" applyNumberFormat="1" applyBorder="1"/>
    <xf numFmtId="0" fontId="0" fillId="0" borderId="44" xfId="0" applyBorder="1"/>
    <xf numFmtId="165" fontId="0" fillId="0" borderId="44" xfId="0" applyNumberFormat="1" applyBorder="1"/>
    <xf numFmtId="1" fontId="14" fillId="0" borderId="0" xfId="4" applyNumberFormat="1" applyFont="1" applyAlignment="1">
      <alignment horizontal="center" vertical="center"/>
    </xf>
    <xf numFmtId="1" fontId="0" fillId="0" borderId="26" xfId="4" applyNumberFormat="1" applyFont="1" applyBorder="1" applyAlignment="1">
      <alignment horizontal="center" vertical="center"/>
    </xf>
    <xf numFmtId="1" fontId="14" fillId="0" borderId="0" xfId="4" applyNumberFormat="1" applyFont="1" applyAlignment="1">
      <alignment horizontal="left" vertical="center"/>
    </xf>
    <xf numFmtId="1" fontId="0" fillId="0" borderId="0" xfId="0" applyNumberFormat="1"/>
    <xf numFmtId="0" fontId="14" fillId="0" borderId="0" xfId="4" applyFont="1" applyAlignment="1">
      <alignment vertical="center"/>
    </xf>
    <xf numFmtId="0" fontId="1" fillId="0" borderId="0" xfId="1" applyAlignment="1">
      <alignment horizontal="center" wrapText="1"/>
    </xf>
    <xf numFmtId="0" fontId="0" fillId="0" borderId="0" xfId="0" applyAlignment="1">
      <alignment horizontal="center"/>
    </xf>
    <xf numFmtId="0" fontId="3" fillId="7" borderId="0" xfId="3" applyFill="1" applyBorder="1"/>
    <xf numFmtId="165" fontId="3" fillId="7" borderId="0" xfId="3" applyNumberFormat="1" applyFill="1" applyBorder="1"/>
    <xf numFmtId="0" fontId="3" fillId="7" borderId="2" xfId="3" applyFill="1"/>
    <xf numFmtId="0" fontId="0" fillId="0" borderId="0" xfId="0" pivotButton="1"/>
    <xf numFmtId="0" fontId="0" fillId="8" borderId="0" xfId="0" applyFill="1"/>
    <xf numFmtId="0" fontId="4" fillId="0" borderId="0" xfId="0" applyFont="1"/>
    <xf numFmtId="0" fontId="13" fillId="3" borderId="26" xfId="4" applyFill="1" applyBorder="1" applyAlignment="1" applyProtection="1">
      <alignment horizontal="center" vertical="center"/>
      <protection locked="0"/>
    </xf>
    <xf numFmtId="0" fontId="13" fillId="0" borderId="26" xfId="4" applyBorder="1" applyAlignment="1" applyProtection="1">
      <alignment horizontal="left"/>
      <protection locked="0"/>
    </xf>
    <xf numFmtId="0" fontId="13" fillId="0" borderId="26" xfId="4" applyBorder="1" applyAlignment="1" applyProtection="1">
      <alignment horizontal="center"/>
      <protection locked="0"/>
    </xf>
    <xf numFmtId="0" fontId="13" fillId="0" borderId="26" xfId="4" applyBorder="1" applyAlignment="1" applyProtection="1">
      <alignment horizontal="center" vertical="center"/>
      <protection locked="0"/>
    </xf>
    <xf numFmtId="0" fontId="13" fillId="0" borderId="26" xfId="4" applyBorder="1" applyAlignment="1" applyProtection="1">
      <alignment horizontal="center" vertical="center" wrapText="1"/>
      <protection locked="0"/>
    </xf>
    <xf numFmtId="0" fontId="18" fillId="0" borderId="39" xfId="4" applyFont="1" applyBorder="1" applyAlignment="1">
      <alignment horizontal="center"/>
    </xf>
    <xf numFmtId="0" fontId="0" fillId="0" borderId="40" xfId="4" applyFont="1" applyBorder="1" applyAlignment="1">
      <alignment horizontal="center" vertical="center"/>
    </xf>
    <xf numFmtId="0" fontId="0" fillId="9" borderId="26" xfId="4" applyFont="1" applyFill="1" applyBorder="1" applyAlignment="1" applyProtection="1">
      <alignment horizontal="center"/>
      <protection locked="0"/>
    </xf>
    <xf numFmtId="0" fontId="14" fillId="0" borderId="40" xfId="4" applyFont="1" applyBorder="1" applyAlignment="1">
      <alignment horizontal="left" vertical="center"/>
    </xf>
    <xf numFmtId="0" fontId="14" fillId="0" borderId="27" xfId="4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2" borderId="22" xfId="0" applyFont="1" applyFill="1" applyBorder="1" applyAlignment="1">
      <alignment horizontal="center" vertical="center" wrapText="1"/>
    </xf>
    <xf numFmtId="0" fontId="5" fillId="2" borderId="57" xfId="0" applyFont="1" applyFill="1" applyBorder="1" applyAlignment="1">
      <alignment horizontal="center" vertical="center" wrapText="1"/>
    </xf>
    <xf numFmtId="0" fontId="5" fillId="2" borderId="58" xfId="0" applyFont="1" applyFill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/>
    </xf>
    <xf numFmtId="1" fontId="5" fillId="2" borderId="12" xfId="0" applyNumberFormat="1" applyFont="1" applyFill="1" applyBorder="1" applyAlignment="1">
      <alignment horizontal="center" vertical="center"/>
    </xf>
    <xf numFmtId="0" fontId="0" fillId="5" borderId="13" xfId="0" applyFill="1" applyBorder="1"/>
    <xf numFmtId="0" fontId="0" fillId="5" borderId="59" xfId="0" applyFill="1" applyBorder="1"/>
    <xf numFmtId="1" fontId="5" fillId="0" borderId="35" xfId="0" applyNumberFormat="1" applyFont="1" applyBorder="1" applyAlignment="1">
      <alignment horizontal="center" vertical="center"/>
    </xf>
    <xf numFmtId="1" fontId="5" fillId="2" borderId="15" xfId="0" applyNumberFormat="1" applyFont="1" applyFill="1" applyBorder="1" applyAlignment="1">
      <alignment horizontal="center" vertical="center"/>
    </xf>
    <xf numFmtId="0" fontId="0" fillId="5" borderId="16" xfId="0" applyFill="1" applyBorder="1"/>
    <xf numFmtId="0" fontId="0" fillId="5" borderId="60" xfId="0" applyFill="1" applyBorder="1"/>
    <xf numFmtId="0" fontId="5" fillId="0" borderId="62" xfId="0" applyFont="1" applyBorder="1" applyAlignment="1">
      <alignment vertical="center" wrapText="1"/>
    </xf>
    <xf numFmtId="0" fontId="5" fillId="0" borderId="61" xfId="0" applyFont="1" applyBorder="1" applyAlignment="1">
      <alignment horizontal="center" vertical="center" wrapText="1"/>
    </xf>
    <xf numFmtId="0" fontId="10" fillId="0" borderId="61" xfId="0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/>
    </xf>
    <xf numFmtId="0" fontId="0" fillId="5" borderId="62" xfId="0" applyFill="1" applyBorder="1"/>
    <xf numFmtId="0" fontId="0" fillId="5" borderId="64" xfId="0" applyFill="1" applyBorder="1"/>
    <xf numFmtId="1" fontId="5" fillId="0" borderId="36" xfId="0" applyNumberFormat="1" applyFont="1" applyBorder="1" applyAlignment="1">
      <alignment horizontal="center" vertical="center"/>
    </xf>
    <xf numFmtId="1" fontId="5" fillId="2" borderId="18" xfId="0" applyNumberFormat="1" applyFont="1" applyFill="1" applyBorder="1" applyAlignment="1">
      <alignment horizontal="center" vertical="center"/>
    </xf>
    <xf numFmtId="0" fontId="0" fillId="5" borderId="19" xfId="0" applyFill="1" applyBorder="1"/>
    <xf numFmtId="0" fontId="0" fillId="5" borderId="65" xfId="0" applyFill="1" applyBorder="1"/>
    <xf numFmtId="0" fontId="5" fillId="0" borderId="66" xfId="0" applyFont="1" applyBorder="1" applyAlignment="1">
      <alignment vertical="center" wrapText="1"/>
    </xf>
    <xf numFmtId="0" fontId="5" fillId="0" borderId="21" xfId="0" applyFont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" fontId="5" fillId="0" borderId="37" xfId="0" applyNumberFormat="1" applyFont="1" applyBorder="1" applyAlignment="1">
      <alignment horizontal="center" vertical="center"/>
    </xf>
    <xf numFmtId="0" fontId="0" fillId="5" borderId="66" xfId="0" applyFill="1" applyBorder="1"/>
    <xf numFmtId="0" fontId="0" fillId="5" borderId="67" xfId="0" applyFill="1" applyBorder="1"/>
    <xf numFmtId="0" fontId="5" fillId="0" borderId="61" xfId="0" applyFont="1" applyBorder="1" applyAlignment="1">
      <alignment horizontal="center" vertical="center"/>
    </xf>
    <xf numFmtId="1" fontId="5" fillId="2" borderId="61" xfId="0" applyNumberFormat="1" applyFont="1" applyFill="1" applyBorder="1" applyAlignment="1">
      <alignment horizontal="center" vertical="center"/>
    </xf>
    <xf numFmtId="1" fontId="0" fillId="2" borderId="18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1" fontId="0" fillId="2" borderId="15" xfId="0" applyNumberForma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1" fontId="0" fillId="2" borderId="12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4" xfId="0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23" fillId="0" borderId="18" xfId="0" applyFont="1" applyBorder="1" applyAlignment="1">
      <alignment horizontal="center" vertical="center" wrapText="1"/>
    </xf>
    <xf numFmtId="0" fontId="0" fillId="5" borderId="16" xfId="0" applyFill="1" applyBorder="1" applyAlignment="1">
      <alignment vertical="center"/>
    </xf>
    <xf numFmtId="0" fontId="0" fillId="5" borderId="13" xfId="0" applyFill="1" applyBorder="1" applyAlignment="1">
      <alignment vertical="center"/>
    </xf>
    <xf numFmtId="1" fontId="0" fillId="2" borderId="62" xfId="0" applyNumberForma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" fontId="0" fillId="0" borderId="61" xfId="0" applyNumberFormat="1" applyBorder="1" applyAlignment="1">
      <alignment horizontal="center" vertical="center"/>
    </xf>
    <xf numFmtId="1" fontId="0" fillId="2" borderId="16" xfId="0" applyNumberForma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2" borderId="13" xfId="0" applyNumberFormat="1" applyFill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9" xfId="0" applyFill="1" applyBorder="1" applyAlignment="1">
      <alignment horizontal="center" vertical="center" wrapText="1"/>
    </xf>
    <xf numFmtId="0" fontId="0" fillId="2" borderId="5" xfId="0" applyFill="1" applyBorder="1" applyAlignment="1">
      <alignment vertical="center" wrapText="1"/>
    </xf>
    <xf numFmtId="0" fontId="25" fillId="2" borderId="11" xfId="0" applyFont="1" applyFill="1" applyBorder="1" applyAlignment="1">
      <alignment vertical="center" wrapText="1"/>
    </xf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2" xfId="0" applyBorder="1" applyAlignment="1">
      <alignment horizontal="center"/>
    </xf>
    <xf numFmtId="1" fontId="0" fillId="2" borderId="19" xfId="0" applyNumberFormat="1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16" fillId="10" borderId="26" xfId="4" applyFont="1" applyFill="1" applyBorder="1" applyAlignment="1" applyProtection="1">
      <alignment vertical="center"/>
      <protection locked="0"/>
    </xf>
    <xf numFmtId="0" fontId="0" fillId="11" borderId="26" xfId="4" applyFont="1" applyFill="1" applyBorder="1" applyAlignment="1" applyProtection="1">
      <alignment horizontal="center" vertical="center"/>
      <protection locked="0"/>
    </xf>
    <xf numFmtId="0" fontId="15" fillId="10" borderId="26" xfId="4" applyFont="1" applyFill="1" applyBorder="1" applyAlignment="1" applyProtection="1">
      <alignment horizontal="center" vertical="center"/>
      <protection locked="0"/>
    </xf>
    <xf numFmtId="0" fontId="15" fillId="11" borderId="26" xfId="4" applyFont="1" applyFill="1" applyBorder="1" applyAlignment="1" applyProtection="1">
      <alignment horizontal="center" vertical="center"/>
      <protection locked="0"/>
    </xf>
    <xf numFmtId="0" fontId="15" fillId="10" borderId="26" xfId="4" applyFont="1" applyFill="1" applyBorder="1" applyAlignment="1">
      <alignment horizontal="center" vertical="center"/>
    </xf>
    <xf numFmtId="1" fontId="15" fillId="10" borderId="26" xfId="4" applyNumberFormat="1" applyFont="1" applyFill="1" applyBorder="1" applyAlignment="1">
      <alignment horizontal="center" vertical="center"/>
    </xf>
    <xf numFmtId="0" fontId="0" fillId="10" borderId="26" xfId="4" applyFont="1" applyFill="1" applyBorder="1" applyAlignment="1" applyProtection="1">
      <alignment horizontal="center"/>
      <protection locked="0"/>
    </xf>
    <xf numFmtId="0" fontId="0" fillId="10" borderId="26" xfId="4" applyFont="1" applyFill="1" applyBorder="1" applyAlignment="1" applyProtection="1">
      <alignment horizontal="left"/>
      <protection locked="0"/>
    </xf>
    <xf numFmtId="0" fontId="0" fillId="10" borderId="26" xfId="4" applyFont="1" applyFill="1" applyBorder="1" applyAlignment="1" applyProtection="1">
      <alignment horizontal="center" vertical="center"/>
      <protection locked="0"/>
    </xf>
    <xf numFmtId="0" fontId="16" fillId="12" borderId="26" xfId="4" applyFont="1" applyFill="1" applyBorder="1" applyAlignment="1" applyProtection="1">
      <alignment vertical="center"/>
      <protection locked="0"/>
    </xf>
    <xf numFmtId="0" fontId="0" fillId="13" borderId="26" xfId="4" applyFont="1" applyFill="1" applyBorder="1" applyAlignment="1" applyProtection="1">
      <alignment horizontal="center" vertical="center"/>
      <protection locked="0"/>
    </xf>
    <xf numFmtId="0" fontId="15" fillId="12" borderId="26" xfId="4" applyFont="1" applyFill="1" applyBorder="1" applyAlignment="1" applyProtection="1">
      <alignment horizontal="center" vertical="center"/>
      <protection locked="0"/>
    </xf>
    <xf numFmtId="0" fontId="15" fillId="13" borderId="26" xfId="4" applyFont="1" applyFill="1" applyBorder="1" applyAlignment="1" applyProtection="1">
      <alignment horizontal="center" vertical="center"/>
      <protection locked="0"/>
    </xf>
    <xf numFmtId="0" fontId="15" fillId="12" borderId="26" xfId="4" applyFont="1" applyFill="1" applyBorder="1" applyAlignment="1">
      <alignment horizontal="center" vertical="center"/>
    </xf>
    <xf numFmtId="1" fontId="15" fillId="12" borderId="26" xfId="4" applyNumberFormat="1" applyFont="1" applyFill="1" applyBorder="1" applyAlignment="1">
      <alignment horizontal="center" vertical="center"/>
    </xf>
    <xf numFmtId="0" fontId="0" fillId="12" borderId="26" xfId="4" applyFont="1" applyFill="1" applyBorder="1" applyAlignment="1" applyProtection="1">
      <alignment horizontal="center"/>
      <protection locked="0"/>
    </xf>
    <xf numFmtId="0" fontId="0" fillId="12" borderId="26" xfId="4" applyFont="1" applyFill="1" applyBorder="1" applyAlignment="1" applyProtection="1">
      <alignment horizontal="left"/>
      <protection locked="0"/>
    </xf>
    <xf numFmtId="0" fontId="0" fillId="12" borderId="26" xfId="4" applyFont="1" applyFill="1" applyBorder="1" applyAlignment="1" applyProtection="1">
      <alignment horizontal="center" vertical="center"/>
      <protection locked="0"/>
    </xf>
    <xf numFmtId="0" fontId="26" fillId="2" borderId="71" xfId="0" applyFont="1" applyFill="1" applyBorder="1" applyAlignment="1">
      <alignment horizontal="center" vertical="center"/>
    </xf>
    <xf numFmtId="0" fontId="27" fillId="2" borderId="71" xfId="0" applyFont="1" applyFill="1" applyBorder="1" applyAlignment="1">
      <alignment horizontal="center" vertical="center"/>
    </xf>
    <xf numFmtId="0" fontId="26" fillId="2" borderId="72" xfId="0" applyFont="1" applyFill="1" applyBorder="1" applyAlignment="1">
      <alignment horizontal="center" vertical="center"/>
    </xf>
    <xf numFmtId="0" fontId="27" fillId="2" borderId="72" xfId="0" applyFont="1" applyFill="1" applyBorder="1" applyAlignment="1">
      <alignment horizontal="center" vertical="center"/>
    </xf>
    <xf numFmtId="0" fontId="26" fillId="2" borderId="70" xfId="0" applyFont="1" applyFill="1" applyBorder="1" applyAlignment="1">
      <alignment horizontal="center" vertical="center"/>
    </xf>
    <xf numFmtId="0" fontId="27" fillId="2" borderId="70" xfId="0" applyFont="1" applyFill="1" applyBorder="1" applyAlignment="1">
      <alignment horizontal="center" vertical="center"/>
    </xf>
    <xf numFmtId="0" fontId="27" fillId="0" borderId="71" xfId="0" applyFont="1" applyBorder="1" applyAlignment="1">
      <alignment vertical="center"/>
    </xf>
    <xf numFmtId="0" fontId="27" fillId="0" borderId="74" xfId="0" applyFont="1" applyBorder="1" applyAlignment="1">
      <alignment vertical="center"/>
    </xf>
    <xf numFmtId="0" fontId="27" fillId="0" borderId="73" xfId="0" applyFont="1" applyBorder="1" applyAlignment="1">
      <alignment vertical="center" wrapText="1"/>
    </xf>
    <xf numFmtId="0" fontId="27" fillId="0" borderId="73" xfId="0" applyFont="1" applyBorder="1" applyAlignment="1">
      <alignment vertical="center"/>
    </xf>
    <xf numFmtId="0" fontId="27" fillId="0" borderId="75" xfId="0" applyFont="1" applyBorder="1" applyAlignment="1">
      <alignment vertical="center"/>
    </xf>
    <xf numFmtId="2" fontId="0" fillId="0" borderId="0" xfId="0" applyNumberFormat="1"/>
    <xf numFmtId="2" fontId="3" fillId="7" borderId="2" xfId="3" applyNumberFormat="1" applyFill="1"/>
    <xf numFmtId="2" fontId="3" fillId="7" borderId="0" xfId="3" applyNumberFormat="1" applyFill="1" applyBorder="1"/>
    <xf numFmtId="0" fontId="29" fillId="10" borderId="3" xfId="0" applyFont="1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0" xfId="0" applyFill="1"/>
    <xf numFmtId="0" fontId="0" fillId="10" borderId="7" xfId="0" applyFill="1" applyBorder="1"/>
    <xf numFmtId="0" fontId="4" fillId="10" borderId="77" xfId="0" applyFont="1" applyFill="1" applyBorder="1"/>
    <xf numFmtId="0" fontId="0" fillId="10" borderId="76" xfId="0" applyFill="1" applyBorder="1"/>
    <xf numFmtId="0" fontId="0" fillId="10" borderId="78" xfId="0" applyFill="1" applyBorder="1"/>
    <xf numFmtId="0" fontId="31" fillId="10" borderId="6" xfId="0" applyFont="1" applyFill="1" applyBorder="1"/>
    <xf numFmtId="0" fontId="30" fillId="10" borderId="0" xfId="0" applyFont="1" applyFill="1"/>
    <xf numFmtId="0" fontId="30" fillId="10" borderId="7" xfId="0" applyFont="1" applyFill="1" applyBorder="1"/>
    <xf numFmtId="0" fontId="0" fillId="10" borderId="10" xfId="0" applyFill="1" applyBorder="1"/>
    <xf numFmtId="0" fontId="0" fillId="10" borderId="9" xfId="0" applyFill="1" applyBorder="1"/>
    <xf numFmtId="0" fontId="29" fillId="14" borderId="3" xfId="0" applyFont="1" applyFill="1" applyBorder="1"/>
    <xf numFmtId="0" fontId="0" fillId="10" borderId="76" xfId="0" applyFill="1" applyBorder="1" applyAlignment="1">
      <alignment horizontal="right"/>
    </xf>
    <xf numFmtId="0" fontId="0" fillId="14" borderId="4" xfId="0" applyFill="1" applyBorder="1"/>
    <xf numFmtId="0" fontId="0" fillId="14" borderId="5" xfId="0" applyFill="1" applyBorder="1"/>
    <xf numFmtId="0" fontId="0" fillId="14" borderId="6" xfId="0" applyFill="1" applyBorder="1"/>
    <xf numFmtId="0" fontId="4" fillId="14" borderId="76" xfId="0" applyFont="1" applyFill="1" applyBorder="1" applyAlignment="1">
      <alignment horizontal="right"/>
    </xf>
    <xf numFmtId="0" fontId="0" fillId="14" borderId="0" xfId="0" applyFill="1"/>
    <xf numFmtId="0" fontId="0" fillId="14" borderId="7" xfId="0" applyFill="1" applyBorder="1"/>
    <xf numFmtId="0" fontId="0" fillId="14" borderId="77" xfId="0" applyFill="1" applyBorder="1"/>
    <xf numFmtId="0" fontId="0" fillId="14" borderId="76" xfId="0" applyFill="1" applyBorder="1" applyAlignment="1">
      <alignment horizontal="right"/>
    </xf>
    <xf numFmtId="0" fontId="4" fillId="14" borderId="76" xfId="0" applyFont="1" applyFill="1" applyBorder="1"/>
    <xf numFmtId="0" fontId="4" fillId="14" borderId="78" xfId="0" applyFont="1" applyFill="1" applyBorder="1"/>
    <xf numFmtId="0" fontId="0" fillId="14" borderId="76" xfId="0" applyFill="1" applyBorder="1"/>
    <xf numFmtId="0" fontId="0" fillId="14" borderId="78" xfId="0" applyFill="1" applyBorder="1"/>
    <xf numFmtId="0" fontId="0" fillId="14" borderId="8" xfId="0" applyFill="1" applyBorder="1"/>
    <xf numFmtId="0" fontId="0" fillId="14" borderId="10" xfId="0" applyFill="1" applyBorder="1"/>
    <xf numFmtId="0" fontId="0" fillId="14" borderId="9" xfId="0" applyFill="1" applyBorder="1"/>
    <xf numFmtId="0" fontId="29" fillId="12" borderId="3" xfId="0" applyFont="1" applyFill="1" applyBorder="1"/>
    <xf numFmtId="0" fontId="0" fillId="12" borderId="4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0" xfId="0" applyFill="1"/>
    <xf numFmtId="0" fontId="0" fillId="12" borderId="7" xfId="0" applyFill="1" applyBorder="1"/>
    <xf numFmtId="0" fontId="32" fillId="12" borderId="6" xfId="0" applyFont="1" applyFill="1" applyBorder="1"/>
    <xf numFmtId="0" fontId="4" fillId="12" borderId="0" xfId="0" applyFont="1" applyFill="1"/>
    <xf numFmtId="0" fontId="0" fillId="12" borderId="76" xfId="0" applyFill="1" applyBorder="1"/>
    <xf numFmtId="9" fontId="25" fillId="12" borderId="76" xfId="5" applyFont="1" applyFill="1" applyBorder="1"/>
    <xf numFmtId="9" fontId="25" fillId="12" borderId="78" xfId="5" applyFont="1" applyFill="1" applyBorder="1"/>
    <xf numFmtId="0" fontId="0" fillId="12" borderId="76" xfId="0" applyFill="1" applyBorder="1" applyAlignment="1">
      <alignment wrapText="1"/>
    </xf>
    <xf numFmtId="0" fontId="0" fillId="12" borderId="76" xfId="0" applyFill="1" applyBorder="1" applyAlignment="1">
      <alignment horizontal="center" vertical="center"/>
    </xf>
    <xf numFmtId="0" fontId="0" fillId="12" borderId="8" xfId="0" applyFill="1" applyBorder="1"/>
    <xf numFmtId="0" fontId="0" fillId="12" borderId="10" xfId="0" applyFill="1" applyBorder="1"/>
    <xf numFmtId="0" fontId="0" fillId="12" borderId="9" xfId="0" applyFill="1" applyBorder="1"/>
    <xf numFmtId="0" fontId="16" fillId="0" borderId="40" xfId="4" applyFont="1" applyBorder="1" applyAlignment="1" applyProtection="1">
      <alignment vertical="center"/>
      <protection locked="0"/>
    </xf>
    <xf numFmtId="0" fontId="0" fillId="3" borderId="41" xfId="4" applyFont="1" applyFill="1" applyBorder="1" applyAlignment="1" applyProtection="1">
      <alignment horizontal="center" vertical="center"/>
      <protection locked="0"/>
    </xf>
    <xf numFmtId="0" fontId="15" fillId="0" borderId="41" xfId="4" applyFont="1" applyBorder="1" applyAlignment="1" applyProtection="1">
      <alignment horizontal="center" vertical="center"/>
      <protection locked="0"/>
    </xf>
    <xf numFmtId="0" fontId="15" fillId="3" borderId="41" xfId="4" applyFont="1" applyFill="1" applyBorder="1" applyAlignment="1" applyProtection="1">
      <alignment horizontal="center" vertical="center"/>
      <protection locked="0"/>
    </xf>
    <xf numFmtId="0" fontId="15" fillId="0" borderId="41" xfId="4" applyFont="1" applyBorder="1" applyAlignment="1">
      <alignment horizontal="center" vertical="center"/>
    </xf>
    <xf numFmtId="1" fontId="15" fillId="0" borderId="42" xfId="4" applyNumberFormat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4" fillId="2" borderId="0" xfId="0" applyFont="1" applyFill="1"/>
    <xf numFmtId="0" fontId="33" fillId="2" borderId="0" xfId="0" applyFont="1" applyFill="1"/>
    <xf numFmtId="0" fontId="34" fillId="2" borderId="0" xfId="0" applyFont="1" applyFill="1"/>
    <xf numFmtId="0" fontId="4" fillId="15" borderId="0" xfId="0" applyFont="1" applyFill="1"/>
    <xf numFmtId="0" fontId="0" fillId="15" borderId="0" xfId="0" applyFill="1"/>
    <xf numFmtId="0" fontId="29" fillId="2" borderId="0" xfId="0" applyFont="1" applyFill="1"/>
    <xf numFmtId="0" fontId="29" fillId="16" borderId="80" xfId="0" applyFont="1" applyFill="1" applyBorder="1"/>
    <xf numFmtId="0" fontId="0" fillId="16" borderId="81" xfId="0" applyFill="1" applyBorder="1"/>
    <xf numFmtId="0" fontId="5" fillId="0" borderId="83" xfId="0" applyFont="1" applyBorder="1" applyAlignment="1">
      <alignment vertical="center" wrapText="1"/>
    </xf>
    <xf numFmtId="0" fontId="5" fillId="0" borderId="82" xfId="0" applyFont="1" applyBorder="1" applyAlignment="1">
      <alignment horizontal="center" vertical="center" wrapText="1"/>
    </xf>
    <xf numFmtId="0" fontId="10" fillId="0" borderId="82" xfId="0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0" fontId="5" fillId="0" borderId="82" xfId="0" applyFont="1" applyBorder="1" applyAlignment="1">
      <alignment horizontal="center" vertical="center"/>
    </xf>
    <xf numFmtId="164" fontId="5" fillId="2" borderId="84" xfId="0" applyNumberFormat="1" applyFont="1" applyFill="1" applyBorder="1" applyAlignment="1">
      <alignment horizontal="center" vertical="center"/>
    </xf>
    <xf numFmtId="0" fontId="0" fillId="5" borderId="85" xfId="0" applyFill="1" applyBorder="1"/>
    <xf numFmtId="0" fontId="15" fillId="0" borderId="50" xfId="4" applyFont="1" applyBorder="1" applyAlignment="1">
      <alignment vertical="center"/>
    </xf>
    <xf numFmtId="0" fontId="0" fillId="0" borderId="50" xfId="4" applyFont="1" applyBorder="1" applyAlignment="1">
      <alignment horizontal="center" vertical="center"/>
    </xf>
    <xf numFmtId="0" fontId="16" fillId="0" borderId="87" xfId="4" applyFont="1" applyBorder="1" applyAlignment="1" applyProtection="1">
      <alignment vertical="center"/>
      <protection locked="0"/>
    </xf>
    <xf numFmtId="0" fontId="0" fillId="3" borderId="87" xfId="4" applyFont="1" applyFill="1" applyBorder="1" applyAlignment="1" applyProtection="1">
      <alignment horizontal="center" vertical="center"/>
      <protection locked="0"/>
    </xf>
    <xf numFmtId="0" fontId="15" fillId="0" borderId="87" xfId="4" applyFont="1" applyBorder="1" applyAlignment="1" applyProtection="1">
      <alignment horizontal="center" vertical="center"/>
      <protection locked="0"/>
    </xf>
    <xf numFmtId="0" fontId="15" fillId="3" borderId="87" xfId="4" applyFont="1" applyFill="1" applyBorder="1" applyAlignment="1" applyProtection="1">
      <alignment horizontal="center" vertical="center"/>
      <protection locked="0"/>
    </xf>
    <xf numFmtId="0" fontId="15" fillId="0" borderId="87" xfId="4" applyFont="1" applyBorder="1" applyAlignment="1">
      <alignment horizontal="center" vertical="center"/>
    </xf>
    <xf numFmtId="1" fontId="15" fillId="0" borderId="87" xfId="4" applyNumberFormat="1" applyFont="1" applyBorder="1" applyAlignment="1">
      <alignment horizontal="center" vertical="center"/>
    </xf>
    <xf numFmtId="0" fontId="0" fillId="0" borderId="87" xfId="4" applyFont="1" applyBorder="1" applyAlignment="1" applyProtection="1">
      <alignment horizontal="center"/>
      <protection locked="0"/>
    </xf>
    <xf numFmtId="0" fontId="0" fillId="0" borderId="88" xfId="4" applyFont="1" applyBorder="1" applyAlignment="1" applyProtection="1">
      <alignment horizontal="left"/>
      <protection locked="0"/>
    </xf>
    <xf numFmtId="0" fontId="16" fillId="0" borderId="90" xfId="4" applyFont="1" applyBorder="1" applyAlignment="1" applyProtection="1">
      <alignment vertical="center"/>
      <protection locked="0"/>
    </xf>
    <xf numFmtId="0" fontId="0" fillId="3" borderId="90" xfId="4" applyFont="1" applyFill="1" applyBorder="1" applyAlignment="1" applyProtection="1">
      <alignment horizontal="center" vertical="center"/>
      <protection locked="0"/>
    </xf>
    <xf numFmtId="0" fontId="15" fillId="0" borderId="90" xfId="4" applyFont="1" applyBorder="1" applyAlignment="1" applyProtection="1">
      <alignment horizontal="center" vertical="center"/>
      <protection locked="0"/>
    </xf>
    <xf numFmtId="0" fontId="15" fillId="3" borderId="90" xfId="4" applyFont="1" applyFill="1" applyBorder="1" applyAlignment="1" applyProtection="1">
      <alignment horizontal="center" vertical="center"/>
      <protection locked="0"/>
    </xf>
    <xf numFmtId="0" fontId="15" fillId="0" borderId="90" xfId="4" applyFont="1" applyBorder="1" applyAlignment="1">
      <alignment horizontal="center" vertical="center"/>
    </xf>
    <xf numFmtId="1" fontId="15" fillId="0" borderId="90" xfId="4" applyNumberFormat="1" applyFont="1" applyBorder="1" applyAlignment="1">
      <alignment horizontal="center" vertical="center"/>
    </xf>
    <xf numFmtId="0" fontId="0" fillId="0" borderId="90" xfId="4" applyFont="1" applyBorder="1" applyAlignment="1" applyProtection="1">
      <alignment horizontal="center"/>
      <protection locked="0"/>
    </xf>
    <xf numFmtId="0" fontId="0" fillId="0" borderId="91" xfId="4" applyFont="1" applyBorder="1" applyAlignment="1" applyProtection="1">
      <alignment horizontal="left"/>
      <protection locked="0"/>
    </xf>
    <xf numFmtId="0" fontId="16" fillId="17" borderId="87" xfId="4" applyFont="1" applyFill="1" applyBorder="1" applyAlignment="1" applyProtection="1">
      <alignment vertical="center"/>
      <protection locked="0"/>
    </xf>
    <xf numFmtId="0" fontId="0" fillId="18" borderId="87" xfId="4" applyFont="1" applyFill="1" applyBorder="1" applyAlignment="1" applyProtection="1">
      <alignment horizontal="center" vertical="center"/>
      <protection locked="0"/>
    </xf>
    <xf numFmtId="0" fontId="15" fillId="17" borderId="87" xfId="4" applyFont="1" applyFill="1" applyBorder="1" applyAlignment="1" applyProtection="1">
      <alignment horizontal="center" vertical="center"/>
      <protection locked="0"/>
    </xf>
    <xf numFmtId="0" fontId="15" fillId="18" borderId="87" xfId="4" applyFont="1" applyFill="1" applyBorder="1" applyAlignment="1" applyProtection="1">
      <alignment horizontal="center" vertical="center"/>
      <protection locked="0"/>
    </xf>
    <xf numFmtId="0" fontId="15" fillId="17" borderId="87" xfId="4" applyFont="1" applyFill="1" applyBorder="1" applyAlignment="1">
      <alignment horizontal="center" vertical="center"/>
    </xf>
    <xf numFmtId="1" fontId="15" fillId="17" borderId="87" xfId="4" applyNumberFormat="1" applyFont="1" applyFill="1" applyBorder="1" applyAlignment="1">
      <alignment horizontal="center" vertical="center"/>
    </xf>
    <xf numFmtId="0" fontId="0" fillId="17" borderId="87" xfId="4" applyFont="1" applyFill="1" applyBorder="1" applyAlignment="1" applyProtection="1">
      <alignment horizontal="center"/>
      <protection locked="0"/>
    </xf>
    <xf numFmtId="0" fontId="0" fillId="17" borderId="88" xfId="4" applyFont="1" applyFill="1" applyBorder="1" applyAlignment="1" applyProtection="1">
      <alignment horizontal="left"/>
      <protection locked="0"/>
    </xf>
    <xf numFmtId="0" fontId="16" fillId="17" borderId="90" xfId="4" applyFont="1" applyFill="1" applyBorder="1" applyAlignment="1" applyProtection="1">
      <alignment vertical="center"/>
      <protection locked="0"/>
    </xf>
    <xf numFmtId="0" fontId="0" fillId="18" borderId="90" xfId="4" applyFont="1" applyFill="1" applyBorder="1" applyAlignment="1" applyProtection="1">
      <alignment horizontal="center" vertical="center"/>
      <protection locked="0"/>
    </xf>
    <xf numFmtId="0" fontId="15" fillId="17" borderId="90" xfId="4" applyFont="1" applyFill="1" applyBorder="1" applyAlignment="1" applyProtection="1">
      <alignment horizontal="center" vertical="center"/>
      <protection locked="0"/>
    </xf>
    <xf numFmtId="0" fontId="15" fillId="18" borderId="90" xfId="4" applyFont="1" applyFill="1" applyBorder="1" applyAlignment="1" applyProtection="1">
      <alignment horizontal="center" vertical="center"/>
      <protection locked="0"/>
    </xf>
    <xf numFmtId="0" fontId="15" fillId="17" borderId="90" xfId="4" applyFont="1" applyFill="1" applyBorder="1" applyAlignment="1">
      <alignment horizontal="center" vertical="center"/>
    </xf>
    <xf numFmtId="1" fontId="15" fillId="17" borderId="90" xfId="4" applyNumberFormat="1" applyFont="1" applyFill="1" applyBorder="1" applyAlignment="1">
      <alignment horizontal="center" vertical="center"/>
    </xf>
    <xf numFmtId="0" fontId="0" fillId="17" borderId="90" xfId="4" applyFont="1" applyFill="1" applyBorder="1" applyAlignment="1" applyProtection="1">
      <alignment horizontal="center"/>
      <protection locked="0"/>
    </xf>
    <xf numFmtId="0" fontId="0" fillId="17" borderId="91" xfId="4" applyFont="1" applyFill="1" applyBorder="1" applyAlignment="1" applyProtection="1">
      <alignment horizontal="left"/>
      <protection locked="0"/>
    </xf>
    <xf numFmtId="0" fontId="14" fillId="0" borderId="92" xfId="4" applyFont="1" applyBorder="1" applyAlignment="1">
      <alignment horizontal="left" vertical="center"/>
    </xf>
    <xf numFmtId="0" fontId="14" fillId="0" borderId="93" xfId="4" applyFont="1" applyBorder="1" applyAlignment="1">
      <alignment horizontal="center" vertical="center"/>
    </xf>
    <xf numFmtId="0" fontId="14" fillId="0" borderId="93" xfId="4" applyFont="1" applyBorder="1" applyAlignment="1">
      <alignment horizontal="left" vertical="center"/>
    </xf>
    <xf numFmtId="0" fontId="14" fillId="0" borderId="55" xfId="4" applyFont="1" applyBorder="1" applyAlignment="1">
      <alignment horizontal="left" vertical="center"/>
    </xf>
    <xf numFmtId="0" fontId="16" fillId="0" borderId="50" xfId="4" applyFont="1" applyBorder="1" applyAlignment="1" applyProtection="1">
      <alignment vertical="center"/>
      <protection locked="0"/>
    </xf>
    <xf numFmtId="0" fontId="0" fillId="0" borderId="50" xfId="4" applyFont="1" applyBorder="1" applyProtection="1">
      <protection locked="0"/>
    </xf>
    <xf numFmtId="0" fontId="15" fillId="0" borderId="50" xfId="4" applyFont="1" applyBorder="1" applyAlignment="1" applyProtection="1">
      <alignment horizontal="center" vertical="center"/>
      <protection locked="0"/>
    </xf>
    <xf numFmtId="0" fontId="15" fillId="0" borderId="50" xfId="4" applyFont="1" applyBorder="1" applyAlignment="1">
      <alignment horizontal="center" vertical="center"/>
    </xf>
    <xf numFmtId="1" fontId="15" fillId="0" borderId="50" xfId="4" applyNumberFormat="1" applyFont="1" applyBorder="1" applyAlignment="1">
      <alignment horizontal="center" vertical="center"/>
    </xf>
    <xf numFmtId="0" fontId="0" fillId="0" borderId="50" xfId="4" applyFont="1" applyBorder="1" applyAlignment="1" applyProtection="1">
      <alignment horizontal="center"/>
      <protection locked="0"/>
    </xf>
    <xf numFmtId="0" fontId="0" fillId="0" borderId="50" xfId="4" applyFont="1" applyBorder="1" applyAlignment="1" applyProtection="1">
      <alignment horizontal="left"/>
      <protection locked="0"/>
    </xf>
    <xf numFmtId="0" fontId="0" fillId="0" borderId="87" xfId="4" applyFont="1" applyBorder="1" applyAlignment="1" applyProtection="1">
      <alignment horizontal="center" vertical="center" wrapText="1"/>
      <protection locked="0"/>
    </xf>
    <xf numFmtId="0" fontId="0" fillId="0" borderId="87" xfId="4" applyFont="1" applyBorder="1" applyAlignment="1" applyProtection="1">
      <alignment horizontal="left"/>
      <protection locked="0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0" xfId="4" applyFont="1" applyBorder="1" applyAlignment="1" applyProtection="1">
      <alignment horizontal="center" vertical="center" wrapText="1"/>
      <protection locked="0"/>
    </xf>
    <xf numFmtId="0" fontId="0" fillId="0" borderId="90" xfId="4" applyFont="1" applyBorder="1" applyAlignment="1" applyProtection="1">
      <alignment horizontal="left"/>
      <protection locked="0"/>
    </xf>
    <xf numFmtId="0" fontId="0" fillId="0" borderId="10" xfId="0" applyBorder="1"/>
    <xf numFmtId="0" fontId="0" fillId="0" borderId="9" xfId="0" applyBorder="1"/>
    <xf numFmtId="0" fontId="0" fillId="0" borderId="87" xfId="0" applyBorder="1" applyProtection="1">
      <protection locked="0"/>
    </xf>
    <xf numFmtId="0" fontId="0" fillId="0" borderId="87" xfId="4" applyFont="1" applyBorder="1" applyProtection="1">
      <protection locked="0"/>
    </xf>
    <xf numFmtId="0" fontId="0" fillId="0" borderId="90" xfId="4" applyFont="1" applyBorder="1" applyProtection="1">
      <protection locked="0"/>
    </xf>
    <xf numFmtId="0" fontId="15" fillId="6" borderId="90" xfId="4" applyFont="1" applyFill="1" applyBorder="1" applyAlignment="1" applyProtection="1">
      <alignment horizontal="center" vertical="center"/>
      <protection locked="0"/>
    </xf>
    <xf numFmtId="0" fontId="15" fillId="0" borderId="98" xfId="4" applyFont="1" applyBorder="1" applyAlignment="1">
      <alignment horizontal="center" vertical="center"/>
    </xf>
    <xf numFmtId="0" fontId="0" fillId="3" borderId="50" xfId="4" applyFont="1" applyFill="1" applyBorder="1" applyAlignment="1" applyProtection="1">
      <alignment horizontal="center" vertical="center"/>
      <protection locked="0"/>
    </xf>
    <xf numFmtId="0" fontId="15" fillId="3" borderId="50" xfId="4" applyFont="1" applyFill="1" applyBorder="1" applyAlignment="1" applyProtection="1">
      <alignment horizontal="center" vertical="center"/>
      <protection locked="0"/>
    </xf>
    <xf numFmtId="0" fontId="0" fillId="0" borderId="87" xfId="4" applyFont="1" applyBorder="1" applyAlignment="1" applyProtection="1">
      <alignment horizontal="center" vertical="center"/>
      <protection locked="0"/>
    </xf>
    <xf numFmtId="0" fontId="0" fillId="0" borderId="90" xfId="4" applyFont="1" applyBorder="1" applyAlignment="1" applyProtection="1">
      <alignment horizontal="center" vertical="center"/>
      <protection locked="0"/>
    </xf>
    <xf numFmtId="0" fontId="14" fillId="0" borderId="102" xfId="4" applyFont="1" applyBorder="1" applyAlignment="1">
      <alignment horizontal="left" vertical="center"/>
    </xf>
    <xf numFmtId="164" fontId="15" fillId="4" borderId="98" xfId="4" applyNumberFormat="1" applyFont="1" applyFill="1" applyBorder="1" applyAlignment="1">
      <alignment horizontal="center" vertical="center"/>
    </xf>
    <xf numFmtId="0" fontId="17" fillId="0" borderId="90" xfId="4" applyFont="1" applyBorder="1" applyAlignment="1" applyProtection="1">
      <alignment vertical="center"/>
      <protection locked="0"/>
    </xf>
    <xf numFmtId="0" fontId="4" fillId="10" borderId="76" xfId="0" applyFont="1" applyFill="1" applyBorder="1"/>
    <xf numFmtId="0" fontId="0" fillId="19" borderId="6" xfId="0" applyFill="1" applyBorder="1"/>
    <xf numFmtId="0" fontId="0" fillId="19" borderId="0" xfId="0" applyFill="1"/>
    <xf numFmtId="0" fontId="0" fillId="19" borderId="7" xfId="0" applyFill="1" applyBorder="1"/>
    <xf numFmtId="0" fontId="4" fillId="19" borderId="22" xfId="0" applyFont="1" applyFill="1" applyBorder="1"/>
    <xf numFmtId="0" fontId="29" fillId="20" borderId="0" xfId="0" applyFont="1" applyFill="1"/>
    <xf numFmtId="0" fontId="0" fillId="20" borderId="0" xfId="0" applyFill="1"/>
    <xf numFmtId="14" fontId="0" fillId="20" borderId="0" xfId="0" applyNumberFormat="1" applyFill="1"/>
    <xf numFmtId="0" fontId="0" fillId="20" borderId="0" xfId="0" quotePrefix="1" applyFill="1"/>
    <xf numFmtId="0" fontId="4" fillId="20" borderId="0" xfId="0" applyFont="1" applyFill="1"/>
    <xf numFmtId="164" fontId="5" fillId="2" borderId="103" xfId="0" applyNumberFormat="1" applyFont="1" applyFill="1" applyBorder="1" applyAlignment="1">
      <alignment horizontal="center" vertical="center"/>
    </xf>
    <xf numFmtId="0" fontId="5" fillId="0" borderId="104" xfId="0" applyFont="1" applyBorder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vertical="center" wrapText="1"/>
    </xf>
    <xf numFmtId="166" fontId="0" fillId="12" borderId="0" xfId="5" applyNumberFormat="1" applyFont="1" applyFill="1" applyBorder="1"/>
    <xf numFmtId="167" fontId="0" fillId="12" borderId="0" xfId="0" applyNumberFormat="1" applyFill="1"/>
    <xf numFmtId="1" fontId="0" fillId="10" borderId="76" xfId="0" applyNumberFormat="1" applyFill="1" applyBorder="1"/>
    <xf numFmtId="2" fontId="0" fillId="0" borderId="43" xfId="0" applyNumberFormat="1" applyBorder="1"/>
    <xf numFmtId="0" fontId="15" fillId="17" borderId="109" xfId="4" applyFont="1" applyFill="1" applyBorder="1" applyAlignment="1">
      <alignment horizontal="center" vertical="center"/>
    </xf>
    <xf numFmtId="1" fontId="15" fillId="17" borderId="109" xfId="4" applyNumberFormat="1" applyFont="1" applyFill="1" applyBorder="1" applyAlignment="1">
      <alignment horizontal="center" vertical="center"/>
    </xf>
    <xf numFmtId="0" fontId="15" fillId="17" borderId="108" xfId="4" applyFont="1" applyFill="1" applyBorder="1" applyAlignment="1">
      <alignment horizontal="center" vertical="center"/>
    </xf>
    <xf numFmtId="1" fontId="15" fillId="17" borderId="108" xfId="4" applyNumberFormat="1" applyFont="1" applyFill="1" applyBorder="1" applyAlignment="1">
      <alignment horizontal="center" vertical="center"/>
    </xf>
    <xf numFmtId="0" fontId="15" fillId="0" borderId="79" xfId="4" applyFont="1" applyBorder="1" applyAlignment="1">
      <alignment horizontal="center" vertical="center" textRotation="90"/>
    </xf>
    <xf numFmtId="0" fontId="0" fillId="6" borderId="35" xfId="0" applyFill="1" applyBorder="1"/>
    <xf numFmtId="0" fontId="0" fillId="6" borderId="36" xfId="0" applyFill="1" applyBorder="1"/>
    <xf numFmtId="0" fontId="0" fillId="6" borderId="34" xfId="0" applyFill="1" applyBorder="1"/>
    <xf numFmtId="0" fontId="35" fillId="0" borderId="110" xfId="0" applyFont="1" applyBorder="1" applyAlignment="1">
      <alignment vertical="center" wrapText="1"/>
    </xf>
    <xf numFmtId="0" fontId="35" fillId="21" borderId="110" xfId="0" applyFont="1" applyFill="1" applyBorder="1" applyAlignment="1">
      <alignment vertical="center" wrapText="1"/>
    </xf>
    <xf numFmtId="0" fontId="35" fillId="0" borderId="111" xfId="0" applyFont="1" applyBorder="1" applyAlignment="1">
      <alignment vertical="center" wrapText="1"/>
    </xf>
    <xf numFmtId="0" fontId="35" fillId="0" borderId="112" xfId="0" applyFont="1" applyBorder="1" applyAlignment="1">
      <alignment vertical="center" wrapText="1"/>
    </xf>
    <xf numFmtId="0" fontId="15" fillId="0" borderId="52" xfId="4" applyFont="1" applyBorder="1" applyAlignment="1">
      <alignment horizontal="center" vertical="center"/>
    </xf>
    <xf numFmtId="1" fontId="15" fillId="0" borderId="52" xfId="4" applyNumberFormat="1" applyFont="1" applyBorder="1" applyAlignment="1">
      <alignment horizontal="center" vertical="center"/>
    </xf>
    <xf numFmtId="0" fontId="0" fillId="0" borderId="52" xfId="4" applyFont="1" applyBorder="1" applyAlignment="1" applyProtection="1">
      <alignment horizontal="center"/>
      <protection locked="0"/>
    </xf>
    <xf numFmtId="0" fontId="0" fillId="0" borderId="52" xfId="4" applyFont="1" applyBorder="1" applyAlignment="1" applyProtection="1">
      <alignment horizontal="left"/>
      <protection locked="0"/>
    </xf>
    <xf numFmtId="0" fontId="0" fillId="3" borderId="93" xfId="4" applyFont="1" applyFill="1" applyBorder="1" applyAlignment="1" applyProtection="1">
      <alignment horizontal="center" vertical="center"/>
      <protection locked="0"/>
    </xf>
    <xf numFmtId="0" fontId="15" fillId="0" borderId="93" xfId="4" applyFont="1" applyBorder="1" applyAlignment="1" applyProtection="1">
      <alignment horizontal="center" vertical="center"/>
      <protection locked="0"/>
    </xf>
    <xf numFmtId="0" fontId="15" fillId="3" borderId="93" xfId="4" applyFont="1" applyFill="1" applyBorder="1" applyAlignment="1" applyProtection="1">
      <alignment horizontal="center" vertical="center"/>
      <protection locked="0"/>
    </xf>
    <xf numFmtId="0" fontId="35" fillId="0" borderId="114" xfId="0" applyFont="1" applyBorder="1" applyAlignment="1">
      <alignment vertical="center" wrapText="1"/>
    </xf>
    <xf numFmtId="0" fontId="0" fillId="3" borderId="117" xfId="4" applyFont="1" applyFill="1" applyBorder="1" applyAlignment="1" applyProtection="1">
      <alignment horizontal="center" vertical="center"/>
      <protection locked="0"/>
    </xf>
    <xf numFmtId="0" fontId="15" fillId="0" borderId="117" xfId="4" applyFont="1" applyBorder="1" applyAlignment="1" applyProtection="1">
      <alignment horizontal="center" vertical="center"/>
      <protection locked="0"/>
    </xf>
    <xf numFmtId="0" fontId="15" fillId="3" borderId="117" xfId="4" applyFont="1" applyFill="1" applyBorder="1" applyAlignment="1" applyProtection="1">
      <alignment horizontal="center" vertical="center"/>
      <protection locked="0"/>
    </xf>
    <xf numFmtId="0" fontId="15" fillId="0" borderId="117" xfId="4" applyFont="1" applyBorder="1" applyAlignment="1">
      <alignment horizontal="center" vertical="center"/>
    </xf>
    <xf numFmtId="1" fontId="15" fillId="0" borderId="118" xfId="4" applyNumberFormat="1" applyFont="1" applyBorder="1" applyAlignment="1">
      <alignment horizontal="center" vertical="center"/>
    </xf>
    <xf numFmtId="0" fontId="16" fillId="0" borderId="119" xfId="4" applyFont="1" applyBorder="1" applyAlignment="1" applyProtection="1">
      <alignment vertical="center"/>
      <protection locked="0"/>
    </xf>
    <xf numFmtId="0" fontId="35" fillId="0" borderId="121" xfId="0" applyFont="1" applyBorder="1" applyAlignment="1">
      <alignment vertical="center" wrapText="1"/>
    </xf>
    <xf numFmtId="0" fontId="35" fillId="0" borderId="10" xfId="0" applyFont="1" applyBorder="1" applyAlignment="1">
      <alignment vertical="center" wrapText="1"/>
    </xf>
    <xf numFmtId="0" fontId="0" fillId="3" borderId="10" xfId="4" applyFont="1" applyFill="1" applyBorder="1" applyAlignment="1" applyProtection="1">
      <alignment horizontal="center" vertical="center"/>
      <protection locked="0"/>
    </xf>
    <xf numFmtId="0" fontId="15" fillId="0" borderId="10" xfId="4" applyFont="1" applyBorder="1" applyAlignment="1" applyProtection="1">
      <alignment horizontal="center" vertical="center"/>
      <protection locked="0"/>
    </xf>
    <xf numFmtId="0" fontId="15" fillId="3" borderId="10" xfId="4" applyFont="1" applyFill="1" applyBorder="1" applyAlignment="1" applyProtection="1">
      <alignment horizontal="center" vertical="center"/>
      <protection locked="0"/>
    </xf>
    <xf numFmtId="0" fontId="15" fillId="0" borderId="10" xfId="4" applyFont="1" applyBorder="1" applyAlignment="1">
      <alignment horizontal="center" vertical="center"/>
    </xf>
    <xf numFmtId="1" fontId="15" fillId="0" borderId="10" xfId="4" applyNumberFormat="1" applyFont="1" applyBorder="1" applyAlignment="1">
      <alignment horizontal="center" vertical="center"/>
    </xf>
    <xf numFmtId="0" fontId="0" fillId="0" borderId="10" xfId="4" applyFont="1" applyBorder="1" applyAlignment="1" applyProtection="1">
      <alignment horizontal="center"/>
      <protection locked="0"/>
    </xf>
    <xf numFmtId="0" fontId="0" fillId="0" borderId="10" xfId="4" applyFont="1" applyBorder="1" applyAlignment="1" applyProtection="1">
      <alignment horizontal="left"/>
      <protection locked="0"/>
    </xf>
    <xf numFmtId="0" fontId="0" fillId="3" borderId="122" xfId="4" applyFont="1" applyFill="1" applyBorder="1" applyAlignment="1" applyProtection="1">
      <alignment horizontal="center" vertical="center"/>
      <protection locked="0"/>
    </xf>
    <xf numFmtId="0" fontId="15" fillId="0" borderId="122" xfId="4" applyFont="1" applyBorder="1" applyAlignment="1" applyProtection="1">
      <alignment horizontal="center" vertical="center"/>
      <protection locked="0"/>
    </xf>
    <xf numFmtId="0" fontId="15" fillId="3" borderId="122" xfId="4" applyFont="1" applyFill="1" applyBorder="1" applyAlignment="1" applyProtection="1">
      <alignment horizontal="center" vertical="center"/>
      <protection locked="0"/>
    </xf>
    <xf numFmtId="0" fontId="15" fillId="0" borderId="122" xfId="4" applyFont="1" applyBorder="1" applyAlignment="1">
      <alignment horizontal="center" vertical="center"/>
    </xf>
    <xf numFmtId="1" fontId="15" fillId="0" borderId="53" xfId="4" applyNumberFormat="1" applyFont="1" applyBorder="1" applyAlignment="1">
      <alignment horizontal="center" vertical="center"/>
    </xf>
    <xf numFmtId="0" fontId="8" fillId="0" borderId="10" xfId="0" applyFont="1" applyBorder="1" applyAlignment="1">
      <alignment vertical="center" wrapText="1"/>
    </xf>
    <xf numFmtId="0" fontId="0" fillId="0" borderId="76" xfId="0" applyBorder="1"/>
    <xf numFmtId="0" fontId="0" fillId="22" borderId="43" xfId="0" applyFill="1" applyBorder="1"/>
    <xf numFmtId="0" fontId="0" fillId="14" borderId="43" xfId="0" applyFill="1" applyBorder="1"/>
    <xf numFmtId="165" fontId="0" fillId="14" borderId="43" xfId="0" applyNumberFormat="1" applyFill="1" applyBorder="1"/>
    <xf numFmtId="2" fontId="0" fillId="14" borderId="0" xfId="0" applyNumberFormat="1" applyFill="1"/>
    <xf numFmtId="0" fontId="36" fillId="0" borderId="123" xfId="0" applyFont="1" applyBorder="1" applyAlignment="1">
      <alignment vertical="center" wrapText="1"/>
    </xf>
    <xf numFmtId="0" fontId="36" fillId="0" borderId="123" xfId="0" applyFont="1" applyBorder="1" applyAlignment="1">
      <alignment horizontal="center" vertical="center" wrapText="1"/>
    </xf>
    <xf numFmtId="1" fontId="36" fillId="0" borderId="123" xfId="0" applyNumberFormat="1" applyFont="1" applyBorder="1" applyAlignment="1">
      <alignment horizontal="center" vertical="center"/>
    </xf>
    <xf numFmtId="0" fontId="36" fillId="23" borderId="123" xfId="0" applyFont="1" applyFill="1" applyBorder="1" applyAlignment="1">
      <alignment vertical="center" wrapText="1"/>
    </xf>
    <xf numFmtId="0" fontId="36" fillId="23" borderId="123" xfId="0" applyFont="1" applyFill="1" applyBorder="1" applyAlignment="1">
      <alignment horizontal="center" vertical="center" wrapText="1"/>
    </xf>
    <xf numFmtId="1" fontId="36" fillId="23" borderId="123" xfId="0" applyNumberFormat="1" applyFont="1" applyFill="1" applyBorder="1" applyAlignment="1">
      <alignment horizontal="center" vertical="center"/>
    </xf>
    <xf numFmtId="0" fontId="37" fillId="0" borderId="124" xfId="0" applyFont="1" applyBorder="1" applyAlignment="1">
      <alignment vertical="center" wrapText="1"/>
    </xf>
    <xf numFmtId="0" fontId="38" fillId="0" borderId="124" xfId="0" applyFont="1" applyBorder="1" applyAlignment="1">
      <alignment horizontal="left" vertical="center" wrapText="1"/>
    </xf>
    <xf numFmtId="0" fontId="38" fillId="0" borderId="124" xfId="0" applyFont="1" applyBorder="1" applyAlignment="1">
      <alignment horizontal="center" vertical="center" wrapText="1"/>
    </xf>
    <xf numFmtId="164" fontId="15" fillId="0" borderId="26" xfId="4" applyNumberFormat="1" applyFont="1" applyBorder="1" applyAlignment="1">
      <alignment horizontal="center" vertical="center"/>
    </xf>
    <xf numFmtId="0" fontId="38" fillId="23" borderId="123" xfId="0" applyFont="1" applyFill="1" applyBorder="1" applyAlignment="1">
      <alignment vertical="center" wrapText="1"/>
    </xf>
    <xf numFmtId="0" fontId="38" fillId="0" borderId="123" xfId="0" applyFont="1" applyBorder="1" applyAlignment="1">
      <alignment horizontal="left" vertical="center" wrapText="1" readingOrder="1"/>
    </xf>
    <xf numFmtId="0" fontId="38" fillId="0" borderId="123" xfId="0" applyFont="1" applyBorder="1" applyAlignment="1">
      <alignment horizontal="center" vertical="center" wrapText="1"/>
    </xf>
    <xf numFmtId="0" fontId="38" fillId="0" borderId="123" xfId="0" applyFont="1" applyBorder="1" applyAlignment="1">
      <alignment vertical="center" wrapText="1"/>
    </xf>
    <xf numFmtId="164" fontId="0" fillId="0" borderId="0" xfId="0" applyNumberFormat="1"/>
    <xf numFmtId="0" fontId="38" fillId="0" borderId="124" xfId="0" applyFont="1" applyBorder="1" applyAlignment="1">
      <alignment wrapText="1"/>
    </xf>
    <xf numFmtId="0" fontId="38" fillId="0" borderId="124" xfId="0" applyFont="1" applyBorder="1" applyAlignment="1">
      <alignment horizontal="center" wrapText="1"/>
    </xf>
    <xf numFmtId="0" fontId="38" fillId="0" borderId="123" xfId="0" applyFont="1" applyBorder="1" applyAlignment="1">
      <alignment wrapText="1"/>
    </xf>
    <xf numFmtId="0" fontId="38" fillId="0" borderId="123" xfId="0" applyFont="1" applyBorder="1" applyAlignment="1">
      <alignment horizontal="center" wrapText="1"/>
    </xf>
    <xf numFmtId="0" fontId="38" fillId="23" borderId="123" xfId="0" applyFont="1" applyFill="1" applyBorder="1" applyAlignment="1">
      <alignment wrapText="1"/>
    </xf>
    <xf numFmtId="0" fontId="38" fillId="23" borderId="123" xfId="0" applyFont="1" applyFill="1" applyBorder="1" applyAlignment="1">
      <alignment horizontal="center" wrapText="1"/>
    </xf>
    <xf numFmtId="0" fontId="38" fillId="0" borderId="125" xfId="0" applyFont="1" applyBorder="1" applyAlignment="1">
      <alignment wrapText="1"/>
    </xf>
    <xf numFmtId="0" fontId="38" fillId="0" borderId="126" xfId="0" applyFont="1" applyBorder="1" applyAlignment="1">
      <alignment wrapText="1"/>
    </xf>
    <xf numFmtId="0" fontId="37" fillId="0" borderId="126" xfId="0" applyFont="1" applyBorder="1" applyAlignment="1">
      <alignment wrapText="1"/>
    </xf>
    <xf numFmtId="0" fontId="37" fillId="0" borderId="123" xfId="0" applyFont="1" applyBorder="1" applyAlignment="1">
      <alignment wrapText="1"/>
    </xf>
    <xf numFmtId="0" fontId="37" fillId="0" borderId="123" xfId="0" applyFont="1" applyBorder="1" applyAlignment="1">
      <alignment horizontal="center" wrapText="1"/>
    </xf>
    <xf numFmtId="0" fontId="37" fillId="23" borderId="123" xfId="0" applyFont="1" applyFill="1" applyBorder="1" applyAlignment="1">
      <alignment wrapText="1"/>
    </xf>
    <xf numFmtId="164" fontId="37" fillId="0" borderId="124" xfId="0" applyNumberFormat="1" applyFont="1" applyBorder="1" applyAlignment="1">
      <alignment horizontal="left" vertical="top" wrapText="1"/>
    </xf>
    <xf numFmtId="164" fontId="37" fillId="0" borderId="124" xfId="0" applyNumberFormat="1" applyFont="1" applyBorder="1" applyAlignment="1">
      <alignment horizontal="center" vertical="top" wrapText="1"/>
    </xf>
    <xf numFmtId="0" fontId="38" fillId="23" borderId="124" xfId="0" applyFont="1" applyFill="1" applyBorder="1" applyAlignment="1">
      <alignment horizontal="center" wrapText="1"/>
    </xf>
    <xf numFmtId="0" fontId="37" fillId="23" borderId="123" xfId="0" applyFont="1" applyFill="1" applyBorder="1" applyAlignment="1">
      <alignment horizontal="center" wrapText="1"/>
    </xf>
    <xf numFmtId="2" fontId="0" fillId="14" borderId="43" xfId="0" applyNumberFormat="1" applyFill="1" applyBorder="1"/>
    <xf numFmtId="0" fontId="0" fillId="22" borderId="44" xfId="0" applyFill="1" applyBorder="1"/>
    <xf numFmtId="0" fontId="0" fillId="14" borderId="44" xfId="0" applyFill="1" applyBorder="1"/>
    <xf numFmtId="165" fontId="0" fillId="14" borderId="44" xfId="0" applyNumberFormat="1" applyFill="1" applyBorder="1"/>
    <xf numFmtId="0" fontId="0" fillId="8" borderId="43" xfId="0" applyFill="1" applyBorder="1"/>
    <xf numFmtId="0" fontId="36" fillId="0" borderId="127" xfId="0" applyFont="1" applyBorder="1" applyAlignment="1">
      <alignment horizontal="center" vertical="center" wrapText="1"/>
    </xf>
    <xf numFmtId="0" fontId="36" fillId="0" borderId="128" xfId="0" applyFont="1" applyBorder="1" applyAlignment="1">
      <alignment horizontal="center" vertical="center" wrapText="1"/>
    </xf>
    <xf numFmtId="0" fontId="15" fillId="0" borderId="0" xfId="4" applyFont="1" applyAlignment="1" applyProtection="1">
      <alignment horizontal="center" vertical="center"/>
      <protection locked="0"/>
    </xf>
    <xf numFmtId="0" fontId="36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31" fillId="0" borderId="0" xfId="0" applyFont="1" applyAlignment="1">
      <alignment wrapText="1"/>
    </xf>
    <xf numFmtId="0" fontId="39" fillId="0" borderId="129" xfId="0" applyFont="1" applyBorder="1" applyAlignment="1">
      <alignment vertical="center" wrapText="1"/>
    </xf>
    <xf numFmtId="0" fontId="39" fillId="0" borderId="130" xfId="0" applyFont="1" applyBorder="1" applyAlignment="1">
      <alignment horizontal="center" vertical="center" wrapText="1"/>
    </xf>
    <xf numFmtId="2" fontId="15" fillId="0" borderId="26" xfId="4" applyNumberFormat="1" applyFont="1" applyBorder="1" applyAlignment="1">
      <alignment horizontal="center" vertical="center"/>
    </xf>
    <xf numFmtId="0" fontId="39" fillId="0" borderId="127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15" fillId="0" borderId="115" xfId="4" applyFont="1" applyBorder="1" applyAlignment="1">
      <alignment vertical="center" textRotation="90"/>
    </xf>
    <xf numFmtId="0" fontId="36" fillId="0" borderId="127" xfId="0" applyFont="1" applyBorder="1" applyAlignment="1">
      <alignment vertical="center" wrapText="1"/>
    </xf>
    <xf numFmtId="0" fontId="36" fillId="0" borderId="134" xfId="0" applyFont="1" applyBorder="1" applyAlignment="1">
      <alignment vertical="center" wrapText="1"/>
    </xf>
    <xf numFmtId="0" fontId="36" fillId="0" borderId="134" xfId="0" applyFont="1" applyBorder="1" applyAlignment="1">
      <alignment horizontal="center" vertical="center" wrapText="1"/>
    </xf>
    <xf numFmtId="0" fontId="36" fillId="0" borderId="135" xfId="0" applyFont="1" applyBorder="1" applyAlignment="1">
      <alignment horizontal="center" vertical="center" wrapText="1"/>
    </xf>
    <xf numFmtId="0" fontId="0" fillId="5" borderId="104" xfId="0" applyFill="1" applyBorder="1"/>
    <xf numFmtId="0" fontId="0" fillId="5" borderId="83" xfId="0" applyFill="1" applyBorder="1"/>
    <xf numFmtId="0" fontId="0" fillId="5" borderId="136" xfId="0" applyFill="1" applyBorder="1"/>
    <xf numFmtId="0" fontId="31" fillId="0" borderId="134" xfId="0" applyFont="1" applyBorder="1" applyAlignment="1">
      <alignment wrapText="1"/>
    </xf>
    <xf numFmtId="0" fontId="0" fillId="22" borderId="0" xfId="0" applyFill="1"/>
    <xf numFmtId="165" fontId="0" fillId="22" borderId="0" xfId="0" applyNumberFormat="1" applyFill="1"/>
    <xf numFmtId="164" fontId="15" fillId="0" borderId="50" xfId="4" applyNumberFormat="1" applyFont="1" applyBorder="1" applyAlignment="1">
      <alignment horizontal="center" vertical="center"/>
    </xf>
    <xf numFmtId="0" fontId="40" fillId="21" borderId="127" xfId="0" applyFont="1" applyFill="1" applyBorder="1" applyAlignment="1">
      <alignment horizontal="center" vertical="center" wrapText="1"/>
    </xf>
    <xf numFmtId="164" fontId="15" fillId="0" borderId="87" xfId="4" applyNumberFormat="1" applyFont="1" applyBorder="1" applyAlignment="1">
      <alignment horizontal="center" vertical="center"/>
    </xf>
    <xf numFmtId="0" fontId="40" fillId="21" borderId="134" xfId="0" applyFont="1" applyFill="1" applyBorder="1" applyAlignment="1">
      <alignment horizontal="center" vertical="center" wrapText="1"/>
    </xf>
    <xf numFmtId="164" fontId="15" fillId="0" borderId="90" xfId="4" applyNumberFormat="1" applyFont="1" applyBorder="1" applyAlignment="1">
      <alignment horizontal="center" vertical="center"/>
    </xf>
    <xf numFmtId="165" fontId="0" fillId="22" borderId="43" xfId="0" applyNumberFormat="1" applyFill="1" applyBorder="1"/>
    <xf numFmtId="2" fontId="0" fillId="22" borderId="43" xfId="0" applyNumberFormat="1" applyFill="1" applyBorder="1"/>
    <xf numFmtId="0" fontId="0" fillId="0" borderId="50" xfId="0" applyBorder="1" applyProtection="1">
      <protection locked="0"/>
    </xf>
    <xf numFmtId="0" fontId="0" fillId="0" borderId="50" xfId="4" applyFont="1" applyBorder="1" applyAlignment="1" applyProtection="1">
      <alignment horizontal="center" vertical="center" wrapText="1"/>
      <protection locked="0"/>
    </xf>
    <xf numFmtId="0" fontId="0" fillId="8" borderId="26" xfId="0" applyFill="1" applyBorder="1" applyProtection="1">
      <protection locked="0"/>
    </xf>
    <xf numFmtId="0" fontId="0" fillId="8" borderId="0" xfId="0" applyFill="1" applyProtection="1">
      <protection locked="0"/>
    </xf>
    <xf numFmtId="0" fontId="16" fillId="8" borderId="26" xfId="4" applyFont="1" applyFill="1" applyBorder="1" applyAlignment="1" applyProtection="1">
      <alignment vertical="center"/>
      <protection locked="0"/>
    </xf>
    <xf numFmtId="0" fontId="37" fillId="21" borderId="127" xfId="0" applyFont="1" applyFill="1" applyBorder="1" applyAlignment="1">
      <alignment horizontal="center" vertical="top" wrapText="1"/>
    </xf>
    <xf numFmtId="0" fontId="37" fillId="21" borderId="134" xfId="0" applyFont="1" applyFill="1" applyBorder="1" applyAlignment="1">
      <alignment horizontal="center" vertical="top" wrapText="1"/>
    </xf>
    <xf numFmtId="0" fontId="37" fillId="0" borderId="134" xfId="0" applyFont="1" applyBorder="1" applyAlignment="1">
      <alignment horizontal="center" vertical="top" wrapText="1"/>
    </xf>
    <xf numFmtId="0" fontId="1" fillId="8" borderId="0" xfId="1" applyFill="1" applyAlignment="1">
      <alignment wrapText="1"/>
    </xf>
    <xf numFmtId="0" fontId="42" fillId="0" borderId="26" xfId="4" applyFont="1" applyBorder="1" applyAlignment="1">
      <alignment vertical="center"/>
    </xf>
    <xf numFmtId="0" fontId="43" fillId="0" borderId="26" xfId="4" applyFont="1" applyBorder="1" applyAlignment="1">
      <alignment horizontal="center" vertical="center"/>
    </xf>
    <xf numFmtId="0" fontId="42" fillId="0" borderId="50" xfId="4" applyFont="1" applyBorder="1" applyAlignment="1">
      <alignment vertical="center"/>
    </xf>
    <xf numFmtId="0" fontId="43" fillId="0" borderId="50" xfId="4" applyFont="1" applyBorder="1" applyAlignment="1">
      <alignment horizontal="center" vertical="center"/>
    </xf>
    <xf numFmtId="0" fontId="44" fillId="0" borderId="76" xfId="0" applyFont="1" applyBorder="1" applyAlignment="1">
      <alignment wrapText="1"/>
    </xf>
    <xf numFmtId="0" fontId="43" fillId="0" borderId="76" xfId="0" applyFont="1" applyBorder="1" applyAlignment="1">
      <alignment horizontal="center" vertical="center" wrapText="1"/>
    </xf>
    <xf numFmtId="0" fontId="43" fillId="0" borderId="76" xfId="0" applyFont="1" applyBorder="1"/>
    <xf numFmtId="0" fontId="44" fillId="0" borderId="76" xfId="0" applyFont="1" applyBorder="1" applyAlignment="1">
      <alignment horizontal="center" vertical="center" wrapText="1"/>
    </xf>
    <xf numFmtId="0" fontId="15" fillId="0" borderId="26" xfId="4" applyFont="1" applyBorder="1" applyAlignment="1">
      <alignment horizontal="center" vertical="center" textRotation="90"/>
    </xf>
    <xf numFmtId="0" fontId="14" fillId="0" borderId="30" xfId="4" applyFont="1" applyBorder="1" applyAlignment="1">
      <alignment horizontal="left" vertical="center"/>
    </xf>
    <xf numFmtId="0" fontId="15" fillId="0" borderId="27" xfId="4" applyFont="1" applyBorder="1" applyAlignment="1" applyProtection="1">
      <alignment horizontal="left" vertical="center"/>
      <protection locked="0"/>
    </xf>
    <xf numFmtId="0" fontId="15" fillId="0" borderId="33" xfId="4" applyFont="1" applyBorder="1" applyAlignment="1" applyProtection="1">
      <alignment horizontal="left" vertical="center"/>
      <protection locked="0"/>
    </xf>
    <xf numFmtId="0" fontId="14" fillId="0" borderId="27" xfId="4" applyFont="1" applyBorder="1" applyAlignment="1">
      <alignment horizontal="left" vertical="center"/>
    </xf>
    <xf numFmtId="0" fontId="14" fillId="0" borderId="31" xfId="4" applyFont="1" applyBorder="1" applyAlignment="1">
      <alignment horizontal="left" vertical="center"/>
    </xf>
    <xf numFmtId="0" fontId="14" fillId="0" borderId="32" xfId="4" applyFont="1" applyBorder="1" applyAlignment="1">
      <alignment horizontal="left" vertical="center"/>
    </xf>
    <xf numFmtId="0" fontId="15" fillId="0" borderId="31" xfId="4" applyFont="1" applyBorder="1" applyAlignment="1" applyProtection="1">
      <alignment horizontal="left" vertical="center"/>
      <protection locked="0"/>
    </xf>
    <xf numFmtId="0" fontId="15" fillId="0" borderId="32" xfId="4" applyFont="1" applyBorder="1" applyAlignment="1" applyProtection="1">
      <alignment horizontal="left" vertical="center"/>
      <protection locked="0"/>
    </xf>
    <xf numFmtId="0" fontId="14" fillId="0" borderId="0" xfId="4" applyFont="1" applyAlignment="1">
      <alignment horizontal="left" vertical="center"/>
    </xf>
    <xf numFmtId="0" fontId="0" fillId="0" borderId="26" xfId="4" applyFont="1" applyBorder="1" applyAlignment="1">
      <alignment horizontal="center" vertical="center"/>
    </xf>
    <xf numFmtId="0" fontId="15" fillId="0" borderId="50" xfId="4" applyFont="1" applyBorder="1" applyAlignment="1">
      <alignment horizontal="center" vertical="center" textRotation="90"/>
    </xf>
    <xf numFmtId="0" fontId="15" fillId="0" borderId="51" xfId="4" applyFont="1" applyBorder="1" applyAlignment="1">
      <alignment horizontal="center" vertical="center" textRotation="90"/>
    </xf>
    <xf numFmtId="0" fontId="15" fillId="0" borderId="52" xfId="4" applyFont="1" applyBorder="1" applyAlignment="1">
      <alignment horizontal="center" vertical="center" textRotation="90"/>
    </xf>
    <xf numFmtId="0" fontId="15" fillId="0" borderId="53" xfId="4" applyFont="1" applyBorder="1" applyAlignment="1">
      <alignment horizontal="center" vertical="center" textRotation="90"/>
    </xf>
    <xf numFmtId="0" fontId="15" fillId="0" borderId="54" xfId="4" applyFont="1" applyBorder="1" applyAlignment="1">
      <alignment horizontal="center" vertical="center" textRotation="90"/>
    </xf>
    <xf numFmtId="0" fontId="15" fillId="0" borderId="55" xfId="4" applyFont="1" applyBorder="1" applyAlignment="1">
      <alignment horizontal="center" vertical="center" textRotation="90"/>
    </xf>
    <xf numFmtId="0" fontId="15" fillId="0" borderId="56" xfId="4" applyFont="1" applyBorder="1" applyAlignment="1">
      <alignment horizontal="center" vertical="center" textRotation="90"/>
    </xf>
    <xf numFmtId="0" fontId="15" fillId="0" borderId="27" xfId="4" applyFont="1" applyBorder="1" applyAlignment="1">
      <alignment horizontal="left" vertical="center"/>
    </xf>
    <xf numFmtId="0" fontId="14" fillId="0" borderId="29" xfId="4" applyFont="1" applyBorder="1" applyAlignment="1">
      <alignment horizontal="left" vertical="center"/>
    </xf>
    <xf numFmtId="0" fontId="0" fillId="0" borderId="26" xfId="4" applyFont="1" applyBorder="1" applyAlignment="1">
      <alignment horizontal="center" vertical="center" wrapText="1"/>
    </xf>
    <xf numFmtId="0" fontId="15" fillId="0" borderId="95" xfId="4" applyFont="1" applyBorder="1" applyAlignment="1">
      <alignment horizontal="center" vertical="center" textRotation="90"/>
    </xf>
    <xf numFmtId="0" fontId="15" fillId="0" borderId="96" xfId="4" applyFont="1" applyBorder="1" applyAlignment="1">
      <alignment horizontal="center" vertical="center" textRotation="90"/>
    </xf>
    <xf numFmtId="0" fontId="15" fillId="0" borderId="40" xfId="4" applyFont="1" applyBorder="1" applyAlignment="1">
      <alignment horizontal="center" vertical="center" textRotation="90"/>
    </xf>
    <xf numFmtId="0" fontId="15" fillId="0" borderId="94" xfId="4" applyFont="1" applyBorder="1" applyAlignment="1">
      <alignment horizontal="center" vertical="center" textRotation="90"/>
    </xf>
    <xf numFmtId="0" fontId="15" fillId="0" borderId="138" xfId="4" applyFont="1" applyBorder="1" applyAlignment="1">
      <alignment horizontal="center" vertical="center" textRotation="90"/>
    </xf>
    <xf numFmtId="0" fontId="15" fillId="0" borderId="97" xfId="4" applyFont="1" applyBorder="1" applyAlignment="1">
      <alignment horizontal="center" vertical="center" textRotation="90"/>
    </xf>
    <xf numFmtId="0" fontId="15" fillId="0" borderId="137" xfId="4" applyFont="1" applyBorder="1" applyAlignment="1">
      <alignment horizontal="center" vertical="center" textRotation="90"/>
    </xf>
    <xf numFmtId="0" fontId="14" fillId="0" borderId="40" xfId="4" applyFont="1" applyBorder="1" applyAlignment="1">
      <alignment horizontal="left" vertical="center"/>
    </xf>
    <xf numFmtId="0" fontId="14" fillId="0" borderId="27" xfId="4" applyFont="1" applyBorder="1" applyAlignment="1" applyProtection="1">
      <alignment horizontal="left" vertical="center"/>
      <protection locked="0"/>
    </xf>
    <xf numFmtId="0" fontId="15" fillId="0" borderId="99" xfId="4" applyFont="1" applyBorder="1" applyAlignment="1">
      <alignment horizontal="center" vertical="center" textRotation="90"/>
    </xf>
    <xf numFmtId="0" fontId="15" fillId="0" borderId="100" xfId="4" applyFont="1" applyBorder="1" applyAlignment="1">
      <alignment horizontal="center" vertical="center" textRotation="90"/>
    </xf>
    <xf numFmtId="0" fontId="15" fillId="0" borderId="101" xfId="4" applyFont="1" applyBorder="1" applyAlignment="1">
      <alignment horizontal="center" vertical="center" textRotation="90"/>
    </xf>
    <xf numFmtId="0" fontId="9" fillId="0" borderId="12" xfId="0" applyFont="1" applyBorder="1" applyAlignment="1">
      <alignment horizontal="center" vertical="center" textRotation="90" wrapText="1"/>
    </xf>
    <xf numFmtId="0" fontId="9" fillId="0" borderId="15" xfId="0" applyFont="1" applyBorder="1" applyAlignment="1">
      <alignment horizontal="center" vertical="center" textRotation="90" wrapText="1"/>
    </xf>
    <xf numFmtId="0" fontId="9" fillId="0" borderId="82" xfId="0" applyFont="1" applyBorder="1" applyAlignment="1">
      <alignment horizontal="center" vertical="center" textRotation="90" wrapText="1"/>
    </xf>
    <xf numFmtId="0" fontId="9" fillId="0" borderId="21" xfId="0" applyFont="1" applyBorder="1" applyAlignment="1">
      <alignment horizontal="center" vertical="center" textRotation="90" wrapText="1"/>
    </xf>
    <xf numFmtId="0" fontId="9" fillId="0" borderId="18" xfId="0" applyFont="1" applyBorder="1" applyAlignment="1">
      <alignment horizontal="center" vertical="center" textRotation="90" wrapText="1"/>
    </xf>
    <xf numFmtId="0" fontId="15" fillId="0" borderId="131" xfId="4" applyFont="1" applyBorder="1" applyAlignment="1">
      <alignment horizontal="center" vertical="center" textRotation="90"/>
    </xf>
    <xf numFmtId="0" fontId="15" fillId="0" borderId="132" xfId="4" applyFont="1" applyBorder="1" applyAlignment="1">
      <alignment horizontal="center" vertical="center" textRotation="90"/>
    </xf>
    <xf numFmtId="0" fontId="15" fillId="0" borderId="133" xfId="4" applyFont="1" applyBorder="1" applyAlignment="1">
      <alignment horizontal="center" vertical="center" textRotation="90"/>
    </xf>
    <xf numFmtId="0" fontId="4" fillId="2" borderId="22" xfId="0" applyFont="1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0" fillId="2" borderId="22" xfId="0" applyFill="1" applyBorder="1"/>
    <xf numFmtId="0" fontId="5" fillId="2" borderId="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right" vertical="center"/>
    </xf>
    <xf numFmtId="0" fontId="0" fillId="2" borderId="10" xfId="0" applyFill="1" applyBorder="1" applyAlignment="1">
      <alignment horizontal="right" vertical="center"/>
    </xf>
    <xf numFmtId="0" fontId="5" fillId="2" borderId="10" xfId="0" applyFont="1" applyFill="1" applyBorder="1" applyAlignment="1">
      <alignment horizontal="left" vertical="center"/>
    </xf>
    <xf numFmtId="0" fontId="5" fillId="2" borderId="9" xfId="0" applyFont="1" applyFill="1" applyBorder="1" applyAlignment="1">
      <alignment horizontal="left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 textRotation="90" wrapText="1"/>
    </xf>
    <xf numFmtId="0" fontId="9" fillId="0" borderId="57" xfId="0" applyFont="1" applyBorder="1" applyAlignment="1">
      <alignment horizontal="center" vertical="center" textRotation="90" wrapText="1"/>
    </xf>
    <xf numFmtId="0" fontId="9" fillId="0" borderId="69" xfId="0" applyFont="1" applyBorder="1" applyAlignment="1">
      <alignment horizontal="center" vertical="center" textRotation="90" wrapText="1"/>
    </xf>
    <xf numFmtId="0" fontId="4" fillId="2" borderId="3" xfId="0" applyFont="1" applyFill="1" applyBorder="1" applyAlignment="1">
      <alignment horizontal="center" wrapText="1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wrapText="1"/>
    </xf>
    <xf numFmtId="0" fontId="6" fillId="2" borderId="0" xfId="0" applyFont="1" applyFill="1" applyAlignment="1">
      <alignment horizontal="center" wrapText="1"/>
    </xf>
    <xf numFmtId="0" fontId="6" fillId="2" borderId="7" xfId="0" applyFont="1" applyFill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7" xfId="0" applyFill="1" applyBorder="1" applyAlignment="1">
      <alignment horizontal="center" wrapText="1"/>
    </xf>
    <xf numFmtId="0" fontId="9" fillId="0" borderId="61" xfId="0" applyFont="1" applyBorder="1" applyAlignment="1">
      <alignment horizontal="center" vertical="center" textRotation="90" wrapText="1"/>
    </xf>
    <xf numFmtId="0" fontId="0" fillId="0" borderId="50" xfId="4" applyFont="1" applyBorder="1" applyAlignment="1">
      <alignment horizontal="center" vertical="center"/>
    </xf>
    <xf numFmtId="0" fontId="15" fillId="17" borderId="86" xfId="4" applyFont="1" applyFill="1" applyBorder="1" applyAlignment="1">
      <alignment horizontal="center" vertical="center" textRotation="90"/>
    </xf>
    <xf numFmtId="0" fontId="15" fillId="17" borderId="89" xfId="4" applyFont="1" applyFill="1" applyBorder="1" applyAlignment="1">
      <alignment horizontal="center" vertical="center" textRotation="90"/>
    </xf>
    <xf numFmtId="0" fontId="15" fillId="0" borderId="86" xfId="4" applyFont="1" applyBorder="1" applyAlignment="1">
      <alignment horizontal="center" vertical="center" textRotation="90"/>
    </xf>
    <xf numFmtId="0" fontId="15" fillId="0" borderId="89" xfId="4" applyFont="1" applyBorder="1" applyAlignment="1">
      <alignment horizontal="center" vertical="center" textRotation="90"/>
    </xf>
    <xf numFmtId="0" fontId="15" fillId="0" borderId="109" xfId="4" applyFont="1" applyBorder="1" applyAlignment="1">
      <alignment horizontal="center" vertical="center" textRotation="90"/>
    </xf>
    <xf numFmtId="0" fontId="15" fillId="0" borderId="113" xfId="4" applyFont="1" applyBorder="1" applyAlignment="1">
      <alignment horizontal="center" vertical="center" textRotation="90"/>
    </xf>
    <xf numFmtId="0" fontId="15" fillId="0" borderId="120" xfId="4" applyFont="1" applyBorder="1" applyAlignment="1">
      <alignment horizontal="center" vertical="center" textRotation="90"/>
    </xf>
    <xf numFmtId="0" fontId="15" fillId="0" borderId="115" xfId="4" applyFont="1" applyBorder="1" applyAlignment="1">
      <alignment horizontal="center" vertical="center" textRotation="90"/>
    </xf>
    <xf numFmtId="0" fontId="15" fillId="0" borderId="10" xfId="4" applyFont="1" applyBorder="1" applyAlignment="1">
      <alignment horizontal="center" vertical="center" textRotation="90"/>
    </xf>
    <xf numFmtId="0" fontId="15" fillId="0" borderId="116" xfId="4" applyFont="1" applyBorder="1" applyAlignment="1">
      <alignment horizontal="center" vertical="center" textRotation="90"/>
    </xf>
    <xf numFmtId="0" fontId="15" fillId="0" borderId="79" xfId="4" applyFont="1" applyBorder="1" applyAlignment="1">
      <alignment horizontal="center" vertical="center" textRotation="90"/>
    </xf>
    <xf numFmtId="0" fontId="42" fillId="0" borderId="76" xfId="4" applyFont="1" applyBorder="1" applyAlignment="1">
      <alignment horizontal="center" vertical="center" textRotation="90"/>
    </xf>
    <xf numFmtId="0" fontId="43" fillId="0" borderId="26" xfId="4" applyFont="1" applyBorder="1" applyAlignment="1">
      <alignment horizontal="center" vertical="center"/>
    </xf>
    <xf numFmtId="0" fontId="43" fillId="0" borderId="50" xfId="4" applyFont="1" applyBorder="1" applyAlignment="1">
      <alignment horizontal="center" vertical="center"/>
    </xf>
    <xf numFmtId="0" fontId="15" fillId="0" borderId="68" xfId="4" applyFont="1" applyBorder="1" applyAlignment="1">
      <alignment horizontal="center" vertical="center" textRotation="90"/>
    </xf>
    <xf numFmtId="0" fontId="24" fillId="0" borderId="12" xfId="0" applyFont="1" applyBorder="1" applyAlignment="1">
      <alignment horizontal="center" vertical="center" textRotation="90" wrapText="1"/>
    </xf>
    <xf numFmtId="0" fontId="24" fillId="0" borderId="15" xfId="0" applyFont="1" applyBorder="1" applyAlignment="1">
      <alignment horizontal="center" vertical="center" textRotation="90" wrapText="1"/>
    </xf>
    <xf numFmtId="0" fontId="24" fillId="0" borderId="18" xfId="0" applyFont="1" applyBorder="1" applyAlignment="1">
      <alignment horizontal="center" vertical="center" textRotation="90" wrapText="1"/>
    </xf>
    <xf numFmtId="0" fontId="24" fillId="0" borderId="21" xfId="0" applyFont="1" applyBorder="1" applyAlignment="1">
      <alignment horizontal="center" vertical="center" textRotation="90" wrapText="1"/>
    </xf>
    <xf numFmtId="0" fontId="15" fillId="0" borderId="27" xfId="4" applyFont="1" applyBorder="1" applyAlignment="1" applyProtection="1">
      <alignment horizontal="center" vertical="center"/>
      <protection locked="0"/>
    </xf>
    <xf numFmtId="0" fontId="15" fillId="0" borderId="33" xfId="4" applyFont="1" applyBorder="1" applyAlignment="1" applyProtection="1">
      <alignment horizontal="center" vertical="center"/>
      <protection locked="0"/>
    </xf>
    <xf numFmtId="0" fontId="8" fillId="2" borderId="11" xfId="0" applyFont="1" applyFill="1" applyBorder="1" applyAlignment="1">
      <alignment horizontal="center" vertical="center" wrapText="1"/>
    </xf>
    <xf numFmtId="0" fontId="8" fillId="2" borderId="69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0" fontId="4" fillId="0" borderId="0" xfId="0" applyFont="1" applyFill="1" applyBorder="1"/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19" fillId="0" borderId="0" xfId="0" applyFont="1" applyFill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wrapText="1"/>
    </xf>
    <xf numFmtId="0" fontId="0" fillId="24" borderId="46" xfId="0" applyFont="1" applyFill="1" applyBorder="1"/>
    <xf numFmtId="0" fontId="0" fillId="24" borderId="47" xfId="0" applyFont="1" applyFill="1" applyBorder="1"/>
    <xf numFmtId="0" fontId="0" fillId="24" borderId="76" xfId="0" applyFont="1" applyFill="1" applyBorder="1"/>
    <xf numFmtId="0" fontId="0" fillId="24" borderId="107" xfId="0" applyFont="1" applyFill="1" applyBorder="1"/>
    <xf numFmtId="0" fontId="0" fillId="24" borderId="105" xfId="0" applyFont="1" applyFill="1" applyBorder="1"/>
    <xf numFmtId="0" fontId="0" fillId="24" borderId="106" xfId="0" applyFont="1" applyFill="1" applyBorder="1"/>
    <xf numFmtId="0" fontId="0" fillId="24" borderId="45" xfId="0" applyFont="1" applyFill="1" applyBorder="1" applyAlignment="1">
      <alignment horizontal="left" vertical="center" wrapText="1"/>
    </xf>
    <xf numFmtId="0" fontId="0" fillId="24" borderId="48" xfId="0" applyFont="1" applyFill="1" applyBorder="1" applyAlignment="1">
      <alignment horizontal="left" vertical="center" wrapText="1"/>
    </xf>
    <xf numFmtId="0" fontId="0" fillId="24" borderId="49" xfId="0" applyFont="1" applyFill="1" applyBorder="1" applyAlignment="1">
      <alignment horizontal="left" vertical="center" wrapText="1"/>
    </xf>
  </cellXfs>
  <cellStyles count="6">
    <cellStyle name="Normal" xfId="0" builtinId="0"/>
    <cellStyle name="Normal 3" xfId="4" xr:uid="{00000000-0005-0000-0000-000001000000}"/>
    <cellStyle name="Porcentagem" xfId="5" builtinId="5"/>
    <cellStyle name="Título" xfId="1" builtinId="15"/>
    <cellStyle name="Título 1" xfId="2" builtinId="16"/>
    <cellStyle name="Título 2" xfId="3" builtinId="17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u/>
        <color theme="0"/>
      </font>
      <fill>
        <patternFill>
          <bgColor rgb="FFC00000"/>
        </patternFill>
      </fill>
    </dxf>
    <dxf>
      <font>
        <color theme="8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theme="1" tint="0.499984740745262"/>
      </font>
      <numFmt numFmtId="0" formatCode="General"/>
      <fill>
        <patternFill>
          <bgColor theme="1" tint="0.499984740745262"/>
        </patternFill>
      </fill>
    </dxf>
    <dxf>
      <fill>
        <patternFill patternType="solid">
          <fgColor indexed="64"/>
          <bgColor rgb="FFFF0000"/>
        </patternFill>
      </fill>
    </dxf>
    <dxf>
      <numFmt numFmtId="0" formatCode="General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416]yyyy/mmm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416]yyyy/mmm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3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5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pivotCacheDefinition" Target="pivotCache/pivotCacheDefinition1.xml"/><Relationship Id="rId69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4.xml"/><Relationship Id="rId7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2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'Relatório consolidado'!$A$83</c:f>
          <c:strCache>
            <c:ptCount val="1"/>
            <c:pt idx="0">
              <c:v>Mecânica</c:v>
            </c:pt>
          </c:strCache>
        </c:strRef>
      </c:tx>
      <c:layout>
        <c:manualLayout>
          <c:xMode val="edge"/>
          <c:yMode val="edge"/>
          <c:x val="0.41267317669245102"/>
          <c:y val="3.17366970344930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184549692482469"/>
          <c:y val="0.17171296296296296"/>
          <c:w val="0.8537611156814352"/>
          <c:h val="0.72088764946048411"/>
        </c:manualLayout>
      </c:layout>
      <c:areaChart>
        <c:grouping val="standard"/>
        <c:varyColors val="0"/>
        <c:ser>
          <c:idx val="1"/>
          <c:order val="0"/>
          <c:tx>
            <c:strRef>
              <c:f>'Relatório consolidado'!$B$82</c:f>
              <c:strCache>
                <c:ptCount val="1"/>
                <c:pt idx="0">
                  <c:v>Aulas disponíveis</c:v>
                </c:pt>
              </c:strCache>
            </c:strRef>
          </c:tx>
          <c:spPr>
            <a:pattFill prst="ltDnDiag">
              <a:fgClr>
                <a:schemeClr val="accent3">
                  <a:lumMod val="20000"/>
                  <a:lumOff val="80000"/>
                </a:schemeClr>
              </a:fgClr>
              <a:bgClr>
                <a:schemeClr val="bg1">
                  <a:lumMod val="85000"/>
                </a:schemeClr>
              </a:bgClr>
            </a:pattFill>
            <a:ln w="9525" cap="flat" cmpd="sng" algn="ctr">
              <a:noFill/>
              <a:round/>
            </a:ln>
            <a:effectLst/>
          </c:spPr>
          <c:cat>
            <c:numRef>
              <c:f>'Relatório consolidado'!$Y$60:$AO$60</c:f>
              <c:numCache>
                <c:formatCode>General</c:formatCode>
                <c:ptCount val="17"/>
                <c:pt idx="0">
                  <c:v>2022</c:v>
                </c:pt>
                <c:pt idx="2">
                  <c:v>2023</c:v>
                </c:pt>
                <c:pt idx="4">
                  <c:v>2024</c:v>
                </c:pt>
                <c:pt idx="6">
                  <c:v>2025</c:v>
                </c:pt>
                <c:pt idx="8">
                  <c:v>2026</c:v>
                </c:pt>
                <c:pt idx="10">
                  <c:v>2027</c:v>
                </c:pt>
                <c:pt idx="12">
                  <c:v>2028</c:v>
                </c:pt>
                <c:pt idx="14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'Relatório consolidado'!$Y$82:$AO$82</c:f>
              <c:numCache>
                <c:formatCode>General</c:formatCode>
                <c:ptCount val="17"/>
                <c:pt idx="0">
                  <c:v>168</c:v>
                </c:pt>
                <c:pt idx="1">
                  <c:v>168</c:v>
                </c:pt>
                <c:pt idx="2">
                  <c:v>168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168</c:v>
                </c:pt>
                <c:pt idx="11">
                  <c:v>168</c:v>
                </c:pt>
                <c:pt idx="12">
                  <c:v>168</c:v>
                </c:pt>
                <c:pt idx="13">
                  <c:v>168</c:v>
                </c:pt>
                <c:pt idx="14">
                  <c:v>168</c:v>
                </c:pt>
                <c:pt idx="15">
                  <c:v>168</c:v>
                </c:pt>
                <c:pt idx="16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57-4BBD-9AE4-B41D39495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497288"/>
        <c:axId val="638497616"/>
      </c:areaChart>
      <c:barChart>
        <c:barDir val="col"/>
        <c:grouping val="clustered"/>
        <c:varyColors val="0"/>
        <c:ser>
          <c:idx val="0"/>
          <c:order val="1"/>
          <c:tx>
            <c:strRef>
              <c:f>'Relatório consolidado'!$B$83</c:f>
              <c:strCache>
                <c:ptCount val="1"/>
                <c:pt idx="0">
                  <c:v>Aulas solicitadas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'Relatório consolidado'!$Y$60:$AO$60</c:f>
              <c:numCache>
                <c:formatCode>General</c:formatCode>
                <c:ptCount val="17"/>
                <c:pt idx="0">
                  <c:v>2022</c:v>
                </c:pt>
                <c:pt idx="2">
                  <c:v>2023</c:v>
                </c:pt>
                <c:pt idx="4">
                  <c:v>2024</c:v>
                </c:pt>
                <c:pt idx="6">
                  <c:v>2025</c:v>
                </c:pt>
                <c:pt idx="8">
                  <c:v>2026</c:v>
                </c:pt>
                <c:pt idx="10">
                  <c:v>2027</c:v>
                </c:pt>
                <c:pt idx="12">
                  <c:v>2028</c:v>
                </c:pt>
                <c:pt idx="14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'Relatório consolidado'!$Y$83:$AO$83</c:f>
              <c:numCache>
                <c:formatCode>General</c:formatCode>
                <c:ptCount val="17"/>
                <c:pt idx="0">
                  <c:v>38</c:v>
                </c:pt>
                <c:pt idx="1">
                  <c:v>48</c:v>
                </c:pt>
                <c:pt idx="2">
                  <c:v>86</c:v>
                </c:pt>
                <c:pt idx="3">
                  <c:v>68</c:v>
                </c:pt>
                <c:pt idx="4">
                  <c:v>38</c:v>
                </c:pt>
                <c:pt idx="5">
                  <c:v>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57-4BBD-9AE4-B41D39495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638497288"/>
        <c:axId val="638497616"/>
      </c:barChart>
      <c:catAx>
        <c:axId val="638497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8497616"/>
        <c:crosses val="autoZero"/>
        <c:auto val="1"/>
        <c:lblAlgn val="ctr"/>
        <c:lblOffset val="100"/>
        <c:noMultiLvlLbl val="0"/>
      </c:catAx>
      <c:valAx>
        <c:axId val="63849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bg1">
                  <a:lumMod val="75000"/>
                </a:schemeClr>
              </a:solidFill>
              <a:prstDash val="dash"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Horas-aula semanais</a:t>
                </a:r>
              </a:p>
            </c:rich>
          </c:tx>
          <c:layout>
            <c:manualLayout>
              <c:xMode val="edge"/>
              <c:yMode val="edge"/>
              <c:x val="2.8907953669970357E-2"/>
              <c:y val="0.347420793712261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8497288"/>
        <c:crosses val="autoZero"/>
        <c:crossBetween val="between"/>
        <c:majorUnit val="56"/>
        <c:minorUnit val="1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957646899303639"/>
          <c:y val="2.0493999676900986E-2"/>
          <c:w val="0.17320975176610387"/>
          <c:h val="0.1562510936132983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Balizadores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04471480990607"/>
          <c:y val="0.10120045761299264"/>
          <c:w val="0.8679514002700488"/>
          <c:h val="0.64514045026219557"/>
        </c:manualLayout>
      </c:layout>
      <c:lineChart>
        <c:grouping val="standard"/>
        <c:varyColors val="0"/>
        <c:ser>
          <c:idx val="0"/>
          <c:order val="0"/>
          <c:tx>
            <c:strRef>
              <c:f>'Relatório consolidado'!$B$16</c:f>
              <c:strCache>
                <c:ptCount val="1"/>
                <c:pt idx="0">
                  <c:v>Ensino médio</c:v>
                </c:pt>
              </c:strCache>
            </c:strRef>
          </c:tx>
          <c:spPr>
            <a:ln w="158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bg1">
                    <a:lumMod val="5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'Relatório consolidado'!$Q$6:$AF$6</c:f>
              <c:numCache>
                <c:formatCode>General</c:formatCode>
                <c:ptCount val="16"/>
                <c:pt idx="0">
                  <c:v>2018</c:v>
                </c:pt>
                <c:pt idx="2">
                  <c:v>2019</c:v>
                </c:pt>
                <c:pt idx="4">
                  <c:v>2020</c:v>
                </c:pt>
                <c:pt idx="6">
                  <c:v>2021</c:v>
                </c:pt>
                <c:pt idx="8">
                  <c:v>2022</c:v>
                </c:pt>
                <c:pt idx="10">
                  <c:v>2023</c:v>
                </c:pt>
                <c:pt idx="12">
                  <c:v>2024</c:v>
                </c:pt>
                <c:pt idx="14">
                  <c:v>2025</c:v>
                </c:pt>
              </c:numCache>
            </c:numRef>
          </c:cat>
          <c:val>
            <c:numRef>
              <c:f>'Relatório consolidado'!$Q$16:$AF$16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2D7-47AD-A08E-DD6F2693C911}"/>
            </c:ext>
          </c:extLst>
        </c:ser>
        <c:ser>
          <c:idx val="1"/>
          <c:order val="1"/>
          <c:tx>
            <c:strRef>
              <c:f>'Relatório consolidado'!$B$17</c:f>
              <c:strCache>
                <c:ptCount val="1"/>
                <c:pt idx="0">
                  <c:v>Cursos de formação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'Relatório consolidado'!$Q$6:$AF$6</c:f>
              <c:numCache>
                <c:formatCode>General</c:formatCode>
                <c:ptCount val="16"/>
                <c:pt idx="0">
                  <c:v>2018</c:v>
                </c:pt>
                <c:pt idx="2">
                  <c:v>2019</c:v>
                </c:pt>
                <c:pt idx="4">
                  <c:v>2020</c:v>
                </c:pt>
                <c:pt idx="6">
                  <c:v>2021</c:v>
                </c:pt>
                <c:pt idx="8">
                  <c:v>2022</c:v>
                </c:pt>
                <c:pt idx="10">
                  <c:v>2023</c:v>
                </c:pt>
                <c:pt idx="12">
                  <c:v>2024</c:v>
                </c:pt>
                <c:pt idx="14">
                  <c:v>2025</c:v>
                </c:pt>
              </c:numCache>
            </c:numRef>
          </c:cat>
          <c:val>
            <c:numRef>
              <c:f>'Relatório consolidado'!$Q$17:$AF$17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2D7-47AD-A08E-DD6F2693C911}"/>
            </c:ext>
          </c:extLst>
        </c:ser>
        <c:ser>
          <c:idx val="2"/>
          <c:order val="2"/>
          <c:tx>
            <c:strRef>
              <c:f>'Relatório consolidado'!$B$19</c:f>
              <c:strCache>
                <c:ptCount val="1"/>
                <c:pt idx="0">
                  <c:v>EJA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'Relatório consolidado'!$Q$6:$AF$6</c:f>
              <c:numCache>
                <c:formatCode>General</c:formatCode>
                <c:ptCount val="16"/>
                <c:pt idx="0">
                  <c:v>2018</c:v>
                </c:pt>
                <c:pt idx="2">
                  <c:v>2019</c:v>
                </c:pt>
                <c:pt idx="4">
                  <c:v>2020</c:v>
                </c:pt>
                <c:pt idx="6">
                  <c:v>2021</c:v>
                </c:pt>
                <c:pt idx="8">
                  <c:v>2022</c:v>
                </c:pt>
                <c:pt idx="10">
                  <c:v>2023</c:v>
                </c:pt>
                <c:pt idx="12">
                  <c:v>2024</c:v>
                </c:pt>
                <c:pt idx="14">
                  <c:v>2025</c:v>
                </c:pt>
              </c:numCache>
            </c:numRef>
          </c:cat>
          <c:val>
            <c:numRef>
              <c:f>'Relatório consolidado'!$Q$19:$AF$19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AE8-41C9-838C-923855727FED}"/>
            </c:ext>
          </c:extLst>
        </c:ser>
        <c:ser>
          <c:idx val="3"/>
          <c:order val="3"/>
          <c:tx>
            <c:v>Outros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'Relatório consolidado'!$Q$18:$AF$18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6A-4AB3-929E-F03AA58E663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28137392"/>
        <c:axId val="528138048"/>
      </c:lineChart>
      <c:catAx>
        <c:axId val="52813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138048"/>
        <c:crosses val="autoZero"/>
        <c:auto val="1"/>
        <c:lblAlgn val="ctr"/>
        <c:lblOffset val="100"/>
        <c:noMultiLvlLbl val="0"/>
      </c:catAx>
      <c:valAx>
        <c:axId val="5281380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13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9175923720384375E-2"/>
          <c:y val="0.92603855889869191"/>
          <c:w val="0.62974218858559194"/>
          <c:h val="7.3961441101308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'Relatório consolidado'!$B$41</c:f>
              <c:strCache>
                <c:ptCount val="1"/>
                <c:pt idx="0">
                  <c:v>RAP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'Relatório consolidado'!$Q$38:$AF$38</c:f>
              <c:numCache>
                <c:formatCode>General</c:formatCode>
                <c:ptCount val="16"/>
                <c:pt idx="0">
                  <c:v>2018</c:v>
                </c:pt>
                <c:pt idx="2">
                  <c:v>2019</c:v>
                </c:pt>
                <c:pt idx="4">
                  <c:v>2020</c:v>
                </c:pt>
                <c:pt idx="6">
                  <c:v>2021</c:v>
                </c:pt>
                <c:pt idx="8">
                  <c:v>2022</c:v>
                </c:pt>
                <c:pt idx="10">
                  <c:v>2023</c:v>
                </c:pt>
                <c:pt idx="12">
                  <c:v>2024</c:v>
                </c:pt>
                <c:pt idx="14">
                  <c:v>2025</c:v>
                </c:pt>
              </c:numCache>
            </c:numRef>
          </c:cat>
          <c:val>
            <c:numRef>
              <c:f>'Relatório consolidado'!$Q$41:$AF$41</c:f>
              <c:numCache>
                <c:formatCode>General</c:formatCode>
                <c:ptCount val="16"/>
                <c:pt idx="0">
                  <c:v>0.71549295774647881</c:v>
                </c:pt>
                <c:pt idx="1">
                  <c:v>0</c:v>
                </c:pt>
                <c:pt idx="2">
                  <c:v>0.71549295774647881</c:v>
                </c:pt>
                <c:pt idx="3">
                  <c:v>0</c:v>
                </c:pt>
                <c:pt idx="4">
                  <c:v>0.71549295774647881</c:v>
                </c:pt>
                <c:pt idx="5">
                  <c:v>0</c:v>
                </c:pt>
                <c:pt idx="6">
                  <c:v>0.71549295774647881</c:v>
                </c:pt>
                <c:pt idx="7">
                  <c:v>0</c:v>
                </c:pt>
                <c:pt idx="8">
                  <c:v>0.72571428571428565</c:v>
                </c:pt>
                <c:pt idx="9">
                  <c:v>0</c:v>
                </c:pt>
                <c:pt idx="10">
                  <c:v>0.72571428571428565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2-4DCF-B932-30C1892F6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565040"/>
        <c:axId val="531573568"/>
      </c:lineChart>
      <c:catAx>
        <c:axId val="53156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1573568"/>
        <c:crosses val="autoZero"/>
        <c:auto val="1"/>
        <c:lblAlgn val="ctr"/>
        <c:lblOffset val="100"/>
        <c:noMultiLvlLbl val="0"/>
      </c:catAx>
      <c:valAx>
        <c:axId val="531573568"/>
        <c:scaling>
          <c:orientation val="minMax"/>
          <c:max val="24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156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561</xdr:rowOff>
    </xdr:from>
    <xdr:to>
      <xdr:col>0</xdr:col>
      <xdr:colOff>531611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441"/>
          <a:ext cx="531611" cy="8624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561</xdr:rowOff>
    </xdr:from>
    <xdr:to>
      <xdr:col>0</xdr:col>
      <xdr:colOff>531611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061"/>
          <a:ext cx="531611" cy="8947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561</xdr:rowOff>
    </xdr:from>
    <xdr:to>
      <xdr:col>0</xdr:col>
      <xdr:colOff>531611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061"/>
          <a:ext cx="531611" cy="89478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561</xdr:rowOff>
    </xdr:from>
    <xdr:to>
      <xdr:col>0</xdr:col>
      <xdr:colOff>531611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061"/>
          <a:ext cx="531611" cy="89478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561</xdr:rowOff>
    </xdr:from>
    <xdr:to>
      <xdr:col>0</xdr:col>
      <xdr:colOff>531611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061"/>
          <a:ext cx="531611" cy="89478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561</xdr:rowOff>
    </xdr:from>
    <xdr:ext cx="531611" cy="875739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061"/>
          <a:ext cx="531611" cy="875739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0</xdr:col>
          <xdr:colOff>1600200</xdr:colOff>
          <xdr:row>0</xdr:row>
          <xdr:rowOff>504825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3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1447800</xdr:colOff>
          <xdr:row>58</xdr:row>
          <xdr:rowOff>152400</xdr:rowOff>
        </xdr:from>
        <xdr:to>
          <xdr:col>1</xdr:col>
          <xdr:colOff>533400</xdr:colOff>
          <xdr:row>60</xdr:row>
          <xdr:rowOff>38100</xdr:rowOff>
        </xdr:to>
        <xdr:sp macro="" textlink="">
          <xdr:nvSpPr>
            <xdr:cNvPr id="18433" name="Atualiza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3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292100</xdr:colOff>
      <xdr:row>73</xdr:row>
      <xdr:rowOff>80433</xdr:rowOff>
    </xdr:from>
    <xdr:to>
      <xdr:col>33</xdr:col>
      <xdr:colOff>271992</xdr:colOff>
      <xdr:row>91</xdr:row>
      <xdr:rowOff>62442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795980</xdr:colOff>
      <xdr:row>1</xdr:row>
      <xdr:rowOff>17833</xdr:rowOff>
    </xdr:from>
    <xdr:to>
      <xdr:col>29</xdr:col>
      <xdr:colOff>0</xdr:colOff>
      <xdr:row>31</xdr:row>
      <xdr:rowOff>116416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1019176</xdr:colOff>
      <xdr:row>41</xdr:row>
      <xdr:rowOff>42862</xdr:rowOff>
    </xdr:from>
    <xdr:to>
      <xdr:col>16</xdr:col>
      <xdr:colOff>227926</xdr:colOff>
      <xdr:row>54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uyra/Dropbox/Z&#201;/D-%20IFSP/Hortol&#226;ndia/PDI/PLANILHA%20CADASTRO%20PPCS%20NOV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matau\AppData\Local\Microsoft\Windows\INetCache\Content.Outlook\7M8DL0Q6\Planilha%20de%20impacto%20-%20proposta%20eletro%20PDI%20v1_corrigid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uyra/Dropbox/Z&#201;/D-%20IFSP/Hortol&#226;ndia/PDI/In&#237;cio%20das%20Inser&#231;oes/Lan&#231;amento%20passo%20a%20passo%20Matematica/RevisaoPDI-Planilha-Interna_HTO%20-%20Inser&#231;ao%20Matematica%20Par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caro/Downloads/grades%20-%20revisad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Icaro\Downloads\grades%20-%20revisa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Inf4anos"/>
      <sheetName val="IntAut4anos"/>
      <sheetName val="IntMec4anos"/>
      <sheetName val="IntMec"/>
      <sheetName val="IntInf"/>
      <sheetName val="IntAut"/>
      <sheetName val="LicMat (real)"/>
      <sheetName val="Lic Mat 2022"/>
      <sheetName val="LicMat"/>
      <sheetName val="MecanicaPira"/>
      <sheetName val="ADS"/>
      <sheetName val="ADS 2022"/>
      <sheetName val="ECA"/>
      <sheetName val="ECA 2022"/>
      <sheetName val="FabMec (antigo)"/>
      <sheetName val="ConcMecaHto"/>
      <sheetName val="ConcMecaBra"/>
      <sheetName val="ConcEletro20vagas"/>
      <sheetName val="ConcEletro"/>
      <sheetName val="FormacaoNLicenc"/>
      <sheetName val="FabMec (novo)"/>
      <sheetName val="FabMec (novo) (real) 2022"/>
      <sheetName val="FabMec (novo) (real)"/>
      <sheetName val="ConcMSI"/>
      <sheetName val="ConcMSI (25 vagas )"/>
      <sheetName val="ConcMSI (40 vagas) 2022"/>
      <sheetName val="ConcEletroTurmaUnica"/>
      <sheetName val="ConcEletro (real)"/>
      <sheetName val="ConcEletroTurmaUnica 2022"/>
      <sheetName val="EJAFICInfo"/>
      <sheetName val="EJAFICInfo 2022"/>
      <sheetName val="EspecEduc"/>
      <sheetName val="EspecEduc 2022"/>
      <sheetName val="EspecLetras"/>
      <sheetName val="EspecLetras 2022"/>
      <sheetName val="EJAFICUsinagem"/>
      <sheetName val="EJAFICUsinagem 2022"/>
      <sheetName val="EJAFICSolda"/>
      <sheetName val="Taquara"/>
      <sheetName val="MecaIFC"/>
      <sheetName val="MecaEESC"/>
      <sheetName val="ProejaIntMec"/>
      <sheetName val="IntMec (mínimo)"/>
      <sheetName val="EJAFICSolda 2022"/>
      <sheetName val="IntMec (2018)"/>
      <sheetName val="IntAuto (mínimo)"/>
      <sheetName val="IntMec 2022"/>
      <sheetName val="IntAuto (2018)"/>
      <sheetName val="IntInfo (mínimo)"/>
      <sheetName val="IntAuto 2022"/>
      <sheetName val="IntInfo (2019)"/>
      <sheetName val="IntInfo 2022"/>
      <sheetName val="ECA (mínimo)"/>
      <sheetName val="OptativasSemestrais"/>
      <sheetName val="OptativasIntegrado (2018)"/>
      <sheetName val="EJAFICELETRO"/>
      <sheetName val="Cadastro dos cursos"/>
      <sheetName val="Resumo das disciplinas"/>
      <sheetName val="Progressão temporal das turmas"/>
      <sheetName val="Alocação de docentes"/>
      <sheetName val="Alocação de ambientes"/>
      <sheetName val="Relatório consolidado"/>
      <sheetName val="LEIA-ME"/>
      <sheetName val="Tabela geral"/>
      <sheetName val="PLANILHA CADASTRO PPCS NOV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>
        <row r="3">
          <cell r="A3" t="str">
            <v>Artes</v>
          </cell>
        </row>
        <row r="4">
          <cell r="A4" t="str">
            <v>Automação</v>
          </cell>
        </row>
        <row r="5">
          <cell r="A5" t="str">
            <v>Biologia</v>
          </cell>
        </row>
        <row r="6">
          <cell r="A6" t="str">
            <v>Educação física</v>
          </cell>
        </row>
        <row r="7">
          <cell r="A7" t="str">
            <v>Espanhol</v>
          </cell>
        </row>
        <row r="8">
          <cell r="A8" t="str">
            <v>Filosofia</v>
          </cell>
        </row>
        <row r="9">
          <cell r="A9" t="str">
            <v>Física</v>
          </cell>
        </row>
        <row r="10">
          <cell r="A10" t="str">
            <v>Geografia</v>
          </cell>
        </row>
        <row r="11">
          <cell r="A11" t="str">
            <v>Gestão</v>
          </cell>
        </row>
        <row r="12">
          <cell r="A12" t="str">
            <v>História</v>
          </cell>
        </row>
        <row r="13">
          <cell r="A13" t="str">
            <v>Redes</v>
          </cell>
        </row>
        <row r="14">
          <cell r="A14" t="str">
            <v>Programação</v>
          </cell>
        </row>
        <row r="15">
          <cell r="A15" t="str">
            <v>Inglês</v>
          </cell>
        </row>
        <row r="16">
          <cell r="A16" t="str">
            <v>LIBRAS</v>
          </cell>
        </row>
        <row r="17">
          <cell r="A17" t="str">
            <v>Matemática</v>
          </cell>
        </row>
        <row r="18">
          <cell r="A18" t="str">
            <v>Mecânica</v>
          </cell>
        </row>
        <row r="19">
          <cell r="A19" t="str">
            <v>Pedagogia</v>
          </cell>
        </row>
        <row r="20">
          <cell r="A20" t="str">
            <v>Português</v>
          </cell>
        </row>
        <row r="21">
          <cell r="A21" t="str">
            <v>Química</v>
          </cell>
        </row>
        <row r="22">
          <cell r="A22" t="str">
            <v>Sociologia</v>
          </cell>
        </row>
        <row r="26">
          <cell r="A26" t="str">
            <v>Sala de aula</v>
          </cell>
        </row>
        <row r="27">
          <cell r="A27" t="str">
            <v>Laboratório de informática</v>
          </cell>
        </row>
        <row r="28">
          <cell r="A28" t="str">
            <v>Laboratório existente</v>
          </cell>
        </row>
        <row r="29">
          <cell r="A29" t="str">
            <v>Laboratório inexistente</v>
          </cell>
        </row>
        <row r="30">
          <cell r="A30" t="str">
            <v>EaD</v>
          </cell>
        </row>
        <row r="31">
          <cell r="A31" t="str">
            <v>Ginásio</v>
          </cell>
        </row>
      </sheetData>
      <sheetData sheetId="57"/>
      <sheetData sheetId="58"/>
      <sheetData sheetId="59"/>
      <sheetData sheetId="60"/>
      <sheetData sheetId="61"/>
      <sheetData sheetId="62"/>
      <sheetData sheetId="63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Inf4anos"/>
      <sheetName val="IntAut4anos"/>
      <sheetName val="IntMec4anos"/>
      <sheetName val="IntMec"/>
      <sheetName val="IntInf"/>
      <sheetName val="IntAut"/>
      <sheetName val="LicMat"/>
      <sheetName val="ADS"/>
      <sheetName val="MecanicaPira"/>
      <sheetName val="FabMec (antigo)"/>
      <sheetName val="FabMec (novo) (real)"/>
      <sheetName val="FabMec (novo)"/>
      <sheetName val="ConcMecaBra"/>
      <sheetName val="ConcEletro20vagas"/>
      <sheetName val="ConcEletro"/>
      <sheetName val="ConcMSI"/>
      <sheetName val="EspecHum"/>
      <sheetName val="EspecLetras"/>
      <sheetName val="FICSolda"/>
      <sheetName val="Taquara"/>
      <sheetName val="MecaIFC"/>
      <sheetName val="MecaEESC"/>
      <sheetName val="IntMec (2018)"/>
      <sheetName val="IntAuto (2018)"/>
      <sheetName val="IntInfo (2018)"/>
      <sheetName val="ConcEletro (real)"/>
      <sheetName val="ECA"/>
      <sheetName val="OptativasSemestrais"/>
      <sheetName val="OptativasIntegrado (2018)"/>
      <sheetName val="Cadastro dos cursos"/>
      <sheetName val="Resumo das disciplinas"/>
      <sheetName val="Progressão temporal das turmas"/>
      <sheetName val="Alocação de docentes"/>
      <sheetName val="Alocação de ambientes"/>
      <sheetName val="Relatório consolidado"/>
      <sheetName val="LEIA-ME"/>
      <sheetName val="Tabela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3">
          <cell r="A3" t="str">
            <v>Artes</v>
          </cell>
        </row>
        <row r="4">
          <cell r="A4" t="str">
            <v>Automação</v>
          </cell>
        </row>
        <row r="5">
          <cell r="A5" t="str">
            <v>Biologia</v>
          </cell>
        </row>
        <row r="6">
          <cell r="A6" t="str">
            <v>Educação física</v>
          </cell>
        </row>
        <row r="7">
          <cell r="A7" t="str">
            <v>Espanhol</v>
          </cell>
        </row>
        <row r="8">
          <cell r="A8" t="str">
            <v>Filosofia</v>
          </cell>
        </row>
        <row r="9">
          <cell r="A9" t="str">
            <v>Física</v>
          </cell>
        </row>
        <row r="10">
          <cell r="A10" t="str">
            <v>Geografia</v>
          </cell>
        </row>
        <row r="11">
          <cell r="A11" t="str">
            <v>Gestão</v>
          </cell>
        </row>
        <row r="12">
          <cell r="A12" t="str">
            <v>História</v>
          </cell>
        </row>
        <row r="13">
          <cell r="A13" t="str">
            <v>Informática</v>
          </cell>
        </row>
        <row r="14">
          <cell r="A14" t="str">
            <v>Inglês</v>
          </cell>
        </row>
        <row r="15">
          <cell r="A15" t="str">
            <v>LIBRAS</v>
          </cell>
        </row>
        <row r="16">
          <cell r="A16" t="str">
            <v>Matemática</v>
          </cell>
        </row>
        <row r="17">
          <cell r="A17" t="str">
            <v>Mecânica</v>
          </cell>
        </row>
        <row r="18">
          <cell r="A18" t="str">
            <v>Pedagogia</v>
          </cell>
        </row>
        <row r="19">
          <cell r="A19" t="str">
            <v>Português</v>
          </cell>
        </row>
        <row r="20">
          <cell r="A20" t="str">
            <v>Química</v>
          </cell>
        </row>
        <row r="21">
          <cell r="A21" t="str">
            <v>Sociologia</v>
          </cell>
        </row>
        <row r="25">
          <cell r="A25" t="str">
            <v>Sala de aula</v>
          </cell>
        </row>
        <row r="26">
          <cell r="A26" t="str">
            <v>Laboratório de informática</v>
          </cell>
        </row>
        <row r="27">
          <cell r="A27" t="str">
            <v>Laboratório existente</v>
          </cell>
        </row>
        <row r="28">
          <cell r="A28" t="str">
            <v>Laboratório inexistente</v>
          </cell>
        </row>
        <row r="29">
          <cell r="A29" t="str">
            <v>EaD</v>
          </cell>
        </row>
        <row r="30">
          <cell r="A30" t="str">
            <v>Ginásio</v>
          </cell>
        </row>
      </sheetData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Inf4anos"/>
      <sheetName val="IntAut4anos"/>
      <sheetName val="IntMec4anos"/>
      <sheetName val="IntMec"/>
      <sheetName val="IntInf"/>
      <sheetName val="IntAut"/>
      <sheetName val="ECA 2022"/>
      <sheetName val="LicMat 2022"/>
      <sheetName val="LicMat (real)"/>
      <sheetName val="LicMat"/>
      <sheetName val="ADS"/>
      <sheetName val="MecanicaPira"/>
      <sheetName val="FabMec (antigo)"/>
      <sheetName val="ECA"/>
      <sheetName val="FabMec (novo) (real)"/>
      <sheetName val="FabMec (novo)"/>
      <sheetName val="ConcMecaHto"/>
      <sheetName val="ConcMecaBra"/>
      <sheetName val="ConcEletro20vagas"/>
      <sheetName val="ConcEletro"/>
      <sheetName val="FormacaoNLicenc"/>
      <sheetName val="ConcMSI (25 vagas)"/>
      <sheetName val="ConcMSI"/>
      <sheetName val="ConcEletroTurmaUnica"/>
      <sheetName val="EJAFICInfo"/>
      <sheetName val="EspecEduc"/>
      <sheetName val="EspecLetras"/>
      <sheetName val="EJAFICUsinagem"/>
      <sheetName val="EJAFICSolda"/>
      <sheetName val="Taquara"/>
      <sheetName val="MecaIFC"/>
      <sheetName val="MecaEESC"/>
      <sheetName val="ProejaIntMec"/>
      <sheetName val="IntMec (mínimo)"/>
      <sheetName val="IntMec (2018)"/>
      <sheetName val="IntAuto (mínimo)"/>
      <sheetName val="IntAuto (2018)"/>
      <sheetName val="IntInfo (mínimo)"/>
      <sheetName val="IntInfo (2018)"/>
      <sheetName val="ConcEletro (real)"/>
      <sheetName val="ECA (mínimo)"/>
      <sheetName val="OptativasSemestrais"/>
      <sheetName val="OptativasIntegrado (2018)"/>
      <sheetName val="EJAFICELETRO"/>
      <sheetName val="Cadastro dos cursos"/>
      <sheetName val="Resumo das disciplinas"/>
      <sheetName val="Progressão temporal das turmas"/>
      <sheetName val="Alocação de docentes"/>
      <sheetName val="Alocação de ambientes"/>
      <sheetName val="Relatório consolidado"/>
      <sheetName val="LEIA-ME"/>
      <sheetName val="Tabela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>
        <row r="3">
          <cell r="A3" t="str">
            <v>Artes</v>
          </cell>
        </row>
        <row r="4">
          <cell r="A4" t="str">
            <v>Automação</v>
          </cell>
        </row>
        <row r="5">
          <cell r="A5" t="str">
            <v>Biologia</v>
          </cell>
        </row>
        <row r="6">
          <cell r="A6" t="str">
            <v>Educação física</v>
          </cell>
        </row>
        <row r="7">
          <cell r="A7" t="str">
            <v>Espanhol</v>
          </cell>
        </row>
        <row r="8">
          <cell r="A8" t="str">
            <v>Filosofia</v>
          </cell>
        </row>
        <row r="9">
          <cell r="A9" t="str">
            <v>Física</v>
          </cell>
        </row>
        <row r="10">
          <cell r="A10" t="str">
            <v>Geografia</v>
          </cell>
        </row>
        <row r="11">
          <cell r="A11" t="str">
            <v>Gestão</v>
          </cell>
        </row>
        <row r="12">
          <cell r="A12" t="str">
            <v>História</v>
          </cell>
        </row>
        <row r="13">
          <cell r="A13" t="str">
            <v>Redes</v>
          </cell>
        </row>
        <row r="14">
          <cell r="A14" t="str">
            <v>Programação</v>
          </cell>
        </row>
        <row r="15">
          <cell r="A15" t="str">
            <v>Inglês</v>
          </cell>
        </row>
        <row r="16">
          <cell r="A16" t="str">
            <v>LIBRAS</v>
          </cell>
        </row>
        <row r="17">
          <cell r="A17" t="str">
            <v>Matemática</v>
          </cell>
        </row>
        <row r="18">
          <cell r="A18" t="str">
            <v>Mecânica</v>
          </cell>
        </row>
        <row r="19">
          <cell r="A19" t="str">
            <v>Pedagogia</v>
          </cell>
        </row>
        <row r="20">
          <cell r="A20" t="str">
            <v>Português</v>
          </cell>
        </row>
        <row r="21">
          <cell r="A21" t="str">
            <v>Química</v>
          </cell>
        </row>
        <row r="22">
          <cell r="A22" t="str">
            <v>Sociologia</v>
          </cell>
        </row>
        <row r="26">
          <cell r="A26" t="str">
            <v>Sala de aula</v>
          </cell>
        </row>
        <row r="27">
          <cell r="A27" t="str">
            <v>Laboratório de informática</v>
          </cell>
        </row>
        <row r="28">
          <cell r="A28" t="str">
            <v>Laboratório existente</v>
          </cell>
        </row>
        <row r="29">
          <cell r="A29" t="str">
            <v>Laboratório inexistente</v>
          </cell>
        </row>
        <row r="30">
          <cell r="A30" t="str">
            <v>EaD</v>
          </cell>
        </row>
        <row r="31">
          <cell r="A31" t="str">
            <v>Ginásio</v>
          </cell>
        </row>
      </sheetData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âmetros"/>
      <sheetName val="Grade - Eng. Autom."/>
      <sheetName val="Grade - Conc. Eletro. (ANTIGO)"/>
      <sheetName val="Grade - Conc. Eletro. (NOVO)"/>
      <sheetName val="Grade - Integ. Automação"/>
      <sheetName val="Grade - Conc. Manut. Sup."/>
      <sheetName val="Grade - Integ. Info atual"/>
      <sheetName val="Grade - ADS"/>
      <sheetName val="Grade - Conc. Fab. Mec. (ANTIG)"/>
      <sheetName val="Grade - Conc. Fab. Mec. (NOVO)"/>
      <sheetName val="Grade - Integ. Mecânica"/>
      <sheetName val="Grade - Lic. Mat."/>
    </sheetNames>
    <sheetDataSet>
      <sheetData sheetId="0" refreshError="1">
        <row r="3">
          <cell r="B3" t="str">
            <v>sala de aula</v>
          </cell>
          <cell r="C3" t="str">
            <v>Português</v>
          </cell>
        </row>
        <row r="4">
          <cell r="B4" t="str">
            <v>lab. Informática</v>
          </cell>
          <cell r="C4" t="str">
            <v>Libras</v>
          </cell>
        </row>
        <row r="5">
          <cell r="B5" t="str">
            <v>lab. Arquitetura de Computadores</v>
          </cell>
          <cell r="C5" t="str">
            <v>Espanhol</v>
          </cell>
        </row>
        <row r="6">
          <cell r="B6" t="str">
            <v>lab. Eletrônica</v>
          </cell>
          <cell r="C6" t="str">
            <v>Inglês</v>
          </cell>
        </row>
        <row r="7">
          <cell r="B7" t="str">
            <v>lab. Eletrotécnica</v>
          </cell>
          <cell r="C7" t="str">
            <v>Artes</v>
          </cell>
        </row>
        <row r="8">
          <cell r="B8" t="str">
            <v>lab. Controle</v>
          </cell>
          <cell r="C8" t="str">
            <v>Ed. Física</v>
          </cell>
        </row>
        <row r="9">
          <cell r="B9" t="str">
            <v>lab. Física</v>
          </cell>
          <cell r="C9" t="str">
            <v>Química</v>
          </cell>
        </row>
        <row r="10">
          <cell r="B10" t="str">
            <v>lab. Química</v>
          </cell>
          <cell r="C10" t="str">
            <v>Biologia</v>
          </cell>
        </row>
        <row r="11">
          <cell r="B11" t="str">
            <v>lab. Processos de Fabricação</v>
          </cell>
          <cell r="C11" t="str">
            <v>Sociologia</v>
          </cell>
        </row>
        <row r="12">
          <cell r="B12" t="str">
            <v>lab. Ensaios Mecânicos e Metalografia</v>
          </cell>
          <cell r="C12" t="str">
            <v>Filosofia</v>
          </cell>
        </row>
        <row r="13">
          <cell r="B13" t="str">
            <v>lab. CNC</v>
          </cell>
          <cell r="C13" t="str">
            <v>História</v>
          </cell>
        </row>
        <row r="14">
          <cell r="B14" t="str">
            <v xml:space="preserve">lab. Soldagem </v>
          </cell>
          <cell r="C14" t="str">
            <v>Geografia</v>
          </cell>
        </row>
        <row r="15">
          <cell r="B15" t="str">
            <v>lab. Hidráulica e Pneumática</v>
          </cell>
          <cell r="C15" t="str">
            <v>Física</v>
          </cell>
        </row>
        <row r="16">
          <cell r="B16" t="str">
            <v>lab. Metrologia e Controle</v>
          </cell>
          <cell r="C16" t="str">
            <v>Matemática</v>
          </cell>
        </row>
        <row r="17">
          <cell r="B17" t="str">
            <v>lab. Fundição</v>
          </cell>
          <cell r="C17" t="str">
            <v>Pedagogia</v>
          </cell>
        </row>
        <row r="18">
          <cell r="C18" t="str">
            <v>Gestão</v>
          </cell>
        </row>
        <row r="19">
          <cell r="C19" t="str">
            <v>Informatica - programação e banco de dados</v>
          </cell>
        </row>
        <row r="20">
          <cell r="C20" t="str">
            <v>Informatica - arquitetura de computadores</v>
          </cell>
        </row>
        <row r="21">
          <cell r="C21" t="str">
            <v>Mecânica</v>
          </cell>
        </row>
        <row r="22">
          <cell r="C22" t="str">
            <v>Eletroeletrônica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âmetros"/>
      <sheetName val="Grade - Eng. Autom."/>
      <sheetName val="Grade - Conc. Eletro. (ANTIGO)"/>
      <sheetName val="Grade - Conc. Eletro. (NOVO)"/>
      <sheetName val="Grade - Integ. Automação"/>
      <sheetName val="Grade - Conc. Manut. Sup."/>
      <sheetName val="Grade - Integ. Info atual"/>
      <sheetName val="Grade - ADS"/>
      <sheetName val="Grade - Conc. Fab. Mec. (ANTIG)"/>
      <sheetName val="Grade - Conc. Fab. Mec. (NOVO)"/>
      <sheetName val="Grade - Integ. Mecânica"/>
      <sheetName val="Grade - Lic. Mat."/>
    </sheetNames>
    <sheetDataSet>
      <sheetData sheetId="0" refreshError="1">
        <row r="3">
          <cell r="B3" t="str">
            <v>sala de aula</v>
          </cell>
          <cell r="C3" t="str">
            <v>Português</v>
          </cell>
        </row>
        <row r="4">
          <cell r="B4" t="str">
            <v>lab. Informática</v>
          </cell>
          <cell r="C4" t="str">
            <v>Libras</v>
          </cell>
        </row>
        <row r="5">
          <cell r="B5" t="str">
            <v>lab. Arquitetura de Computadores</v>
          </cell>
          <cell r="C5" t="str">
            <v>Espanhol</v>
          </cell>
        </row>
        <row r="6">
          <cell r="B6" t="str">
            <v>lab. Eletrônica</v>
          </cell>
          <cell r="C6" t="str">
            <v>Inglês</v>
          </cell>
        </row>
        <row r="7">
          <cell r="B7" t="str">
            <v>lab. Eletrotécnica</v>
          </cell>
          <cell r="C7" t="str">
            <v>Artes</v>
          </cell>
        </row>
        <row r="8">
          <cell r="B8" t="str">
            <v>lab. Controle</v>
          </cell>
          <cell r="C8" t="str">
            <v>Ed. Física</v>
          </cell>
        </row>
        <row r="9">
          <cell r="B9" t="str">
            <v>lab. Física</v>
          </cell>
          <cell r="C9" t="str">
            <v>Química</v>
          </cell>
        </row>
        <row r="10">
          <cell r="B10" t="str">
            <v>lab. Química</v>
          </cell>
          <cell r="C10" t="str">
            <v>Biologia</v>
          </cell>
        </row>
        <row r="11">
          <cell r="B11" t="str">
            <v>lab. Processos de Fabricação</v>
          </cell>
          <cell r="C11" t="str">
            <v>Sociologia</v>
          </cell>
        </row>
        <row r="12">
          <cell r="B12" t="str">
            <v>lab. Ensaios Mecânicos e Metalografia</v>
          </cell>
          <cell r="C12" t="str">
            <v>Filosofia</v>
          </cell>
        </row>
        <row r="13">
          <cell r="B13" t="str">
            <v>lab. CNC</v>
          </cell>
          <cell r="C13" t="str">
            <v>História</v>
          </cell>
        </row>
        <row r="14">
          <cell r="B14" t="str">
            <v xml:space="preserve">lab. Soldagem </v>
          </cell>
          <cell r="C14" t="str">
            <v>Geografia</v>
          </cell>
        </row>
        <row r="15">
          <cell r="B15" t="str">
            <v>lab. Hidráulica e Pneumática</v>
          </cell>
          <cell r="C15" t="str">
            <v>Física</v>
          </cell>
        </row>
        <row r="16">
          <cell r="B16" t="str">
            <v>lab. Metrologia e Controle</v>
          </cell>
          <cell r="C16" t="str">
            <v>Matemática</v>
          </cell>
        </row>
        <row r="17">
          <cell r="B17" t="str">
            <v>lab. Fundição</v>
          </cell>
          <cell r="C17" t="str">
            <v>Pedagogia</v>
          </cell>
        </row>
        <row r="18">
          <cell r="C18" t="str">
            <v>Gestão</v>
          </cell>
        </row>
        <row r="19">
          <cell r="C19" t="str">
            <v>Informatica - programação e banco de dados</v>
          </cell>
        </row>
        <row r="20">
          <cell r="C20" t="str">
            <v>Informatica - arquitetura de computadores</v>
          </cell>
        </row>
        <row r="21">
          <cell r="C21" t="str">
            <v>Mecânica</v>
          </cell>
        </row>
        <row r="22">
          <cell r="C22" t="str">
            <v>Eletroeletrônica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4854.823291319444" createdVersion="6" refreshedVersion="8" minRefreshableVersion="3" recordCount="27" xr:uid="{00000000-000A-0000-FFFF-FFFF00000000}">
  <cacheSource type="worksheet">
    <worksheetSource name="Tabela1"/>
  </cacheSource>
  <cacheFields count="43">
    <cacheField name="Curso" numFmtId="0">
      <sharedItems count="70">
        <s v="Técnico Concomitante em Fabricação Mecânica (novo - anual)"/>
        <s v="Licenciatura em matemática" u="1"/>
        <s v="PROEJA-FIC Auxiliar de Manutenção Elétrica" u="1"/>
        <s v="Engenharia Mecatrônica EESC-USP" u="1"/>
        <s v="Técnico Integrado em Informática (2018)" u="1"/>
        <s v="Técnico Concomitante em Manutenção e Suporte" u="1"/>
        <s v="Técnico Concomitante em Eletroeletrônica (anual)" u="1"/>
        <s v="Técnico Concomitante em Manutenção e Suporte (turma única) 2022" u="1"/>
        <s v="Especialização em Ed. Básica (projeto) turma 3 2022" u="1"/>
        <s v="Técnico Concomitante em Manutenção e Suporte (normalização)" u="1"/>
        <s v="Especialização em letras (projeto) turma 4 2022" u="1"/>
        <s v="Técnico Concomitante em Fabricação Mecânica (novo)" u="1"/>
        <s v="Especialização em humanidades (projeto) turma 1" u="1"/>
        <s v="Técnico Concomitante em Eletroeletrônica" u="1"/>
        <s v="Optativas anuais" u="1"/>
        <s v="Especialização em humanidades (projeto) turma 4" u="1"/>
        <s v="Especialização em letras (projeto) turma 3 2022" u="1"/>
        <s v="Técnico Concomitante em Fabricação Mecânica (vespertino, antigo)" u="1"/>
        <s v="Especialização em Ed. Básica (projeto) turma 2 2022" u="1"/>
        <s v="Engenharia Mecatrônica IFC" u="1"/>
        <s v="Tecnologia em Análise e Des. de Sistemas (noturno) 2022" u="1"/>
        <s v="Técnico Concomitante em Fabricação Mecânica (noturno, antigo)" u="1"/>
        <s v="Especialização em letras (projeto) turma 2 2022" u="1"/>
        <s v="Técnico Integrado em Mecânica" u="1"/>
        <s v="Engenharia de Controle e Automação 2022" u="1"/>
        <s v="Técnico Integrado em Automação (4 anos)" u="1"/>
        <s v="Engenharia de Controle e Automação" u="1"/>
        <s v="Especialização em letras (projeto) turma 1 2022" u="1"/>
        <s v="Tecnologia em Análise e Des. de Sistemas (matutino)" u="1"/>
        <s v="Tecnologia em Análise e Des. de Sistemas (noturno)" u="1"/>
        <s v="Especialização em Ed. Básica (projeto) turma 1 2022" u="1"/>
        <s v="PROEJA-FIC Auxiliar de Usinagem" u="1"/>
        <s v="Especialização em letras (projeto) turma 5" u="1"/>
        <s v="Técnico Concomitante em Fabricação Mecânica 2022" u="1"/>
        <s v="Especialização em humanidades (projeto) turma 3" u="1"/>
        <s v="Engenharia Mecânica Piracicaba IFSP" u="1"/>
        <s v="Técnico Integrado em Informática (4 anos)" u="1"/>
        <s v="Técnico Concomitante em Manutenção e Suporte (25 ingressantes)" u="1"/>
        <s v="Técnico Integrado em Informática" u="1"/>
        <s v="Licenciatura +" u="1"/>
        <s v="PROEJA-FIC Manutenção de Computadores" u="1"/>
        <s v="Tecnologia em Análise e Des. de Sistemas" u="1"/>
        <s v="Especialização em letras (projeto) turma 4" u="1"/>
        <s v="Técnico Concomitante em Eletroeletrônica (anual turma única) 2022" u="1"/>
        <s v="Técnico Integrado em Mecânica (2018)" u="1"/>
        <s v="Licenciatura em matemática (semestral)" u="1"/>
        <s v="Técnico Concomitante em Fabricação Mecânica (novo)(1vez)" u="1"/>
        <s v="Técnico Concomitante em Manutenção e Suporte (turma única)" u="1"/>
        <s v="Taquara Branca" u="1"/>
        <s v="Técnico Integrado em Automação (2018)" u="1"/>
        <s v="Técnico Concomitante em Eletroeletrônica (1vez)" u="1"/>
        <s v="Optativas semestrais" u="1"/>
        <s v="Licenciatura em Matematica 2022" u="1"/>
        <s v="Especialização em letras (projeto)" u="1"/>
        <s v="Especialização em letras (projeto) turma 3" u="1"/>
        <s v="Técnico Integrado em Mecânica (4 anos)" u="1"/>
        <s v="Técnico Concomitante em Mecatrônica (Estudos)" u="1"/>
        <s v="Técnico Concomitante em Mecatrônica (Bragança)" u="1"/>
        <s v="Técnico Concomitante em Eletroeletrônica (anual turma única)" u="1"/>
        <s v="PROEJA-FIC Auxiliar de Soldagem" u="1"/>
        <s v="PROEJA-FIC em auxiliar de soldagem" u="1"/>
        <s v="Proeja Médio Mecânica" u="1"/>
        <s v="Técnico Integrado em Automação" u="1"/>
        <s v="Especialização em letras (projeto) turma 2" u="1"/>
        <s v="Engenharia de Controle e Automação (contra-semestre)" u="1"/>
        <s v="Especialização em humanidades (projeto) turma 2" u="1"/>
        <s v="Técnico Concomitante em Manutenção e Suporte (1vez)" u="1"/>
        <s v="Especialização em humanidades (projeto)" u="1"/>
        <s v="Especialização em Ed. Básica (projeto) turma 4 2022" u="1"/>
        <s v="Especialização em letras (projeto) turma 1" u="1"/>
      </sharedItems>
    </cacheField>
    <cacheField name="Período" numFmtId="0">
      <sharedItems count="14">
        <s v="1º Semestre"/>
        <s v="2º Semestre"/>
        <s v="3º Semestre"/>
        <s v="4º Semestre"/>
        <s v="10º Semestre" u="1"/>
        <s v="4ª Série" u="1"/>
        <s v="8º Semestre" u="1"/>
        <s v="2ª Série" u="1"/>
        <s v="6º Semestre" u="1"/>
        <s v="9º Semestre" u="1"/>
        <s v="3ª Série" u="1"/>
        <s v="7º Semestre" u="1"/>
        <s v="1ª Série" u="1"/>
        <s v="5º Semestre" u="1"/>
      </sharedItems>
    </cacheField>
    <cacheField name="Oferta" numFmtId="0">
      <sharedItems/>
    </cacheField>
    <cacheField name="Componente" numFmtId="0">
      <sharedItems/>
    </cacheField>
    <cacheField name="Código da disciplina" numFmtId="0">
      <sharedItems/>
    </cacheField>
    <cacheField name="Carga semanal (aulas)" numFmtId="0">
      <sharedItems containsSemiMixedTypes="0" containsString="0" containsNumber="1" containsInteger="1" minValue="2" maxValue="4"/>
    </cacheField>
    <cacheField name="No de professores" numFmtId="0">
      <sharedItems containsSemiMixedTypes="0" containsString="0" containsNumber="1" containsInteger="1" minValue="1" maxValue="2"/>
    </cacheField>
    <cacheField name="Atribuição" numFmtId="0">
      <sharedItems containsMixedTypes="1" containsNumber="1" containsInteger="1" minValue="0" maxValue="633333333333333" count="7">
        <s v="Mecânica"/>
        <s v="Português"/>
        <s v="Redes"/>
        <s v="Gestão"/>
        <n v="0" u="1"/>
        <n v="126666666666667" u="1"/>
        <n v="633333333333333" u="1"/>
      </sharedItems>
    </cacheField>
    <cacheField name="Ambiente" numFmtId="0">
      <sharedItems containsMixedTypes="1" containsNumber="1" containsInteger="1" minValue="0" maxValue="0" count="5">
        <s v="sala de aula"/>
        <s v="Laboratório existente"/>
        <s v="Laboratório de informática"/>
        <s v="lab. Informática"/>
        <n v="0" u="1"/>
      </sharedItems>
    </cacheField>
    <cacheField name="Aula-docente semanal" numFmtId="0">
      <sharedItems containsSemiMixedTypes="0" containsString="0" containsNumber="1" containsInteger="1" minValue="2" maxValue="8"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Coluna4" numFmtId="0">
      <sharedItems containsNonDate="0" containsString="0" containsBlank="1"/>
    </cacheField>
    <cacheField name="Coluna5" numFmtId="0">
      <sharedItems containsNonDate="0" containsString="0" containsBlank="1"/>
    </cacheField>
    <cacheField name="Coluna6" numFmtId="0">
      <sharedItems containsNonDate="0" containsString="0" containsBlank="1"/>
    </cacheField>
    <cacheField name="Coluna7" numFmtId="0">
      <sharedItems containsNonDate="0" containsString="0" containsBlank="1"/>
    </cacheField>
    <cacheField name="Coluna8" numFmtId="0">
      <sharedItems containsNonDate="0" containsString="0" containsBlank="1"/>
    </cacheField>
    <cacheField name="Coluna9" numFmtId="0">
      <sharedItems containsNonDate="0" containsString="0" containsBlank="1"/>
    </cacheField>
    <cacheField name="Coluna10" numFmtId="0">
      <sharedItems containsNonDate="0" containsString="0" containsBlank="1"/>
    </cacheField>
    <cacheField name="Coluna11" numFmtId="0">
      <sharedItems containsNonDate="0" containsString="0" containsBlank="1"/>
    </cacheField>
    <cacheField name="Coluna12" numFmtId="0">
      <sharedItems containsNonDate="0" containsString="0" containsBlank="1"/>
    </cacheField>
    <cacheField name="Coluna13" numFmtId="0">
      <sharedItems containsNonDate="0" containsString="0" containsBlank="1"/>
    </cacheField>
    <cacheField name="Coluna14" numFmtId="0">
      <sharedItems containsNonDate="0" containsString="0" containsBlank="1"/>
    </cacheField>
    <cacheField name="Coluna15" numFmtId="0">
      <sharedItems containsNonDate="0" containsString="0" containsBlank="1"/>
    </cacheField>
    <cacheField name="Coluna16" numFmtId="0">
      <sharedItems containsNonDate="0" containsString="0" containsBlank="1"/>
    </cacheField>
    <cacheField name="Coluna17" numFmtId="0">
      <sharedItems containsNonDate="0" containsString="0" containsBlank="1"/>
    </cacheField>
    <cacheField name="Coluna18" numFmtId="0">
      <sharedItems containsNonDate="0" containsString="0" containsBlank="1"/>
    </cacheField>
    <cacheField name="Coluna19" numFmtId="0">
      <sharedItems containsNonDate="0" containsString="0" containsBlank="1"/>
    </cacheField>
    <cacheField name="Coluna20" numFmtId="0">
      <sharedItems containsNonDate="0" containsString="0" containsBlank="1"/>
    </cacheField>
    <cacheField name="Coluna21" numFmtId="0">
      <sharedItems containsNonDate="0" containsString="0" containsBlank="1"/>
    </cacheField>
    <cacheField name="Coluna22" numFmtId="0">
      <sharedItems containsNonDate="0" containsString="0" containsBlank="1"/>
    </cacheField>
    <cacheField name="Coluna23" numFmtId="0">
      <sharedItems containsNonDate="0" containsString="0" containsBlank="1"/>
    </cacheField>
    <cacheField name="Coluna24" numFmtId="0">
      <sharedItems containsNonDate="0" containsString="0" containsBlank="1"/>
    </cacheField>
    <cacheField name="Coluna25" numFmtId="0">
      <sharedItems containsNonDate="0" containsString="0" containsBlank="1"/>
    </cacheField>
    <cacheField name="Coluna26" numFmtId="0">
      <sharedItems containsNonDate="0" containsString="0" containsBlank="1"/>
    </cacheField>
    <cacheField name="Coluna27" numFmtId="0">
      <sharedItems containsNonDate="0" containsString="0" containsBlank="1"/>
    </cacheField>
    <cacheField name="Coluna28" numFmtId="0">
      <sharedItems containsNonDate="0" containsString="0" containsBlank="1"/>
    </cacheField>
    <cacheField name="Coluna29" numFmtId="0">
      <sharedItems containsNonDate="0" containsString="0" containsBlank="1"/>
    </cacheField>
    <cacheField name="Coluna30" numFmtId="0">
      <sharedItems containsNonDate="0" containsString="0" containsBlank="1"/>
    </cacheField>
    <cacheField name="Coluna31" numFmtId="0">
      <sharedItems containsNonDate="0" containsString="0" containsBlank="1"/>
    </cacheField>
    <cacheField name="Coluna32" numFmtId="0">
      <sharedItems containsNonDate="0" containsString="0" containsBlank="1"/>
    </cacheField>
    <cacheField name="Coluna3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s v="Noturno"/>
    <s v="Tecnologia dos Materiais"/>
    <s v="TCMG1"/>
    <n v="4"/>
    <n v="1"/>
    <x v="0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0"/>
    <s v="Noturno"/>
    <s v="Redação Técnica"/>
    <s v="RETG1"/>
    <n v="2"/>
    <n v="1"/>
    <x v="1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0"/>
    <s v="Noturno"/>
    <s v="Metrologia"/>
    <s v="METG1"/>
    <n v="2"/>
    <n v="2"/>
    <x v="0"/>
    <x v="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0"/>
    <s v="Noturno"/>
    <s v="Desenho Técnico Mecânico"/>
    <s v="DTMG1"/>
    <n v="4"/>
    <n v="1"/>
    <x v="0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0"/>
    <s v="Noturno"/>
    <s v="Matemática Aplicada"/>
    <s v="MATG1"/>
    <n v="4"/>
    <n v="1"/>
    <x v="0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0"/>
    <s v="Noturno"/>
    <s v="Organização e Segurança no Trabalho"/>
    <s v="OSAG1"/>
    <n v="2"/>
    <n v="1"/>
    <x v="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0"/>
    <s v="Noturno"/>
    <s v="Informática Básica"/>
    <s v="INFG1"/>
    <n v="2"/>
    <n v="2"/>
    <x v="2"/>
    <x v="2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1"/>
    <s v="Noturno"/>
    <s v="Ensaios Mecânicos"/>
    <s v="ESMG2"/>
    <n v="2"/>
    <n v="2"/>
    <x v="0"/>
    <x v="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1"/>
    <s v="Noturno"/>
    <s v="Usinagem Convencional I"/>
    <s v="USCG2"/>
    <n v="4"/>
    <n v="2"/>
    <x v="0"/>
    <x v="1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1"/>
    <s v="Noturno"/>
    <s v="Processos Metalúrgicos de Fabricação"/>
    <s v="PMFG2"/>
    <n v="4"/>
    <n v="1"/>
    <x v="0"/>
    <x v="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1"/>
    <s v="Noturno"/>
    <s v="Desenho Técnico Assistido por Computador"/>
    <s v="DACG2"/>
    <n v="4"/>
    <n v="2"/>
    <x v="0"/>
    <x v="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1"/>
    <s v="Noturno"/>
    <s v="Tratamento Térmico e Metalografia"/>
    <s v="TTMG2"/>
    <n v="2"/>
    <n v="1"/>
    <x v="0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1"/>
    <s v="Noturno"/>
    <s v="Resistência dos Materiais"/>
    <s v="RESG2"/>
    <n v="4"/>
    <n v="1"/>
    <x v="0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Noturno"/>
    <s v="Usinagem CNC I"/>
    <s v="CNCG3"/>
    <n v="4"/>
    <n v="1"/>
    <x v="0"/>
    <x v="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Noturno"/>
    <s v="Eletrotécnica Industrial"/>
    <s v="ELIG3"/>
    <n v="2"/>
    <n v="1"/>
    <x v="0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Noturno"/>
    <s v="Usinagem Convencional II"/>
    <s v="USCG3"/>
    <n v="4"/>
    <n v="1"/>
    <x v="0"/>
    <x v="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Noturno"/>
    <s v="Fundamentos de Soldagem I"/>
    <s v="SOLG3"/>
    <n v="2"/>
    <n v="1"/>
    <x v="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Noturno"/>
    <s v="Ensaios Não Destrutivos"/>
    <s v="ENDG3"/>
    <n v="2"/>
    <n v="1"/>
    <x v="0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Noturno"/>
    <s v="Hidráulica e Pneumática"/>
    <s v="HEPG3"/>
    <n v="4"/>
    <n v="1"/>
    <x v="0"/>
    <x v="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2"/>
    <s v="Noturno"/>
    <s v="Elementos de Máquinas"/>
    <s v="ELMG3"/>
    <n v="2"/>
    <n v="1"/>
    <x v="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3"/>
    <s v="Noturno"/>
    <s v="Gestão Empresarial e Empreendedorismo"/>
    <s v="GEPG4"/>
    <n v="2"/>
    <n v="1"/>
    <x v="3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3"/>
    <s v="Noturno"/>
    <s v="Robótica Industrial, CAE e CAM"/>
    <s v="RICG4"/>
    <n v="4"/>
    <n v="1"/>
    <x v="0"/>
    <x v="3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3"/>
    <s v="Noturno"/>
    <s v="Manutenção Mecânica"/>
    <s v="MANG4"/>
    <n v="2"/>
    <n v="1"/>
    <x v="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3"/>
    <s v="Noturno"/>
    <s v="Usinagem CNC II"/>
    <s v="CNCG4"/>
    <n v="4"/>
    <n v="1"/>
    <x v="0"/>
    <x v="1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3"/>
    <s v="Noturno"/>
    <s v="Fundamentos de Soldagem II"/>
    <s v="SOLG4"/>
    <n v="2"/>
    <n v="1"/>
    <x v="0"/>
    <x v="1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3"/>
    <s v="Noturno"/>
    <s v="Máquinas Térmicas e de Fluidos"/>
    <s v="MTFG4"/>
    <n v="2"/>
    <n v="1"/>
    <x v="0"/>
    <x v="0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x v="3"/>
    <s v="Noturno"/>
    <s v="Projeto Integrador"/>
    <s v="PJMG4"/>
    <n v="4"/>
    <n v="1"/>
    <x v="0"/>
    <x v="0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Tabela dinâmica2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3:F21" firstHeaderRow="1" firstDataRow="2" firstDataCol="1"/>
  <pivotFields count="43">
    <pivotField axis="axisRow" showAll="0">
      <items count="71">
        <item m="1" x="26"/>
        <item m="1" x="1"/>
        <item m="1" x="13"/>
        <item m="1" x="6"/>
        <item m="1" x="21"/>
        <item x="0"/>
        <item m="1" x="11"/>
        <item m="1" x="17"/>
        <item m="1" x="62"/>
        <item m="1" x="23"/>
        <item m="1" x="38"/>
        <item m="1" x="41"/>
        <item m="1" x="5"/>
        <item m="1" x="29"/>
        <item m="1" x="28"/>
        <item m="1" x="48"/>
        <item m="1" x="57"/>
        <item m="1" x="3"/>
        <item m="1" x="19"/>
        <item m="1" x="35"/>
        <item m="1" x="55"/>
        <item m="1" x="25"/>
        <item m="1" x="36"/>
        <item m="1" x="44"/>
        <item m="1" x="4"/>
        <item m="1" x="49"/>
        <item m="1" x="53"/>
        <item m="1" x="67"/>
        <item m="1" x="14"/>
        <item m="1" x="51"/>
        <item m="1" x="60"/>
        <item m="1" x="2"/>
        <item m="1" x="45"/>
        <item m="1" x="39"/>
        <item m="1" x="64"/>
        <item m="1" x="61"/>
        <item m="1" x="56"/>
        <item m="1" x="37"/>
        <item m="1" x="46"/>
        <item m="1" x="59"/>
        <item m="1" x="31"/>
        <item m="1" x="66"/>
        <item m="1" x="9"/>
        <item m="1" x="58"/>
        <item m="1" x="47"/>
        <item m="1" x="12"/>
        <item m="1" x="69"/>
        <item m="1" x="65"/>
        <item m="1" x="63"/>
        <item m="1" x="34"/>
        <item m="1" x="54"/>
        <item m="1" x="15"/>
        <item m="1" x="42"/>
        <item m="1" x="32"/>
        <item m="1" x="40"/>
        <item m="1" x="50"/>
        <item m="1" x="24"/>
        <item m="1" x="20"/>
        <item m="1" x="30"/>
        <item m="1" x="18"/>
        <item m="1" x="8"/>
        <item m="1" x="68"/>
        <item m="1" x="27"/>
        <item m="1" x="22"/>
        <item m="1" x="16"/>
        <item m="1" x="10"/>
        <item m="1" x="43"/>
        <item m="1" x="7"/>
        <item m="1" x="52"/>
        <item m="1" x="33"/>
        <item t="default"/>
      </items>
    </pivotField>
    <pivotField axis="axisRow" showAll="0">
      <items count="15">
        <item m="1" x="4"/>
        <item m="1" x="12"/>
        <item x="0"/>
        <item m="1" x="7"/>
        <item x="1"/>
        <item m="1" x="10"/>
        <item x="2"/>
        <item x="3"/>
        <item m="1" x="13"/>
        <item m="1" x="8"/>
        <item m="1" x="11"/>
        <item m="1" x="6"/>
        <item m="1" x="9"/>
        <item m="1" x="5"/>
        <item t="default"/>
      </items>
    </pivotField>
    <pivotField showAll="0"/>
    <pivotField showAll="0"/>
    <pivotField showAll="0"/>
    <pivotField showAll="0"/>
    <pivotField showAll="0"/>
    <pivotField axis="axisCol" showAll="0">
      <items count="8">
        <item x="3"/>
        <item x="0"/>
        <item x="1"/>
        <item x="2"/>
        <item m="1" x="5"/>
        <item m="1" x="6"/>
        <item m="1" x="4"/>
        <item t="default"/>
      </items>
    </pivotField>
    <pivotField axis="axisRow" showAll="0">
      <items count="6">
        <item x="3"/>
        <item x="2"/>
        <item x="1"/>
        <item x="0"/>
        <item m="1"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1"/>
    <field x="8"/>
  </rowFields>
  <rowItems count="17">
    <i>
      <x v="5"/>
    </i>
    <i r="1">
      <x v="2"/>
    </i>
    <i r="2">
      <x v="1"/>
    </i>
    <i r="2">
      <x v="2"/>
    </i>
    <i r="2">
      <x v="3"/>
    </i>
    <i r="1">
      <x v="4"/>
    </i>
    <i r="2">
      <x v="1"/>
    </i>
    <i r="2">
      <x v="2"/>
    </i>
    <i r="2">
      <x v="3"/>
    </i>
    <i r="1">
      <x v="6"/>
    </i>
    <i r="2">
      <x v="2"/>
    </i>
    <i r="2">
      <x v="3"/>
    </i>
    <i r="1">
      <x v="7"/>
    </i>
    <i r="2">
      <x/>
    </i>
    <i r="2">
      <x v="2"/>
    </i>
    <i r="2">
      <x v="3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Soma de Aula-docente semanal" fld="9" baseField="0" baseItem="0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ListaDeCursos" displayName="ListaDeCursos" ref="F2:T300" totalsRowShown="0" headerRowDxfId="32" dataDxfId="31" tableBorderDxfId="30" headerRowCellStyle="Título 2">
  <autoFilter ref="F2:T300" xr:uid="{00000000-0009-0000-0100-000002000000}"/>
  <sortState xmlns:xlrd2="http://schemas.microsoft.com/office/spreadsheetml/2017/richdata2" ref="F3:T300">
    <sortCondition descending="1" ref="F2:F300"/>
  </sortState>
  <tableColumns count="15">
    <tableColumn id="11" xr3:uid="{00000000-0010-0000-0000-00000B000000}" name="Incluir" dataDxfId="29"/>
    <tableColumn id="1" xr3:uid="{00000000-0010-0000-0000-000001000000}" name="Nome" dataDxfId="28"/>
    <tableColumn id="2" xr3:uid="{00000000-0010-0000-0000-000002000000}" name="Tipo " dataDxfId="27"/>
    <tableColumn id="3" xr3:uid="{00000000-0010-0000-0000-000003000000}" name="Periodicidade de ingresso" dataDxfId="26"/>
    <tableColumn id="4" xr3:uid="{00000000-0010-0000-0000-000004000000}" name="Período de oferecimento" dataDxfId="25"/>
    <tableColumn id="5" xr3:uid="{00000000-0010-0000-0000-000005000000}" name="Duração do módulo" dataDxfId="24"/>
    <tableColumn id="6" xr3:uid="{00000000-0010-0000-0000-000006000000}" name="Duração" dataDxfId="23"/>
    <tableColumn id="7" xr3:uid="{00000000-0010-0000-0000-000007000000}" name="Quantidade de ingressantes" dataDxfId="22"/>
    <tableColumn id="8" xr3:uid="{00000000-0010-0000-0000-000008000000}" name="Primeira turma ingressante" dataDxfId="21"/>
    <tableColumn id="9" xr3:uid="{00000000-0010-0000-0000-000009000000}" name="Última turma ingressante" dataDxfId="20"/>
    <tableColumn id="10" xr3:uid="{00000000-0010-0000-0000-00000A000000}" name="Grade" dataDxfId="19"/>
    <tableColumn id="14" xr3:uid="{00000000-0010-0000-0000-00000E000000}" name="Carga horária mínima" dataDxfId="18"/>
    <tableColumn id="15" xr3:uid="{00000000-0010-0000-0000-00000F000000}" name="FECH" dataDxfId="17">
      <calculatedColumnFormula>IF(OR(ListaDeCursos[[#This Row],[Tipo ]]="FIC",ListaDeCursos[[#This Row],[Tipo ]]="PROEJA-FIC"),ListaDeCursos[[#This Row],[Carga horária mínima]]/800,1)</calculatedColumnFormula>
    </tableColumn>
    <tableColumn id="12" xr3:uid="{00000000-0010-0000-0000-00000C000000}" name="Fator de esforço" dataDxfId="16"/>
    <tableColumn id="13" xr3:uid="{00000000-0010-0000-0000-00000D000000}" name="FENC" dataDxfId="15">
      <calculatedColumnFormula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AQ28" totalsRowShown="0" headerRowDxfId="14" headerRowCellStyle="Título">
  <autoFilter ref="A1:AQ28" xr:uid="{00000000-0009-0000-0100-000001000000}">
    <filterColumn colId="7">
      <filters>
        <filter val="Automação"/>
      </filters>
    </filterColumn>
  </autoFilter>
  <tableColumns count="43">
    <tableColumn id="1" xr3:uid="{00000000-0010-0000-0100-000001000000}" name="Curso"/>
    <tableColumn id="2" xr3:uid="{00000000-0010-0000-0100-000002000000}" name="Período"/>
    <tableColumn id="10" xr3:uid="{00000000-0010-0000-0100-00000A000000}" name="Oferta"/>
    <tableColumn id="3" xr3:uid="{00000000-0010-0000-0100-000003000000}" name="Componente"/>
    <tableColumn id="4" xr3:uid="{00000000-0010-0000-0100-000004000000}" name="Código da disciplina"/>
    <tableColumn id="5" xr3:uid="{00000000-0010-0000-0100-000005000000}" name="Carga semanal (aulas)" dataDxfId="13"/>
    <tableColumn id="6" xr3:uid="{00000000-0010-0000-0100-000006000000}" name="No de professores" dataDxfId="12"/>
    <tableColumn id="7" xr3:uid="{00000000-0010-0000-0100-000007000000}" name="Atribuição"/>
    <tableColumn id="8" xr3:uid="{00000000-0010-0000-0100-000008000000}" name="Ambiente"/>
    <tableColumn id="9" xr3:uid="{00000000-0010-0000-0100-000009000000}" name="Aula-docente semanal" dataDxfId="11">
      <calculatedColumnFormula>Tabela1[[#This Row],[No de professores]]*Tabela1[[#This Row],[Carga semanal (aulas)]]</calculatedColumnFormula>
    </tableColumn>
    <tableColumn id="11" xr3:uid="{EA25EA51-3650-43CB-9315-6FDCAA8015B8}" name="Coluna1"/>
    <tableColumn id="12" xr3:uid="{A3F47DA0-8022-4729-85D5-70D97FFB8ABC}" name="Coluna2"/>
    <tableColumn id="13" xr3:uid="{241C7A61-19FB-45D6-9070-E557D52DB601}" name="Coluna3"/>
    <tableColumn id="14" xr3:uid="{977B1B24-C0E1-4EBE-AF25-97AD381FA0BD}" name="Coluna4"/>
    <tableColumn id="15" xr3:uid="{83A8FF96-4A6F-4590-9D07-9C47356D1673}" name="Coluna5"/>
    <tableColumn id="16" xr3:uid="{1DC3CDE7-6CE4-453A-A7DD-8C966E131F61}" name="Coluna6" dataDxfId="10"/>
    <tableColumn id="17" xr3:uid="{890D7A29-F07C-4A17-9E15-3E290276E5CD}" name="Coluna7"/>
    <tableColumn id="18" xr3:uid="{6EC17DCF-A07F-4582-B8DA-91FD38681FBD}" name="Coluna8"/>
    <tableColumn id="19" xr3:uid="{5459E10B-EAE0-4751-9C9E-E817AB253C5B}" name="Coluna9"/>
    <tableColumn id="20" xr3:uid="{C2691762-35C5-4CB2-840D-35B6ED5AF6F8}" name="Coluna10"/>
    <tableColumn id="21" xr3:uid="{25CC1DCA-CC41-4DB9-B5FE-2F0245758919}" name="Coluna11"/>
    <tableColumn id="22" xr3:uid="{ADE9132D-5A3D-4AC8-AD2A-3626647F2B8A}" name="Coluna12"/>
    <tableColumn id="23" xr3:uid="{F196C3EB-A091-4D81-B414-B80BBE0B7BA3}" name="Coluna13"/>
    <tableColumn id="24" xr3:uid="{DFB317AB-7326-4B23-A213-E2CDC5C863CA}" name="Coluna14"/>
    <tableColumn id="25" xr3:uid="{39A52D9B-0D6B-4B69-94DA-CFDC36998C55}" name="Coluna15"/>
    <tableColumn id="26" xr3:uid="{99E2F4DA-195F-4DA1-A212-3318DE06182D}" name="Coluna16"/>
    <tableColumn id="27" xr3:uid="{2A0BAD5C-045F-4B4A-99E7-F00F7D91465D}" name="Coluna17"/>
    <tableColumn id="28" xr3:uid="{244F242A-EB9C-4588-8255-063378CDD773}" name="Coluna18"/>
    <tableColumn id="29" xr3:uid="{2569DB74-9933-4A88-9B54-93758F4BF76A}" name="Coluna19"/>
    <tableColumn id="30" xr3:uid="{357D5028-50BF-4F08-A32E-1F1870A91E5F}" name="Coluna20"/>
    <tableColumn id="31" xr3:uid="{D7584F73-7510-4F58-B995-65E4C50750AF}" name="Coluna21"/>
    <tableColumn id="32" xr3:uid="{42789604-F9EB-4DDF-BEB6-9EF03B30160D}" name="Coluna22"/>
    <tableColumn id="33" xr3:uid="{D4117DCB-83A2-4F63-9D51-A2E1267B69A4}" name="Coluna23"/>
    <tableColumn id="34" xr3:uid="{75B6A293-1D57-4EDA-9209-F7106B2C2084}" name="Coluna24"/>
    <tableColumn id="35" xr3:uid="{408399FC-D9AB-4C4A-9FC9-D86E1AFE6640}" name="Coluna25"/>
    <tableColumn id="36" xr3:uid="{B449F400-72F4-4377-9BBE-937B75EAB41F}" name="Coluna26"/>
    <tableColumn id="37" xr3:uid="{C09CEB96-58B0-4979-A056-8ED378EF1252}" name="Coluna27"/>
    <tableColumn id="38" xr3:uid="{9FAAC9C2-9C0B-4E4D-917E-8645A7332908}" name="Coluna28"/>
    <tableColumn id="39" xr3:uid="{B92BC639-4865-4B4B-AFE5-16FF9FC03F77}" name="Coluna29"/>
    <tableColumn id="40" xr3:uid="{1A28AFE1-A14D-412A-A0DE-5671B7569E6B}" name="Coluna30"/>
    <tableColumn id="41" xr3:uid="{B0C16602-093B-452E-841A-92BE024B9F48}" name="Coluna31"/>
    <tableColumn id="42" xr3:uid="{369C8A3F-8F54-4A3A-B163-71ABD635017D}" name="Coluna32"/>
    <tableColumn id="43" xr3:uid="{EE8F0655-6FEE-4009-A129-F53D3BD83352}" name="Coluna33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4" Type="http://schemas.openxmlformats.org/officeDocument/2006/relationships/image" Target="../media/image2.emf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3">
    <tabColor theme="6" tint="-0.249977111117893"/>
  </sheetPr>
  <dimension ref="A1:J67"/>
  <sheetViews>
    <sheetView workbookViewId="0">
      <selection activeCell="I5" sqref="I1:I1048576"/>
    </sheetView>
  </sheetViews>
  <sheetFormatPr defaultColWidth="9.140625" defaultRowHeight="15" x14ac:dyDescent="0.25"/>
  <cols>
    <col min="1" max="1" width="7.140625" customWidth="1"/>
    <col min="2" max="2" width="50.8554687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1023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265</v>
      </c>
      <c r="B5" s="40" t="s">
        <v>266</v>
      </c>
      <c r="C5" s="41" t="s">
        <v>267</v>
      </c>
      <c r="D5" s="42" t="s">
        <v>60</v>
      </c>
      <c r="E5" s="43">
        <v>1</v>
      </c>
      <c r="F5" s="42">
        <v>2</v>
      </c>
      <c r="G5" s="44">
        <f>F5*$F$2</f>
        <v>76</v>
      </c>
      <c r="H5" s="45">
        <f t="shared" ref="H5:H36" si="0">(G5)*$C$67/60</f>
        <v>63.333333333333336</v>
      </c>
      <c r="I5" s="47" t="s">
        <v>18</v>
      </c>
      <c r="J5" s="46" t="s">
        <v>230</v>
      </c>
    </row>
    <row r="6" spans="1:10" x14ac:dyDescent="0.25">
      <c r="A6" s="504"/>
      <c r="B6" s="40" t="s">
        <v>268</v>
      </c>
      <c r="C6" s="48" t="s">
        <v>269</v>
      </c>
      <c r="D6" s="42" t="s">
        <v>54</v>
      </c>
      <c r="E6" s="42">
        <v>2</v>
      </c>
      <c r="F6" s="42">
        <v>4</v>
      </c>
      <c r="G6" s="44">
        <f t="shared" ref="G6:G60" si="1">F6*$F$2</f>
        <v>152</v>
      </c>
      <c r="H6" s="45">
        <f t="shared" si="0"/>
        <v>126.66666666666667</v>
      </c>
      <c r="I6" s="47" t="s">
        <v>18</v>
      </c>
      <c r="J6" s="46" t="s">
        <v>232</v>
      </c>
    </row>
    <row r="7" spans="1:10" x14ac:dyDescent="0.25">
      <c r="A7" s="504"/>
      <c r="B7" s="40" t="s">
        <v>249</v>
      </c>
      <c r="C7" s="41" t="s">
        <v>250</v>
      </c>
      <c r="D7" s="42" t="s">
        <v>60</v>
      </c>
      <c r="E7" s="43">
        <v>1</v>
      </c>
      <c r="F7" s="42">
        <v>4</v>
      </c>
      <c r="G7" s="44">
        <f t="shared" si="1"/>
        <v>152</v>
      </c>
      <c r="H7" s="45">
        <f t="shared" si="0"/>
        <v>126.66666666666667</v>
      </c>
      <c r="I7" s="47" t="s">
        <v>14</v>
      </c>
      <c r="J7" s="46" t="s">
        <v>230</v>
      </c>
    </row>
    <row r="8" spans="1:10" x14ac:dyDescent="0.25">
      <c r="A8" s="504"/>
      <c r="B8" s="40" t="s">
        <v>254</v>
      </c>
      <c r="C8" s="41" t="s">
        <v>255</v>
      </c>
      <c r="D8" s="42" t="s">
        <v>54</v>
      </c>
      <c r="E8" s="43">
        <v>1</v>
      </c>
      <c r="F8" s="42">
        <v>2</v>
      </c>
      <c r="G8" s="44">
        <f t="shared" si="1"/>
        <v>76</v>
      </c>
      <c r="H8" s="45">
        <f t="shared" si="0"/>
        <v>63.333333333333336</v>
      </c>
      <c r="I8" s="47" t="s">
        <v>13</v>
      </c>
      <c r="J8" s="46" t="s">
        <v>230</v>
      </c>
    </row>
    <row r="9" spans="1:10" x14ac:dyDescent="0.25">
      <c r="A9" s="504"/>
      <c r="B9" s="40" t="s">
        <v>15</v>
      </c>
      <c r="C9" s="41" t="s">
        <v>256</v>
      </c>
      <c r="D9" s="42" t="s">
        <v>54</v>
      </c>
      <c r="E9" s="43">
        <v>1</v>
      </c>
      <c r="F9" s="42">
        <v>2</v>
      </c>
      <c r="G9" s="44">
        <f t="shared" si="1"/>
        <v>76</v>
      </c>
      <c r="H9" s="45">
        <f t="shared" si="0"/>
        <v>63.333333333333336</v>
      </c>
      <c r="I9" s="47" t="s">
        <v>15</v>
      </c>
      <c r="J9" s="46" t="s">
        <v>230</v>
      </c>
    </row>
    <row r="10" spans="1:10" x14ac:dyDescent="0.25">
      <c r="A10" s="504"/>
      <c r="B10" s="40" t="s">
        <v>21</v>
      </c>
      <c r="C10" s="41" t="s">
        <v>257</v>
      </c>
      <c r="D10" s="42" t="s">
        <v>60</v>
      </c>
      <c r="E10" s="43">
        <v>1</v>
      </c>
      <c r="F10" s="42">
        <v>4</v>
      </c>
      <c r="G10" s="44">
        <f t="shared" si="1"/>
        <v>152</v>
      </c>
      <c r="H10" s="45">
        <f t="shared" si="0"/>
        <v>126.66666666666667</v>
      </c>
      <c r="I10" s="47" t="s">
        <v>21</v>
      </c>
      <c r="J10" s="46" t="s">
        <v>230</v>
      </c>
    </row>
    <row r="11" spans="1:10" x14ac:dyDescent="0.25">
      <c r="A11" s="504"/>
      <c r="B11" s="40" t="s">
        <v>6</v>
      </c>
      <c r="C11" s="41" t="s">
        <v>259</v>
      </c>
      <c r="D11" s="42" t="s">
        <v>60</v>
      </c>
      <c r="E11" s="43">
        <v>1</v>
      </c>
      <c r="F11" s="42">
        <v>2</v>
      </c>
      <c r="G11" s="44">
        <f t="shared" si="1"/>
        <v>76</v>
      </c>
      <c r="H11" s="45">
        <f t="shared" si="0"/>
        <v>63.333333333333336</v>
      </c>
      <c r="I11" s="47" t="s">
        <v>6</v>
      </c>
      <c r="J11" s="46" t="s">
        <v>230</v>
      </c>
    </row>
    <row r="12" spans="1:10" x14ac:dyDescent="0.25">
      <c r="A12" s="504"/>
      <c r="B12" s="40" t="s">
        <v>7</v>
      </c>
      <c r="C12" s="41" t="s">
        <v>260</v>
      </c>
      <c r="D12" s="42" t="s">
        <v>60</v>
      </c>
      <c r="E12" s="43">
        <v>1</v>
      </c>
      <c r="F12" s="42">
        <v>2</v>
      </c>
      <c r="G12" s="44">
        <f t="shared" si="1"/>
        <v>76</v>
      </c>
      <c r="H12" s="45">
        <f t="shared" si="0"/>
        <v>63.333333333333336</v>
      </c>
      <c r="I12" s="47" t="s">
        <v>7</v>
      </c>
      <c r="J12" s="46" t="s">
        <v>230</v>
      </c>
    </row>
    <row r="13" spans="1:10" x14ac:dyDescent="0.25">
      <c r="A13" s="504"/>
      <c r="B13" s="40" t="s">
        <v>9</v>
      </c>
      <c r="C13" s="41" t="s">
        <v>261</v>
      </c>
      <c r="D13" s="42" t="s">
        <v>60</v>
      </c>
      <c r="E13" s="43">
        <v>1</v>
      </c>
      <c r="F13" s="42">
        <v>2</v>
      </c>
      <c r="G13" s="44">
        <f t="shared" si="1"/>
        <v>76</v>
      </c>
      <c r="H13" s="45">
        <f t="shared" si="0"/>
        <v>63.333333333333336</v>
      </c>
      <c r="I13" s="47" t="s">
        <v>9</v>
      </c>
      <c r="J13" s="46" t="s">
        <v>230</v>
      </c>
    </row>
    <row r="14" spans="1:10" x14ac:dyDescent="0.25">
      <c r="A14" s="504"/>
      <c r="B14" s="40" t="s">
        <v>270</v>
      </c>
      <c r="C14" s="48" t="s">
        <v>271</v>
      </c>
      <c r="D14" s="42" t="s">
        <v>54</v>
      </c>
      <c r="E14" s="42">
        <v>2</v>
      </c>
      <c r="F14" s="42">
        <v>4</v>
      </c>
      <c r="G14" s="44">
        <f t="shared" si="1"/>
        <v>152</v>
      </c>
      <c r="H14" s="45">
        <f t="shared" si="0"/>
        <v>126.66666666666667</v>
      </c>
      <c r="I14" s="47" t="s">
        <v>18</v>
      </c>
      <c r="J14" s="46" t="s">
        <v>231</v>
      </c>
    </row>
    <row r="15" spans="1:10" x14ac:dyDescent="0.25">
      <c r="A15" s="504"/>
      <c r="B15" s="40" t="s">
        <v>272</v>
      </c>
      <c r="C15" s="48" t="s">
        <v>273</v>
      </c>
      <c r="D15" s="42" t="s">
        <v>60</v>
      </c>
      <c r="E15" s="42">
        <v>2</v>
      </c>
      <c r="F15" s="42">
        <v>2</v>
      </c>
      <c r="G15" s="44">
        <f t="shared" si="1"/>
        <v>76</v>
      </c>
      <c r="H15" s="45">
        <f t="shared" si="0"/>
        <v>63.333333333333336</v>
      </c>
      <c r="I15" s="47" t="s">
        <v>18</v>
      </c>
      <c r="J15" s="46" t="s">
        <v>230</v>
      </c>
    </row>
    <row r="16" spans="1:10" x14ac:dyDescent="0.25">
      <c r="A16" s="504" t="s">
        <v>274</v>
      </c>
      <c r="B16" s="40" t="s">
        <v>275</v>
      </c>
      <c r="C16" s="49" t="s">
        <v>276</v>
      </c>
      <c r="D16" s="42" t="s">
        <v>54</v>
      </c>
      <c r="E16" s="42">
        <v>2</v>
      </c>
      <c r="F16" s="42">
        <v>4</v>
      </c>
      <c r="G16" s="44">
        <f t="shared" si="1"/>
        <v>152</v>
      </c>
      <c r="H16" s="45">
        <f t="shared" si="0"/>
        <v>126.66666666666667</v>
      </c>
      <c r="I16" s="47" t="s">
        <v>18</v>
      </c>
      <c r="J16" s="46" t="s">
        <v>232</v>
      </c>
    </row>
    <row r="17" spans="1:10" x14ac:dyDescent="0.25">
      <c r="A17" s="504"/>
      <c r="B17" s="40" t="s">
        <v>277</v>
      </c>
      <c r="C17" s="49" t="s">
        <v>278</v>
      </c>
      <c r="D17" s="42" t="s">
        <v>54</v>
      </c>
      <c r="E17" s="42">
        <v>2</v>
      </c>
      <c r="F17" s="42">
        <v>2</v>
      </c>
      <c r="G17" s="44">
        <f t="shared" si="1"/>
        <v>76</v>
      </c>
      <c r="H17" s="45">
        <f t="shared" si="0"/>
        <v>63.333333333333336</v>
      </c>
      <c r="I17" s="47" t="s">
        <v>18</v>
      </c>
      <c r="J17" s="46" t="s">
        <v>232</v>
      </c>
    </row>
    <row r="18" spans="1:10" x14ac:dyDescent="0.25">
      <c r="A18" s="504"/>
      <c r="B18" s="40" t="s">
        <v>249</v>
      </c>
      <c r="C18" s="41" t="s">
        <v>250</v>
      </c>
      <c r="D18" s="42" t="s">
        <v>60</v>
      </c>
      <c r="E18" s="43">
        <v>1</v>
      </c>
      <c r="F18" s="42">
        <v>2</v>
      </c>
      <c r="G18" s="44">
        <f t="shared" si="1"/>
        <v>76</v>
      </c>
      <c r="H18" s="45">
        <f t="shared" si="0"/>
        <v>63.333333333333336</v>
      </c>
      <c r="I18" s="47" t="s">
        <v>14</v>
      </c>
      <c r="J18" s="46" t="s">
        <v>230</v>
      </c>
    </row>
    <row r="19" spans="1:10" x14ac:dyDescent="0.25">
      <c r="A19" s="504"/>
      <c r="B19" s="40" t="s">
        <v>252</v>
      </c>
      <c r="C19" s="41" t="s">
        <v>253</v>
      </c>
      <c r="D19" s="42" t="s">
        <v>54</v>
      </c>
      <c r="E19" s="43">
        <v>1</v>
      </c>
      <c r="F19" s="42">
        <v>2</v>
      </c>
      <c r="G19" s="44">
        <f t="shared" si="1"/>
        <v>76</v>
      </c>
      <c r="H19" s="45">
        <f t="shared" si="0"/>
        <v>63.333333333333336</v>
      </c>
      <c r="I19" s="47" t="s">
        <v>12</v>
      </c>
      <c r="J19" s="46" t="s">
        <v>230</v>
      </c>
    </row>
    <row r="20" spans="1:10" x14ac:dyDescent="0.25">
      <c r="A20" s="504"/>
      <c r="B20" s="40" t="s">
        <v>254</v>
      </c>
      <c r="C20" s="41" t="s">
        <v>255</v>
      </c>
      <c r="D20" s="42" t="s">
        <v>54</v>
      </c>
      <c r="E20" s="43">
        <v>1</v>
      </c>
      <c r="F20" s="42">
        <v>2</v>
      </c>
      <c r="G20" s="44">
        <f t="shared" si="1"/>
        <v>76</v>
      </c>
      <c r="H20" s="45">
        <f t="shared" si="0"/>
        <v>63.333333333333336</v>
      </c>
      <c r="I20" s="47" t="s">
        <v>13</v>
      </c>
      <c r="J20" s="46" t="s">
        <v>230</v>
      </c>
    </row>
    <row r="21" spans="1:10" x14ac:dyDescent="0.25">
      <c r="A21" s="504"/>
      <c r="B21" s="40" t="s">
        <v>15</v>
      </c>
      <c r="C21" s="41" t="s">
        <v>256</v>
      </c>
      <c r="D21" s="42" t="s">
        <v>54</v>
      </c>
      <c r="E21" s="43">
        <v>1</v>
      </c>
      <c r="F21" s="42">
        <v>2</v>
      </c>
      <c r="G21" s="44">
        <f t="shared" si="1"/>
        <v>76</v>
      </c>
      <c r="H21" s="45">
        <f t="shared" si="0"/>
        <v>63.333333333333336</v>
      </c>
      <c r="I21" s="47" t="s">
        <v>15</v>
      </c>
      <c r="J21" s="46" t="s">
        <v>230</v>
      </c>
    </row>
    <row r="22" spans="1:10" x14ac:dyDescent="0.25">
      <c r="A22" s="504"/>
      <c r="B22" s="40" t="s">
        <v>21</v>
      </c>
      <c r="C22" s="41" t="s">
        <v>257</v>
      </c>
      <c r="D22" s="42" t="s">
        <v>60</v>
      </c>
      <c r="E22" s="43">
        <v>1</v>
      </c>
      <c r="F22" s="42">
        <v>2</v>
      </c>
      <c r="G22" s="44">
        <f t="shared" si="1"/>
        <v>76</v>
      </c>
      <c r="H22" s="45">
        <f t="shared" si="0"/>
        <v>63.333333333333336</v>
      </c>
      <c r="I22" s="47" t="s">
        <v>21</v>
      </c>
      <c r="J22" s="46" t="s">
        <v>230</v>
      </c>
    </row>
    <row r="23" spans="1:10" x14ac:dyDescent="0.25">
      <c r="A23" s="504"/>
      <c r="B23" s="40" t="s">
        <v>5</v>
      </c>
      <c r="C23" s="41" t="s">
        <v>258</v>
      </c>
      <c r="D23" s="42" t="s">
        <v>60</v>
      </c>
      <c r="E23" s="43">
        <v>1</v>
      </c>
      <c r="F23" s="42">
        <v>2</v>
      </c>
      <c r="G23" s="44">
        <f t="shared" si="1"/>
        <v>76</v>
      </c>
      <c r="H23" s="45">
        <f t="shared" si="0"/>
        <v>63.333333333333336</v>
      </c>
      <c r="I23" s="47" t="s">
        <v>5</v>
      </c>
      <c r="J23" s="46" t="s">
        <v>230</v>
      </c>
    </row>
    <row r="24" spans="1:10" x14ac:dyDescent="0.25">
      <c r="A24" s="504"/>
      <c r="B24" s="40" t="s">
        <v>6</v>
      </c>
      <c r="C24" s="41" t="s">
        <v>259</v>
      </c>
      <c r="D24" s="42" t="s">
        <v>60</v>
      </c>
      <c r="E24" s="43">
        <v>1</v>
      </c>
      <c r="F24" s="42">
        <v>2</v>
      </c>
      <c r="G24" s="44">
        <f t="shared" si="1"/>
        <v>76</v>
      </c>
      <c r="H24" s="45">
        <f t="shared" si="0"/>
        <v>63.333333333333336</v>
      </c>
      <c r="I24" s="47" t="s">
        <v>6</v>
      </c>
      <c r="J24" s="46" t="s">
        <v>230</v>
      </c>
    </row>
    <row r="25" spans="1:10" x14ac:dyDescent="0.25">
      <c r="A25" s="504"/>
      <c r="B25" s="40" t="s">
        <v>7</v>
      </c>
      <c r="C25" s="41" t="s">
        <v>260</v>
      </c>
      <c r="D25" s="42" t="s">
        <v>60</v>
      </c>
      <c r="E25" s="43">
        <v>1</v>
      </c>
      <c r="F25" s="42">
        <v>2</v>
      </c>
      <c r="G25" s="44">
        <f t="shared" si="1"/>
        <v>76</v>
      </c>
      <c r="H25" s="45">
        <f t="shared" si="0"/>
        <v>63.333333333333336</v>
      </c>
      <c r="I25" s="47" t="s">
        <v>7</v>
      </c>
      <c r="J25" s="46" t="s">
        <v>230</v>
      </c>
    </row>
    <row r="26" spans="1:10" x14ac:dyDescent="0.25">
      <c r="A26" s="504"/>
      <c r="B26" s="40" t="s">
        <v>9</v>
      </c>
      <c r="C26" s="41" t="s">
        <v>261</v>
      </c>
      <c r="D26" s="42" t="s">
        <v>60</v>
      </c>
      <c r="E26" s="43">
        <v>1</v>
      </c>
      <c r="F26" s="42">
        <v>2</v>
      </c>
      <c r="G26" s="44">
        <f t="shared" si="1"/>
        <v>76</v>
      </c>
      <c r="H26" s="45">
        <f t="shared" si="0"/>
        <v>63.333333333333336</v>
      </c>
      <c r="I26" s="47" t="s">
        <v>9</v>
      </c>
      <c r="J26" s="46" t="s">
        <v>230</v>
      </c>
    </row>
    <row r="27" spans="1:10" x14ac:dyDescent="0.25">
      <c r="A27" s="504"/>
      <c r="B27" s="40" t="s">
        <v>10</v>
      </c>
      <c r="C27" s="41" t="s">
        <v>262</v>
      </c>
      <c r="D27" s="42" t="s">
        <v>60</v>
      </c>
      <c r="E27" s="43">
        <v>1</v>
      </c>
      <c r="F27" s="42">
        <v>2</v>
      </c>
      <c r="G27" s="44">
        <f t="shared" si="1"/>
        <v>76</v>
      </c>
      <c r="H27" s="45">
        <f t="shared" si="0"/>
        <v>63.333333333333336</v>
      </c>
      <c r="I27" s="47" t="s">
        <v>10</v>
      </c>
      <c r="J27" s="46" t="s">
        <v>230</v>
      </c>
    </row>
    <row r="28" spans="1:10" x14ac:dyDescent="0.25">
      <c r="A28" s="504"/>
      <c r="B28" s="40" t="s">
        <v>8</v>
      </c>
      <c r="C28" s="41" t="s">
        <v>263</v>
      </c>
      <c r="D28" s="42" t="s">
        <v>60</v>
      </c>
      <c r="E28" s="43">
        <v>1</v>
      </c>
      <c r="F28" s="42">
        <v>2</v>
      </c>
      <c r="G28" s="44">
        <f t="shared" si="1"/>
        <v>76</v>
      </c>
      <c r="H28" s="45">
        <f t="shared" si="0"/>
        <v>63.333333333333336</v>
      </c>
      <c r="I28" s="47" t="s">
        <v>8</v>
      </c>
      <c r="J28" s="46" t="s">
        <v>230</v>
      </c>
    </row>
    <row r="29" spans="1:10" x14ac:dyDescent="0.25">
      <c r="A29" s="504"/>
      <c r="B29" s="40" t="s">
        <v>11</v>
      </c>
      <c r="C29" s="41" t="s">
        <v>264</v>
      </c>
      <c r="D29" s="42" t="s">
        <v>60</v>
      </c>
      <c r="E29" s="43">
        <v>1</v>
      </c>
      <c r="F29" s="42">
        <v>2</v>
      </c>
      <c r="G29" s="44">
        <f t="shared" si="1"/>
        <v>76</v>
      </c>
      <c r="H29" s="45">
        <f t="shared" si="0"/>
        <v>63.333333333333336</v>
      </c>
      <c r="I29" s="47" t="s">
        <v>11</v>
      </c>
      <c r="J29" s="46" t="s">
        <v>230</v>
      </c>
    </row>
    <row r="30" spans="1:10" x14ac:dyDescent="0.25">
      <c r="A30" s="504"/>
      <c r="B30" s="40" t="s">
        <v>171</v>
      </c>
      <c r="C30" s="49" t="s">
        <v>279</v>
      </c>
      <c r="D30" s="42" t="s">
        <v>54</v>
      </c>
      <c r="E30" s="42">
        <v>2</v>
      </c>
      <c r="F30" s="42">
        <v>4</v>
      </c>
      <c r="G30" s="44">
        <f t="shared" si="1"/>
        <v>152</v>
      </c>
      <c r="H30" s="45">
        <f t="shared" si="0"/>
        <v>126.66666666666667</v>
      </c>
      <c r="I30" s="47" t="s">
        <v>18</v>
      </c>
      <c r="J30" s="46" t="s">
        <v>232</v>
      </c>
    </row>
    <row r="31" spans="1:10" x14ac:dyDescent="0.25">
      <c r="A31" s="504"/>
      <c r="B31" s="40" t="s">
        <v>280</v>
      </c>
      <c r="C31" s="49" t="s">
        <v>281</v>
      </c>
      <c r="D31" s="42" t="s">
        <v>54</v>
      </c>
      <c r="E31" s="42">
        <v>1</v>
      </c>
      <c r="F31" s="42">
        <v>2</v>
      </c>
      <c r="G31" s="44">
        <f t="shared" si="1"/>
        <v>76</v>
      </c>
      <c r="H31" s="45">
        <f t="shared" si="0"/>
        <v>63.333333333333336</v>
      </c>
      <c r="I31" s="47" t="s">
        <v>18</v>
      </c>
      <c r="J31" s="46" t="s">
        <v>232</v>
      </c>
    </row>
    <row r="32" spans="1:10" x14ac:dyDescent="0.25">
      <c r="A32" s="504"/>
      <c r="B32" s="40" t="s">
        <v>282</v>
      </c>
      <c r="C32" s="49" t="s">
        <v>283</v>
      </c>
      <c r="D32" s="42" t="s">
        <v>54</v>
      </c>
      <c r="E32" s="43">
        <v>2</v>
      </c>
      <c r="F32" s="42">
        <v>2</v>
      </c>
      <c r="G32" s="44">
        <f t="shared" si="1"/>
        <v>76</v>
      </c>
      <c r="H32" s="45">
        <f t="shared" si="0"/>
        <v>63.333333333333336</v>
      </c>
      <c r="I32" s="47" t="s">
        <v>18</v>
      </c>
      <c r="J32" s="46" t="s">
        <v>232</v>
      </c>
    </row>
    <row r="33" spans="1:10" x14ac:dyDescent="0.25">
      <c r="A33" s="504" t="s">
        <v>284</v>
      </c>
      <c r="B33" s="40" t="s">
        <v>285</v>
      </c>
      <c r="C33" s="49" t="s">
        <v>286</v>
      </c>
      <c r="D33" s="42" t="s">
        <v>54</v>
      </c>
      <c r="E33" s="42">
        <v>1</v>
      </c>
      <c r="F33" s="42">
        <v>2</v>
      </c>
      <c r="G33" s="44">
        <f t="shared" si="1"/>
        <v>76</v>
      </c>
      <c r="H33" s="45">
        <f t="shared" si="0"/>
        <v>63.333333333333336</v>
      </c>
      <c r="I33" s="47" t="s">
        <v>18</v>
      </c>
      <c r="J33" s="46" t="s">
        <v>232</v>
      </c>
    </row>
    <row r="34" spans="1:10" x14ac:dyDescent="0.25">
      <c r="A34" s="504"/>
      <c r="B34" s="40" t="s">
        <v>287</v>
      </c>
      <c r="C34" s="49" t="s">
        <v>288</v>
      </c>
      <c r="D34" s="42" t="s">
        <v>54</v>
      </c>
      <c r="E34" s="42">
        <v>2</v>
      </c>
      <c r="F34" s="42">
        <v>4</v>
      </c>
      <c r="G34" s="44">
        <f t="shared" si="1"/>
        <v>152</v>
      </c>
      <c r="H34" s="45">
        <f t="shared" si="0"/>
        <v>126.66666666666667</v>
      </c>
      <c r="I34" s="47" t="s">
        <v>18</v>
      </c>
      <c r="J34" s="46" t="s">
        <v>232</v>
      </c>
    </row>
    <row r="35" spans="1:10" x14ac:dyDescent="0.25">
      <c r="A35" s="504"/>
      <c r="B35" s="40" t="s">
        <v>289</v>
      </c>
      <c r="C35" s="49" t="s">
        <v>290</v>
      </c>
      <c r="D35" s="42" t="s">
        <v>60</v>
      </c>
      <c r="E35" s="42">
        <v>1</v>
      </c>
      <c r="F35" s="42">
        <v>4</v>
      </c>
      <c r="G35" s="44">
        <f t="shared" si="1"/>
        <v>152</v>
      </c>
      <c r="H35" s="45">
        <f t="shared" si="0"/>
        <v>126.66666666666667</v>
      </c>
      <c r="I35" s="47" t="s">
        <v>18</v>
      </c>
      <c r="J35" s="46" t="s">
        <v>230</v>
      </c>
    </row>
    <row r="36" spans="1:10" x14ac:dyDescent="0.25">
      <c r="A36" s="504"/>
      <c r="B36" s="40" t="s">
        <v>249</v>
      </c>
      <c r="C36" s="41" t="s">
        <v>250</v>
      </c>
      <c r="D36" s="42" t="s">
        <v>60</v>
      </c>
      <c r="E36" s="43">
        <v>1</v>
      </c>
      <c r="F36" s="42">
        <v>2</v>
      </c>
      <c r="G36" s="44">
        <f t="shared" si="1"/>
        <v>76</v>
      </c>
      <c r="H36" s="45">
        <f t="shared" si="0"/>
        <v>63.333333333333336</v>
      </c>
      <c r="I36" s="47" t="s">
        <v>14</v>
      </c>
      <c r="J36" s="46" t="s">
        <v>230</v>
      </c>
    </row>
    <row r="37" spans="1:10" x14ac:dyDescent="0.25">
      <c r="A37" s="504"/>
      <c r="B37" s="40" t="s">
        <v>252</v>
      </c>
      <c r="C37" s="41" t="s">
        <v>253</v>
      </c>
      <c r="D37" s="42" t="s">
        <v>54</v>
      </c>
      <c r="E37" s="43">
        <v>1</v>
      </c>
      <c r="F37" s="42">
        <v>2</v>
      </c>
      <c r="G37" s="44">
        <f t="shared" si="1"/>
        <v>76</v>
      </c>
      <c r="H37" s="45">
        <f t="shared" ref="H37:H60" si="2">(G37)*$C$67/60</f>
        <v>63.333333333333336</v>
      </c>
      <c r="I37" s="47" t="s">
        <v>12</v>
      </c>
      <c r="J37" s="46" t="s">
        <v>230</v>
      </c>
    </row>
    <row r="38" spans="1:10" x14ac:dyDescent="0.25">
      <c r="A38" s="504"/>
      <c r="B38" s="40" t="s">
        <v>15</v>
      </c>
      <c r="C38" s="41" t="s">
        <v>256</v>
      </c>
      <c r="D38" s="42" t="s">
        <v>54</v>
      </c>
      <c r="E38" s="43">
        <v>1</v>
      </c>
      <c r="F38" s="42">
        <v>2</v>
      </c>
      <c r="G38" s="44">
        <f t="shared" si="1"/>
        <v>76</v>
      </c>
      <c r="H38" s="45">
        <f t="shared" si="2"/>
        <v>63.333333333333336</v>
      </c>
      <c r="I38" s="47" t="s">
        <v>15</v>
      </c>
      <c r="J38" s="46" t="s">
        <v>230</v>
      </c>
    </row>
    <row r="39" spans="1:10" x14ac:dyDescent="0.25">
      <c r="A39" s="504"/>
      <c r="B39" s="40" t="s">
        <v>21</v>
      </c>
      <c r="C39" s="41" t="s">
        <v>257</v>
      </c>
      <c r="D39" s="42" t="s">
        <v>60</v>
      </c>
      <c r="E39" s="43">
        <v>1</v>
      </c>
      <c r="F39" s="42">
        <v>2</v>
      </c>
      <c r="G39" s="44">
        <f t="shared" si="1"/>
        <v>76</v>
      </c>
      <c r="H39" s="45">
        <f t="shared" si="2"/>
        <v>63.333333333333336</v>
      </c>
      <c r="I39" s="47" t="s">
        <v>21</v>
      </c>
      <c r="J39" s="46" t="s">
        <v>230</v>
      </c>
    </row>
    <row r="40" spans="1:10" x14ac:dyDescent="0.25">
      <c r="A40" s="504"/>
      <c r="B40" s="40" t="s">
        <v>5</v>
      </c>
      <c r="C40" s="41" t="s">
        <v>258</v>
      </c>
      <c r="D40" s="42" t="s">
        <v>60</v>
      </c>
      <c r="E40" s="43">
        <v>1</v>
      </c>
      <c r="F40" s="42">
        <v>2</v>
      </c>
      <c r="G40" s="44">
        <f t="shared" si="1"/>
        <v>76</v>
      </c>
      <c r="H40" s="45">
        <f t="shared" si="2"/>
        <v>63.333333333333336</v>
      </c>
      <c r="I40" s="47" t="s">
        <v>5</v>
      </c>
      <c r="J40" s="46" t="s">
        <v>230</v>
      </c>
    </row>
    <row r="41" spans="1:10" x14ac:dyDescent="0.25">
      <c r="A41" s="504"/>
      <c r="B41" s="40" t="s">
        <v>6</v>
      </c>
      <c r="C41" s="41" t="s">
        <v>259</v>
      </c>
      <c r="D41" s="42" t="s">
        <v>60</v>
      </c>
      <c r="E41" s="43">
        <v>1</v>
      </c>
      <c r="F41" s="42">
        <v>1</v>
      </c>
      <c r="G41" s="44">
        <f t="shared" si="1"/>
        <v>38</v>
      </c>
      <c r="H41" s="45">
        <f t="shared" si="2"/>
        <v>31.666666666666668</v>
      </c>
      <c r="I41" s="47" t="s">
        <v>6</v>
      </c>
      <c r="J41" s="46" t="s">
        <v>230</v>
      </c>
    </row>
    <row r="42" spans="1:10" x14ac:dyDescent="0.25">
      <c r="A42" s="504"/>
      <c r="B42" s="40" t="s">
        <v>10</v>
      </c>
      <c r="C42" s="41" t="s">
        <v>262</v>
      </c>
      <c r="D42" s="42" t="s">
        <v>60</v>
      </c>
      <c r="E42" s="43">
        <v>1</v>
      </c>
      <c r="F42" s="42">
        <v>2</v>
      </c>
      <c r="G42" s="44">
        <f t="shared" si="1"/>
        <v>76</v>
      </c>
      <c r="H42" s="45">
        <f t="shared" si="2"/>
        <v>63.333333333333336</v>
      </c>
      <c r="I42" s="47" t="s">
        <v>10</v>
      </c>
      <c r="J42" s="46" t="s">
        <v>230</v>
      </c>
    </row>
    <row r="43" spans="1:10" x14ac:dyDescent="0.25">
      <c r="A43" s="504"/>
      <c r="B43" s="40" t="s">
        <v>8</v>
      </c>
      <c r="C43" s="41" t="s">
        <v>263</v>
      </c>
      <c r="D43" s="42" t="s">
        <v>60</v>
      </c>
      <c r="E43" s="43">
        <v>1</v>
      </c>
      <c r="F43" s="42">
        <v>2</v>
      </c>
      <c r="G43" s="44">
        <f t="shared" si="1"/>
        <v>76</v>
      </c>
      <c r="H43" s="45">
        <f t="shared" si="2"/>
        <v>63.333333333333336</v>
      </c>
      <c r="I43" s="47" t="s">
        <v>8</v>
      </c>
      <c r="J43" s="46" t="s">
        <v>230</v>
      </c>
    </row>
    <row r="44" spans="1:10" x14ac:dyDescent="0.25">
      <c r="A44" s="504"/>
      <c r="B44" s="40" t="s">
        <v>11</v>
      </c>
      <c r="C44" s="41" t="s">
        <v>264</v>
      </c>
      <c r="D44" s="42" t="s">
        <v>60</v>
      </c>
      <c r="E44" s="43">
        <v>1</v>
      </c>
      <c r="F44" s="42">
        <v>2</v>
      </c>
      <c r="G44" s="44">
        <f t="shared" si="1"/>
        <v>76</v>
      </c>
      <c r="H44" s="45">
        <f t="shared" si="2"/>
        <v>63.333333333333336</v>
      </c>
      <c r="I44" s="47" t="s">
        <v>11</v>
      </c>
      <c r="J44" s="46" t="s">
        <v>230</v>
      </c>
    </row>
    <row r="45" spans="1:10" x14ac:dyDescent="0.25">
      <c r="A45" s="504"/>
      <c r="B45" s="40" t="s">
        <v>249</v>
      </c>
      <c r="C45" s="41" t="s">
        <v>250</v>
      </c>
      <c r="D45" s="42" t="s">
        <v>60</v>
      </c>
      <c r="E45" s="43">
        <v>1</v>
      </c>
      <c r="F45" s="42">
        <v>4</v>
      </c>
      <c r="G45" s="44">
        <f t="shared" si="1"/>
        <v>152</v>
      </c>
      <c r="H45" s="45">
        <f t="shared" si="2"/>
        <v>126.66666666666667</v>
      </c>
      <c r="I45" s="47" t="s">
        <v>14</v>
      </c>
      <c r="J45" s="46" t="s">
        <v>230</v>
      </c>
    </row>
    <row r="46" spans="1:10" x14ac:dyDescent="0.25">
      <c r="A46" s="504"/>
      <c r="B46" s="40" t="s">
        <v>252</v>
      </c>
      <c r="C46" s="41" t="s">
        <v>253</v>
      </c>
      <c r="D46" s="42" t="s">
        <v>54</v>
      </c>
      <c r="E46" s="43">
        <v>1</v>
      </c>
      <c r="F46" s="42">
        <v>2</v>
      </c>
      <c r="G46" s="44">
        <f t="shared" si="1"/>
        <v>76</v>
      </c>
      <c r="H46" s="45">
        <f t="shared" si="2"/>
        <v>63.333333333333336</v>
      </c>
      <c r="I46" s="47" t="s">
        <v>12</v>
      </c>
      <c r="J46" s="46" t="s">
        <v>230</v>
      </c>
    </row>
    <row r="47" spans="1:10" x14ac:dyDescent="0.25">
      <c r="A47" s="504"/>
      <c r="B47" s="40" t="s">
        <v>254</v>
      </c>
      <c r="C47" s="41" t="s">
        <v>255</v>
      </c>
      <c r="D47" s="42" t="s">
        <v>54</v>
      </c>
      <c r="E47" s="43">
        <v>1</v>
      </c>
      <c r="F47" s="42">
        <v>2</v>
      </c>
      <c r="G47" s="44">
        <f t="shared" si="1"/>
        <v>76</v>
      </c>
      <c r="H47" s="45">
        <f t="shared" si="2"/>
        <v>63.333333333333336</v>
      </c>
      <c r="I47" s="47" t="s">
        <v>13</v>
      </c>
      <c r="J47" s="46" t="s">
        <v>230</v>
      </c>
    </row>
    <row r="48" spans="1:10" x14ac:dyDescent="0.25">
      <c r="A48" s="504"/>
      <c r="B48" s="40" t="s">
        <v>21</v>
      </c>
      <c r="C48" s="41" t="s">
        <v>257</v>
      </c>
      <c r="D48" s="42" t="s">
        <v>60</v>
      </c>
      <c r="E48" s="43">
        <v>1</v>
      </c>
      <c r="F48" s="42">
        <v>2</v>
      </c>
      <c r="G48" s="44">
        <f t="shared" si="1"/>
        <v>76</v>
      </c>
      <c r="H48" s="45">
        <f t="shared" si="2"/>
        <v>63.333333333333336</v>
      </c>
      <c r="I48" s="47" t="s">
        <v>21</v>
      </c>
      <c r="J48" s="46" t="s">
        <v>230</v>
      </c>
    </row>
    <row r="49" spans="1:10" x14ac:dyDescent="0.25">
      <c r="A49" s="504"/>
      <c r="B49" s="40" t="s">
        <v>5</v>
      </c>
      <c r="C49" s="41" t="s">
        <v>258</v>
      </c>
      <c r="D49" s="42" t="s">
        <v>60</v>
      </c>
      <c r="E49" s="43">
        <v>1</v>
      </c>
      <c r="F49" s="42">
        <v>2</v>
      </c>
      <c r="G49" s="44">
        <f t="shared" si="1"/>
        <v>76</v>
      </c>
      <c r="H49" s="45">
        <f t="shared" si="2"/>
        <v>63.333333333333336</v>
      </c>
      <c r="I49" s="47" t="s">
        <v>5</v>
      </c>
      <c r="J49" s="46" t="s">
        <v>230</v>
      </c>
    </row>
    <row r="50" spans="1:10" x14ac:dyDescent="0.25">
      <c r="A50" s="504"/>
      <c r="B50" s="40" t="s">
        <v>6</v>
      </c>
      <c r="C50" s="41" t="s">
        <v>259</v>
      </c>
      <c r="D50" s="42" t="s">
        <v>60</v>
      </c>
      <c r="E50" s="43">
        <v>1</v>
      </c>
      <c r="F50" s="42">
        <v>2</v>
      </c>
      <c r="G50" s="44">
        <f t="shared" si="1"/>
        <v>76</v>
      </c>
      <c r="H50" s="45">
        <f t="shared" si="2"/>
        <v>63.333333333333336</v>
      </c>
      <c r="I50" s="47" t="s">
        <v>6</v>
      </c>
      <c r="J50" s="46" t="s">
        <v>230</v>
      </c>
    </row>
    <row r="51" spans="1:10" x14ac:dyDescent="0.25">
      <c r="A51" s="504"/>
      <c r="B51" s="40" t="s">
        <v>7</v>
      </c>
      <c r="C51" s="41" t="s">
        <v>260</v>
      </c>
      <c r="D51" s="42" t="s">
        <v>60</v>
      </c>
      <c r="E51" s="43">
        <v>1</v>
      </c>
      <c r="F51" s="42">
        <v>2</v>
      </c>
      <c r="G51" s="44">
        <f t="shared" si="1"/>
        <v>76</v>
      </c>
      <c r="H51" s="45">
        <f t="shared" si="2"/>
        <v>63.333333333333336</v>
      </c>
      <c r="I51" s="47" t="s">
        <v>7</v>
      </c>
      <c r="J51" s="46" t="s">
        <v>230</v>
      </c>
    </row>
    <row r="52" spans="1:10" x14ac:dyDescent="0.25">
      <c r="A52" s="504"/>
      <c r="B52" s="40" t="s">
        <v>9</v>
      </c>
      <c r="C52" s="41" t="s">
        <v>261</v>
      </c>
      <c r="D52" s="42" t="s">
        <v>60</v>
      </c>
      <c r="E52" s="43">
        <v>1</v>
      </c>
      <c r="F52" s="42">
        <v>2</v>
      </c>
      <c r="G52" s="44">
        <f t="shared" si="1"/>
        <v>76</v>
      </c>
      <c r="H52" s="45">
        <f t="shared" si="2"/>
        <v>63.333333333333336</v>
      </c>
      <c r="I52" s="47" t="s">
        <v>9</v>
      </c>
      <c r="J52" s="46" t="s">
        <v>230</v>
      </c>
    </row>
    <row r="53" spans="1:10" x14ac:dyDescent="0.25">
      <c r="A53" s="504"/>
      <c r="B53" s="40" t="s">
        <v>10</v>
      </c>
      <c r="C53" s="41" t="s">
        <v>262</v>
      </c>
      <c r="D53" s="42" t="s">
        <v>60</v>
      </c>
      <c r="E53" s="43">
        <v>1</v>
      </c>
      <c r="F53" s="42">
        <v>2</v>
      </c>
      <c r="G53" s="44">
        <f t="shared" si="1"/>
        <v>76</v>
      </c>
      <c r="H53" s="45">
        <f t="shared" si="2"/>
        <v>63.333333333333336</v>
      </c>
      <c r="I53" s="47" t="s">
        <v>10</v>
      </c>
      <c r="J53" s="46" t="s">
        <v>230</v>
      </c>
    </row>
    <row r="54" spans="1:10" x14ac:dyDescent="0.25">
      <c r="A54" s="504"/>
      <c r="B54" s="40" t="s">
        <v>8</v>
      </c>
      <c r="C54" s="41" t="s">
        <v>263</v>
      </c>
      <c r="D54" s="42" t="s">
        <v>60</v>
      </c>
      <c r="E54" s="43">
        <v>1</v>
      </c>
      <c r="F54" s="42">
        <v>1</v>
      </c>
      <c r="G54" s="44">
        <f t="shared" si="1"/>
        <v>38</v>
      </c>
      <c r="H54" s="45">
        <f t="shared" si="2"/>
        <v>31.666666666666668</v>
      </c>
      <c r="I54" s="47" t="s">
        <v>8</v>
      </c>
      <c r="J54" s="46" t="s">
        <v>230</v>
      </c>
    </row>
    <row r="55" spans="1:10" x14ac:dyDescent="0.25">
      <c r="A55" s="504"/>
      <c r="B55" s="40" t="s">
        <v>11</v>
      </c>
      <c r="C55" s="41" t="s">
        <v>264</v>
      </c>
      <c r="D55" s="42" t="s">
        <v>60</v>
      </c>
      <c r="E55" s="43">
        <v>1</v>
      </c>
      <c r="F55" s="42">
        <v>1</v>
      </c>
      <c r="G55" s="44">
        <f t="shared" si="1"/>
        <v>38</v>
      </c>
      <c r="H55" s="45">
        <f t="shared" si="2"/>
        <v>31.666666666666668</v>
      </c>
      <c r="I55" s="47" t="s">
        <v>11</v>
      </c>
      <c r="J55" s="46" t="s">
        <v>230</v>
      </c>
    </row>
    <row r="56" spans="1:10" x14ac:dyDescent="0.25">
      <c r="A56" s="504"/>
      <c r="B56" s="40" t="s">
        <v>291</v>
      </c>
      <c r="C56" s="49" t="s">
        <v>292</v>
      </c>
      <c r="D56" s="42" t="s">
        <v>54</v>
      </c>
      <c r="E56" s="42">
        <v>2</v>
      </c>
      <c r="F56" s="42">
        <v>2</v>
      </c>
      <c r="G56" s="44">
        <f t="shared" si="1"/>
        <v>76</v>
      </c>
      <c r="H56" s="45">
        <f t="shared" si="2"/>
        <v>63.333333333333336</v>
      </c>
      <c r="I56" s="47" t="s">
        <v>18</v>
      </c>
      <c r="J56" s="46" t="s">
        <v>231</v>
      </c>
    </row>
    <row r="57" spans="1:10" x14ac:dyDescent="0.25">
      <c r="A57" s="504"/>
      <c r="B57" s="40" t="s">
        <v>293</v>
      </c>
      <c r="C57" s="49" t="s">
        <v>294</v>
      </c>
      <c r="D57" s="42" t="s">
        <v>54</v>
      </c>
      <c r="E57" s="42">
        <v>1</v>
      </c>
      <c r="F57" s="42">
        <v>2</v>
      </c>
      <c r="G57" s="44">
        <f t="shared" si="1"/>
        <v>76</v>
      </c>
      <c r="H57" s="45">
        <f t="shared" si="2"/>
        <v>63.333333333333336</v>
      </c>
      <c r="I57" s="47" t="s">
        <v>18</v>
      </c>
      <c r="J57" s="46" t="s">
        <v>232</v>
      </c>
    </row>
    <row r="58" spans="1:10" ht="15.75" thickBot="1" x14ac:dyDescent="0.3">
      <c r="A58" s="504"/>
      <c r="B58" s="52" t="s">
        <v>295</v>
      </c>
      <c r="C58" s="49" t="s">
        <v>296</v>
      </c>
      <c r="D58" s="42" t="s">
        <v>54</v>
      </c>
      <c r="E58" s="42">
        <v>2</v>
      </c>
      <c r="F58" s="42">
        <v>2</v>
      </c>
      <c r="G58" s="44">
        <f t="shared" si="1"/>
        <v>76</v>
      </c>
      <c r="H58" s="45">
        <f t="shared" si="2"/>
        <v>63.333333333333336</v>
      </c>
      <c r="I58" s="47" t="s">
        <v>18</v>
      </c>
      <c r="J58" s="46" t="s">
        <v>232</v>
      </c>
    </row>
    <row r="59" spans="1:10" ht="15.75" thickBot="1" x14ac:dyDescent="0.3">
      <c r="A59" s="506" t="s">
        <v>297</v>
      </c>
      <c r="B59" s="507"/>
      <c r="C59" s="42" t="s">
        <v>298</v>
      </c>
      <c r="D59" s="42" t="s">
        <v>54</v>
      </c>
      <c r="E59" s="42">
        <v>1</v>
      </c>
      <c r="F59" s="42"/>
      <c r="G59" s="44">
        <f t="shared" si="1"/>
        <v>0</v>
      </c>
      <c r="H59" s="45">
        <f t="shared" si="2"/>
        <v>0</v>
      </c>
      <c r="I59" s="47" t="s">
        <v>16</v>
      </c>
      <c r="J59" s="46" t="s">
        <v>230</v>
      </c>
    </row>
    <row r="60" spans="1:10" ht="15.75" thickBot="1" x14ac:dyDescent="0.3">
      <c r="A60" s="506" t="s">
        <v>300</v>
      </c>
      <c r="B60" s="507"/>
      <c r="C60" s="42" t="s">
        <v>301</v>
      </c>
      <c r="D60" s="42" t="s">
        <v>54</v>
      </c>
      <c r="E60" s="42">
        <v>1</v>
      </c>
      <c r="F60" s="42"/>
      <c r="G60" s="44">
        <f t="shared" si="1"/>
        <v>0</v>
      </c>
      <c r="H60" s="45">
        <f t="shared" si="2"/>
        <v>0</v>
      </c>
      <c r="I60" s="47" t="s">
        <v>17</v>
      </c>
      <c r="J60" s="46" t="s">
        <v>230</v>
      </c>
    </row>
    <row r="61" spans="1:10" ht="16.5" thickBot="1" x14ac:dyDescent="0.3">
      <c r="A61" s="508" t="s">
        <v>302</v>
      </c>
      <c r="B61" s="509"/>
      <c r="C61" s="509"/>
      <c r="D61" s="509"/>
      <c r="E61" s="510"/>
      <c r="F61" s="53">
        <f>SUM(F5:F44)</f>
        <v>95</v>
      </c>
      <c r="G61" s="53">
        <f>SUM(G5:G60)</f>
        <v>4674</v>
      </c>
      <c r="H61" s="53">
        <f>SUM(H5:H60)</f>
        <v>3895.0000000000014</v>
      </c>
      <c r="I61" s="36"/>
    </row>
    <row r="62" spans="1:10" ht="16.5" thickBot="1" x14ac:dyDescent="0.3">
      <c r="A62" s="508" t="s">
        <v>303</v>
      </c>
      <c r="B62" s="509"/>
      <c r="C62" s="509"/>
      <c r="D62" s="509"/>
      <c r="E62" s="510"/>
      <c r="F62" s="55" t="e">
        <f>(F61*#REF!*$C$67)/60</f>
        <v>#REF!</v>
      </c>
      <c r="G62" s="53" t="s">
        <v>304</v>
      </c>
      <c r="H62" s="55" t="e">
        <f>SUM(F62+#REF!+#REF!)</f>
        <v>#REF!</v>
      </c>
      <c r="I62" s="36"/>
    </row>
    <row r="63" spans="1:10" ht="16.5" thickBot="1" x14ac:dyDescent="0.3">
      <c r="A63" s="508" t="s">
        <v>305</v>
      </c>
      <c r="B63" s="509"/>
      <c r="C63" s="509"/>
      <c r="D63" s="509"/>
      <c r="E63" s="509"/>
      <c r="F63" s="509"/>
      <c r="G63" s="510"/>
      <c r="H63" s="56" t="e">
        <f>H62</f>
        <v>#REF!</v>
      </c>
      <c r="I63" s="57"/>
    </row>
    <row r="64" spans="1:10" ht="15.75" thickBot="1" x14ac:dyDescent="0.3">
      <c r="A64" s="506" t="s">
        <v>306</v>
      </c>
      <c r="B64" s="511"/>
      <c r="C64" s="511"/>
      <c r="D64" s="511"/>
      <c r="E64" s="511"/>
      <c r="F64" s="511"/>
      <c r="G64" s="512"/>
      <c r="H64" s="58">
        <v>360</v>
      </c>
      <c r="I64" s="59"/>
    </row>
    <row r="65" spans="1:9" ht="15.75" thickBot="1" x14ac:dyDescent="0.3">
      <c r="A65" s="506" t="s">
        <v>307</v>
      </c>
      <c r="B65" s="511"/>
      <c r="C65" s="511"/>
      <c r="D65" s="511"/>
      <c r="E65" s="511"/>
      <c r="F65" s="511"/>
      <c r="G65" s="512"/>
      <c r="H65" s="58">
        <v>80</v>
      </c>
      <c r="I65" s="59"/>
    </row>
    <row r="66" spans="1:9" ht="16.5" thickBot="1" x14ac:dyDescent="0.3">
      <c r="A66" s="508" t="s">
        <v>308</v>
      </c>
      <c r="B66" s="509"/>
      <c r="C66" s="509"/>
      <c r="D66" s="509"/>
      <c r="E66" s="509"/>
      <c r="F66" s="509"/>
      <c r="G66" s="510"/>
      <c r="H66" s="55" t="e">
        <f>ROUNDDOWN(SUM(H63:H65,H59:H60),0)</f>
        <v>#REF!</v>
      </c>
      <c r="I66" s="36"/>
    </row>
    <row r="67" spans="1:9" ht="15.75" x14ac:dyDescent="0.25">
      <c r="A67" s="505" t="s">
        <v>309</v>
      </c>
      <c r="B67" s="505"/>
      <c r="C67" s="38">
        <v>50</v>
      </c>
      <c r="D67" s="60" t="s">
        <v>310</v>
      </c>
      <c r="E67" s="60"/>
      <c r="F67" s="60"/>
      <c r="G67" s="60"/>
      <c r="H67" s="60"/>
      <c r="I67" s="36"/>
    </row>
  </sheetData>
  <mergeCells count="18">
    <mergeCell ref="A2:C2"/>
    <mergeCell ref="B3:B4"/>
    <mergeCell ref="C3:C4"/>
    <mergeCell ref="I3:I4"/>
    <mergeCell ref="J3:J4"/>
    <mergeCell ref="A5:A15"/>
    <mergeCell ref="A67:B67"/>
    <mergeCell ref="A16:A32"/>
    <mergeCell ref="A33:A44"/>
    <mergeCell ref="A45:A58"/>
    <mergeCell ref="A59:B59"/>
    <mergeCell ref="A60:B60"/>
    <mergeCell ref="A61:E61"/>
    <mergeCell ref="A62:E62"/>
    <mergeCell ref="A63:G63"/>
    <mergeCell ref="A64:G64"/>
    <mergeCell ref="A65:G65"/>
    <mergeCell ref="A66:G66"/>
  </mergeCells>
  <dataValidations count="2">
    <dataValidation type="list" allowBlank="1" showInputMessage="1" showErrorMessage="1" sqref="I5:I60" xr:uid="{00000000-0002-0000-0000-000000000000}">
      <formula1>Áreas</formula1>
    </dataValidation>
    <dataValidation type="list" allowBlank="1" showInputMessage="1" showErrorMessage="1" sqref="J5:J60" xr:uid="{00000000-0002-0000-00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2">
    <tabColor theme="6" tint="-0.249977111117893"/>
  </sheetPr>
  <dimension ref="A1:J67"/>
  <sheetViews>
    <sheetView workbookViewId="0">
      <selection activeCell="A3" sqref="A3"/>
    </sheetView>
  </sheetViews>
  <sheetFormatPr defaultColWidth="9.140625" defaultRowHeight="15" x14ac:dyDescent="0.25"/>
  <cols>
    <col min="1" max="1" width="7.140625" customWidth="1"/>
    <col min="2" max="2" width="50.8554687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1020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265</v>
      </c>
      <c r="B5" s="40" t="s">
        <v>266</v>
      </c>
      <c r="C5" s="41" t="s">
        <v>267</v>
      </c>
      <c r="D5" s="42" t="s">
        <v>60</v>
      </c>
      <c r="E5" s="43">
        <v>1</v>
      </c>
      <c r="F5" s="42">
        <v>2</v>
      </c>
      <c r="G5" s="44">
        <f>F5*$F$2</f>
        <v>76</v>
      </c>
      <c r="H5" s="45">
        <f t="shared" ref="H5:H36" si="0">(G5)*$C$67/60</f>
        <v>63.333333333333336</v>
      </c>
      <c r="I5" s="47" t="s">
        <v>20</v>
      </c>
      <c r="J5" s="46" t="s">
        <v>230</v>
      </c>
    </row>
    <row r="6" spans="1:10" x14ac:dyDescent="0.25">
      <c r="A6" s="504"/>
      <c r="B6" s="40" t="s">
        <v>268</v>
      </c>
      <c r="C6" s="48" t="s">
        <v>269</v>
      </c>
      <c r="D6" s="42" t="s">
        <v>54</v>
      </c>
      <c r="E6" s="42">
        <v>2</v>
      </c>
      <c r="F6" s="42">
        <v>4</v>
      </c>
      <c r="G6" s="44">
        <f t="shared" ref="G6:G60" si="1">F6*$F$2</f>
        <v>152</v>
      </c>
      <c r="H6" s="45">
        <f t="shared" si="0"/>
        <v>126.66666666666667</v>
      </c>
      <c r="I6" s="47" t="s">
        <v>20</v>
      </c>
      <c r="J6" s="46" t="s">
        <v>232</v>
      </c>
    </row>
    <row r="7" spans="1:10" x14ac:dyDescent="0.25">
      <c r="A7" s="504"/>
      <c r="B7" s="40" t="s">
        <v>249</v>
      </c>
      <c r="C7" s="41" t="s">
        <v>250</v>
      </c>
      <c r="D7" s="42" t="s">
        <v>60</v>
      </c>
      <c r="E7" s="43">
        <v>1</v>
      </c>
      <c r="F7" s="42">
        <v>4</v>
      </c>
      <c r="G7" s="44">
        <f t="shared" si="1"/>
        <v>152</v>
      </c>
      <c r="H7" s="45">
        <f t="shared" si="0"/>
        <v>126.66666666666667</v>
      </c>
      <c r="I7" s="47" t="s">
        <v>14</v>
      </c>
      <c r="J7" s="46" t="s">
        <v>230</v>
      </c>
    </row>
    <row r="8" spans="1:10" x14ac:dyDescent="0.25">
      <c r="A8" s="504"/>
      <c r="B8" s="40" t="s">
        <v>254</v>
      </c>
      <c r="C8" s="41" t="s">
        <v>255</v>
      </c>
      <c r="D8" s="42" t="s">
        <v>54</v>
      </c>
      <c r="E8" s="43">
        <v>1</v>
      </c>
      <c r="F8" s="42">
        <v>2</v>
      </c>
      <c r="G8" s="44">
        <f t="shared" si="1"/>
        <v>76</v>
      </c>
      <c r="H8" s="45">
        <f t="shared" si="0"/>
        <v>63.333333333333336</v>
      </c>
      <c r="I8" s="47" t="s">
        <v>13</v>
      </c>
      <c r="J8" s="46" t="s">
        <v>230</v>
      </c>
    </row>
    <row r="9" spans="1:10" x14ac:dyDescent="0.25">
      <c r="A9" s="504"/>
      <c r="B9" s="40" t="s">
        <v>15</v>
      </c>
      <c r="C9" s="41" t="s">
        <v>256</v>
      </c>
      <c r="D9" s="42" t="s">
        <v>54</v>
      </c>
      <c r="E9" s="43">
        <v>1</v>
      </c>
      <c r="F9" s="42">
        <v>2</v>
      </c>
      <c r="G9" s="44">
        <f t="shared" si="1"/>
        <v>76</v>
      </c>
      <c r="H9" s="45">
        <f t="shared" si="0"/>
        <v>63.333333333333336</v>
      </c>
      <c r="I9" s="47" t="s">
        <v>15</v>
      </c>
      <c r="J9" s="46" t="s">
        <v>230</v>
      </c>
    </row>
    <row r="10" spans="1:10" x14ac:dyDescent="0.25">
      <c r="A10" s="504"/>
      <c r="B10" s="40" t="s">
        <v>21</v>
      </c>
      <c r="C10" s="41" t="s">
        <v>257</v>
      </c>
      <c r="D10" s="42" t="s">
        <v>60</v>
      </c>
      <c r="E10" s="43">
        <v>1</v>
      </c>
      <c r="F10" s="42">
        <v>4</v>
      </c>
      <c r="G10" s="44">
        <f t="shared" si="1"/>
        <v>152</v>
      </c>
      <c r="H10" s="45">
        <f t="shared" si="0"/>
        <v>126.66666666666667</v>
      </c>
      <c r="I10" s="47" t="s">
        <v>21</v>
      </c>
      <c r="J10" s="46" t="s">
        <v>230</v>
      </c>
    </row>
    <row r="11" spans="1:10" x14ac:dyDescent="0.25">
      <c r="A11" s="504"/>
      <c r="B11" s="40" t="s">
        <v>6</v>
      </c>
      <c r="C11" s="41" t="s">
        <v>259</v>
      </c>
      <c r="D11" s="42" t="s">
        <v>60</v>
      </c>
      <c r="E11" s="43">
        <v>1</v>
      </c>
      <c r="F11" s="42">
        <v>2</v>
      </c>
      <c r="G11" s="44">
        <f t="shared" si="1"/>
        <v>76</v>
      </c>
      <c r="H11" s="45">
        <f t="shared" si="0"/>
        <v>63.333333333333336</v>
      </c>
      <c r="I11" s="47" t="s">
        <v>6</v>
      </c>
      <c r="J11" s="46" t="s">
        <v>230</v>
      </c>
    </row>
    <row r="12" spans="1:10" x14ac:dyDescent="0.25">
      <c r="A12" s="504"/>
      <c r="B12" s="40" t="s">
        <v>7</v>
      </c>
      <c r="C12" s="41" t="s">
        <v>260</v>
      </c>
      <c r="D12" s="42" t="s">
        <v>60</v>
      </c>
      <c r="E12" s="43">
        <v>1</v>
      </c>
      <c r="F12" s="42">
        <v>2</v>
      </c>
      <c r="G12" s="44">
        <f t="shared" si="1"/>
        <v>76</v>
      </c>
      <c r="H12" s="45">
        <f t="shared" si="0"/>
        <v>63.333333333333336</v>
      </c>
      <c r="I12" s="47" t="s">
        <v>7</v>
      </c>
      <c r="J12" s="46" t="s">
        <v>230</v>
      </c>
    </row>
    <row r="13" spans="1:10" x14ac:dyDescent="0.25">
      <c r="A13" s="504"/>
      <c r="B13" s="40" t="s">
        <v>9</v>
      </c>
      <c r="C13" s="41" t="s">
        <v>261</v>
      </c>
      <c r="D13" s="42" t="s">
        <v>60</v>
      </c>
      <c r="E13" s="43">
        <v>1</v>
      </c>
      <c r="F13" s="42">
        <v>2</v>
      </c>
      <c r="G13" s="44">
        <f t="shared" si="1"/>
        <v>76</v>
      </c>
      <c r="H13" s="45">
        <f t="shared" si="0"/>
        <v>63.333333333333336</v>
      </c>
      <c r="I13" s="47" t="s">
        <v>9</v>
      </c>
      <c r="J13" s="46" t="s">
        <v>230</v>
      </c>
    </row>
    <row r="14" spans="1:10" x14ac:dyDescent="0.25">
      <c r="A14" s="504"/>
      <c r="B14" s="40" t="s">
        <v>270</v>
      </c>
      <c r="C14" s="48" t="s">
        <v>271</v>
      </c>
      <c r="D14" s="42" t="s">
        <v>54</v>
      </c>
      <c r="E14" s="42">
        <v>2</v>
      </c>
      <c r="F14" s="42">
        <v>4</v>
      </c>
      <c r="G14" s="44">
        <f t="shared" si="1"/>
        <v>152</v>
      </c>
      <c r="H14" s="45">
        <f t="shared" si="0"/>
        <v>126.66666666666667</v>
      </c>
      <c r="I14" s="47" t="s">
        <v>20</v>
      </c>
      <c r="J14" s="46" t="s">
        <v>231</v>
      </c>
    </row>
    <row r="15" spans="1:10" x14ac:dyDescent="0.25">
      <c r="A15" s="504"/>
      <c r="B15" s="40" t="s">
        <v>272</v>
      </c>
      <c r="C15" s="48" t="s">
        <v>273</v>
      </c>
      <c r="D15" s="42" t="s">
        <v>60</v>
      </c>
      <c r="E15" s="42">
        <v>2</v>
      </c>
      <c r="F15" s="42">
        <v>2</v>
      </c>
      <c r="G15" s="44">
        <f t="shared" si="1"/>
        <v>76</v>
      </c>
      <c r="H15" s="45">
        <f t="shared" si="0"/>
        <v>63.333333333333336</v>
      </c>
      <c r="I15" s="47" t="s">
        <v>20</v>
      </c>
      <c r="J15" s="46" t="s">
        <v>230</v>
      </c>
    </row>
    <row r="16" spans="1:10" x14ac:dyDescent="0.25">
      <c r="A16" s="504" t="s">
        <v>274</v>
      </c>
      <c r="B16" s="40" t="s">
        <v>275</v>
      </c>
      <c r="C16" s="49" t="s">
        <v>276</v>
      </c>
      <c r="D16" s="42" t="s">
        <v>54</v>
      </c>
      <c r="E16" s="42">
        <v>2</v>
      </c>
      <c r="F16" s="42">
        <v>4</v>
      </c>
      <c r="G16" s="44">
        <f t="shared" si="1"/>
        <v>152</v>
      </c>
      <c r="H16" s="45">
        <f t="shared" si="0"/>
        <v>126.66666666666667</v>
      </c>
      <c r="I16" s="47" t="s">
        <v>20</v>
      </c>
      <c r="J16" s="46" t="s">
        <v>232</v>
      </c>
    </row>
    <row r="17" spans="1:10" x14ac:dyDescent="0.25">
      <c r="A17" s="504"/>
      <c r="B17" s="40" t="s">
        <v>277</v>
      </c>
      <c r="C17" s="49" t="s">
        <v>278</v>
      </c>
      <c r="D17" s="42" t="s">
        <v>54</v>
      </c>
      <c r="E17" s="42">
        <v>2</v>
      </c>
      <c r="F17" s="42">
        <v>2</v>
      </c>
      <c r="G17" s="44">
        <f t="shared" si="1"/>
        <v>76</v>
      </c>
      <c r="H17" s="45">
        <f t="shared" si="0"/>
        <v>63.333333333333336</v>
      </c>
      <c r="I17" s="47" t="s">
        <v>20</v>
      </c>
      <c r="J17" s="46" t="s">
        <v>232</v>
      </c>
    </row>
    <row r="18" spans="1:10" x14ac:dyDescent="0.25">
      <c r="A18" s="504"/>
      <c r="B18" s="40" t="s">
        <v>249</v>
      </c>
      <c r="C18" s="41" t="s">
        <v>250</v>
      </c>
      <c r="D18" s="42" t="s">
        <v>60</v>
      </c>
      <c r="E18" s="43">
        <v>1</v>
      </c>
      <c r="F18" s="42">
        <v>2</v>
      </c>
      <c r="G18" s="44">
        <f t="shared" si="1"/>
        <v>76</v>
      </c>
      <c r="H18" s="45">
        <f t="shared" si="0"/>
        <v>63.333333333333336</v>
      </c>
      <c r="I18" s="47" t="s">
        <v>14</v>
      </c>
      <c r="J18" s="46" t="s">
        <v>230</v>
      </c>
    </row>
    <row r="19" spans="1:10" x14ac:dyDescent="0.25">
      <c r="A19" s="504"/>
      <c r="B19" s="40" t="s">
        <v>252</v>
      </c>
      <c r="C19" s="41" t="s">
        <v>253</v>
      </c>
      <c r="D19" s="42" t="s">
        <v>54</v>
      </c>
      <c r="E19" s="43">
        <v>1</v>
      </c>
      <c r="F19" s="42">
        <v>2</v>
      </c>
      <c r="G19" s="44">
        <f t="shared" si="1"/>
        <v>76</v>
      </c>
      <c r="H19" s="45">
        <f t="shared" si="0"/>
        <v>63.333333333333336</v>
      </c>
      <c r="I19" s="47" t="s">
        <v>12</v>
      </c>
      <c r="J19" s="46" t="s">
        <v>230</v>
      </c>
    </row>
    <row r="20" spans="1:10" x14ac:dyDescent="0.25">
      <c r="A20" s="504"/>
      <c r="B20" s="40" t="s">
        <v>254</v>
      </c>
      <c r="C20" s="41" t="s">
        <v>255</v>
      </c>
      <c r="D20" s="42" t="s">
        <v>54</v>
      </c>
      <c r="E20" s="43">
        <v>1</v>
      </c>
      <c r="F20" s="42">
        <v>2</v>
      </c>
      <c r="G20" s="44">
        <f t="shared" si="1"/>
        <v>76</v>
      </c>
      <c r="H20" s="45">
        <f t="shared" si="0"/>
        <v>63.333333333333336</v>
      </c>
      <c r="I20" s="47" t="s">
        <v>13</v>
      </c>
      <c r="J20" s="46" t="s">
        <v>230</v>
      </c>
    </row>
    <row r="21" spans="1:10" x14ac:dyDescent="0.25">
      <c r="A21" s="504"/>
      <c r="B21" s="40" t="s">
        <v>15</v>
      </c>
      <c r="C21" s="41" t="s">
        <v>256</v>
      </c>
      <c r="D21" s="42" t="s">
        <v>54</v>
      </c>
      <c r="E21" s="43">
        <v>1</v>
      </c>
      <c r="F21" s="42">
        <v>2</v>
      </c>
      <c r="G21" s="44">
        <f t="shared" si="1"/>
        <v>76</v>
      </c>
      <c r="H21" s="45">
        <f t="shared" si="0"/>
        <v>63.333333333333336</v>
      </c>
      <c r="I21" s="47" t="s">
        <v>15</v>
      </c>
      <c r="J21" s="46" t="s">
        <v>230</v>
      </c>
    </row>
    <row r="22" spans="1:10" x14ac:dyDescent="0.25">
      <c r="A22" s="504"/>
      <c r="B22" s="40" t="s">
        <v>21</v>
      </c>
      <c r="C22" s="41" t="s">
        <v>257</v>
      </c>
      <c r="D22" s="42" t="s">
        <v>60</v>
      </c>
      <c r="E22" s="43">
        <v>1</v>
      </c>
      <c r="F22" s="42">
        <v>2</v>
      </c>
      <c r="G22" s="44">
        <f t="shared" si="1"/>
        <v>76</v>
      </c>
      <c r="H22" s="45">
        <f t="shared" si="0"/>
        <v>63.333333333333336</v>
      </c>
      <c r="I22" s="47" t="s">
        <v>21</v>
      </c>
      <c r="J22" s="46" t="s">
        <v>230</v>
      </c>
    </row>
    <row r="23" spans="1:10" x14ac:dyDescent="0.25">
      <c r="A23" s="504"/>
      <c r="B23" s="40" t="s">
        <v>5</v>
      </c>
      <c r="C23" s="41" t="s">
        <v>258</v>
      </c>
      <c r="D23" s="42" t="s">
        <v>60</v>
      </c>
      <c r="E23" s="43">
        <v>1</v>
      </c>
      <c r="F23" s="42">
        <v>2</v>
      </c>
      <c r="G23" s="44">
        <f t="shared" si="1"/>
        <v>76</v>
      </c>
      <c r="H23" s="45">
        <f t="shared" si="0"/>
        <v>63.333333333333336</v>
      </c>
      <c r="I23" s="47" t="s">
        <v>5</v>
      </c>
      <c r="J23" s="46" t="s">
        <v>230</v>
      </c>
    </row>
    <row r="24" spans="1:10" x14ac:dyDescent="0.25">
      <c r="A24" s="504"/>
      <c r="B24" s="40" t="s">
        <v>6</v>
      </c>
      <c r="C24" s="41" t="s">
        <v>259</v>
      </c>
      <c r="D24" s="42" t="s">
        <v>60</v>
      </c>
      <c r="E24" s="43">
        <v>1</v>
      </c>
      <c r="F24" s="42">
        <v>2</v>
      </c>
      <c r="G24" s="44">
        <f t="shared" si="1"/>
        <v>76</v>
      </c>
      <c r="H24" s="45">
        <f t="shared" si="0"/>
        <v>63.333333333333336</v>
      </c>
      <c r="I24" s="47" t="s">
        <v>6</v>
      </c>
      <c r="J24" s="46" t="s">
        <v>230</v>
      </c>
    </row>
    <row r="25" spans="1:10" x14ac:dyDescent="0.25">
      <c r="A25" s="504"/>
      <c r="B25" s="40" t="s">
        <v>7</v>
      </c>
      <c r="C25" s="41" t="s">
        <v>260</v>
      </c>
      <c r="D25" s="42" t="s">
        <v>60</v>
      </c>
      <c r="E25" s="43">
        <v>1</v>
      </c>
      <c r="F25" s="42">
        <v>2</v>
      </c>
      <c r="G25" s="44">
        <f t="shared" si="1"/>
        <v>76</v>
      </c>
      <c r="H25" s="45">
        <f t="shared" si="0"/>
        <v>63.333333333333336</v>
      </c>
      <c r="I25" s="47" t="s">
        <v>7</v>
      </c>
      <c r="J25" s="46" t="s">
        <v>230</v>
      </c>
    </row>
    <row r="26" spans="1:10" x14ac:dyDescent="0.25">
      <c r="A26" s="504"/>
      <c r="B26" s="40" t="s">
        <v>9</v>
      </c>
      <c r="C26" s="41" t="s">
        <v>261</v>
      </c>
      <c r="D26" s="42" t="s">
        <v>60</v>
      </c>
      <c r="E26" s="43">
        <v>1</v>
      </c>
      <c r="F26" s="42">
        <v>2</v>
      </c>
      <c r="G26" s="44">
        <f t="shared" si="1"/>
        <v>76</v>
      </c>
      <c r="H26" s="45">
        <f t="shared" si="0"/>
        <v>63.333333333333336</v>
      </c>
      <c r="I26" s="47" t="s">
        <v>9</v>
      </c>
      <c r="J26" s="46" t="s">
        <v>230</v>
      </c>
    </row>
    <row r="27" spans="1:10" x14ac:dyDescent="0.25">
      <c r="A27" s="504"/>
      <c r="B27" s="40" t="s">
        <v>10</v>
      </c>
      <c r="C27" s="41" t="s">
        <v>262</v>
      </c>
      <c r="D27" s="42" t="s">
        <v>60</v>
      </c>
      <c r="E27" s="43">
        <v>1</v>
      </c>
      <c r="F27" s="42">
        <v>2</v>
      </c>
      <c r="G27" s="44">
        <f t="shared" si="1"/>
        <v>76</v>
      </c>
      <c r="H27" s="45">
        <f t="shared" si="0"/>
        <v>63.333333333333336</v>
      </c>
      <c r="I27" s="47" t="s">
        <v>10</v>
      </c>
      <c r="J27" s="46" t="s">
        <v>230</v>
      </c>
    </row>
    <row r="28" spans="1:10" x14ac:dyDescent="0.25">
      <c r="A28" s="504"/>
      <c r="B28" s="40" t="s">
        <v>8</v>
      </c>
      <c r="C28" s="41" t="s">
        <v>263</v>
      </c>
      <c r="D28" s="42" t="s">
        <v>60</v>
      </c>
      <c r="E28" s="43">
        <v>1</v>
      </c>
      <c r="F28" s="42">
        <v>2</v>
      </c>
      <c r="G28" s="44">
        <f t="shared" si="1"/>
        <v>76</v>
      </c>
      <c r="H28" s="45">
        <f t="shared" si="0"/>
        <v>63.333333333333336</v>
      </c>
      <c r="I28" s="47" t="s">
        <v>8</v>
      </c>
      <c r="J28" s="46" t="s">
        <v>230</v>
      </c>
    </row>
    <row r="29" spans="1:10" x14ac:dyDescent="0.25">
      <c r="A29" s="504"/>
      <c r="B29" s="40" t="s">
        <v>11</v>
      </c>
      <c r="C29" s="41" t="s">
        <v>264</v>
      </c>
      <c r="D29" s="42" t="s">
        <v>60</v>
      </c>
      <c r="E29" s="43">
        <v>1</v>
      </c>
      <c r="F29" s="42">
        <v>2</v>
      </c>
      <c r="G29" s="44">
        <f t="shared" si="1"/>
        <v>76</v>
      </c>
      <c r="H29" s="45">
        <f t="shared" si="0"/>
        <v>63.333333333333336</v>
      </c>
      <c r="I29" s="47" t="s">
        <v>11</v>
      </c>
      <c r="J29" s="46" t="s">
        <v>230</v>
      </c>
    </row>
    <row r="30" spans="1:10" x14ac:dyDescent="0.25">
      <c r="A30" s="504"/>
      <c r="B30" s="40" t="s">
        <v>171</v>
      </c>
      <c r="C30" s="49" t="s">
        <v>279</v>
      </c>
      <c r="D30" s="42" t="s">
        <v>54</v>
      </c>
      <c r="E30" s="42">
        <v>2</v>
      </c>
      <c r="F30" s="42">
        <v>4</v>
      </c>
      <c r="G30" s="44">
        <f t="shared" si="1"/>
        <v>152</v>
      </c>
      <c r="H30" s="45">
        <f t="shared" si="0"/>
        <v>126.66666666666667</v>
      </c>
      <c r="I30" s="47" t="s">
        <v>20</v>
      </c>
      <c r="J30" s="46" t="s">
        <v>232</v>
      </c>
    </row>
    <row r="31" spans="1:10" x14ac:dyDescent="0.25">
      <c r="A31" s="504"/>
      <c r="B31" s="40" t="s">
        <v>280</v>
      </c>
      <c r="C31" s="49" t="s">
        <v>281</v>
      </c>
      <c r="D31" s="42" t="s">
        <v>54</v>
      </c>
      <c r="E31" s="42">
        <v>1</v>
      </c>
      <c r="F31" s="42">
        <v>2</v>
      </c>
      <c r="G31" s="44">
        <f t="shared" si="1"/>
        <v>76</v>
      </c>
      <c r="H31" s="45">
        <f t="shared" si="0"/>
        <v>63.333333333333336</v>
      </c>
      <c r="I31" s="47" t="s">
        <v>20</v>
      </c>
      <c r="J31" s="46" t="s">
        <v>232</v>
      </c>
    </row>
    <row r="32" spans="1:10" x14ac:dyDescent="0.25">
      <c r="A32" s="504"/>
      <c r="B32" s="40" t="s">
        <v>282</v>
      </c>
      <c r="C32" s="49" t="s">
        <v>283</v>
      </c>
      <c r="D32" s="42" t="s">
        <v>54</v>
      </c>
      <c r="E32" s="43">
        <v>2</v>
      </c>
      <c r="F32" s="42">
        <v>2</v>
      </c>
      <c r="G32" s="44">
        <f t="shared" si="1"/>
        <v>76</v>
      </c>
      <c r="H32" s="45">
        <f t="shared" si="0"/>
        <v>63.333333333333336</v>
      </c>
      <c r="I32" s="47" t="s">
        <v>20</v>
      </c>
      <c r="J32" s="46" t="s">
        <v>232</v>
      </c>
    </row>
    <row r="33" spans="1:10" x14ac:dyDescent="0.25">
      <c r="A33" s="504" t="s">
        <v>284</v>
      </c>
      <c r="B33" s="40" t="s">
        <v>285</v>
      </c>
      <c r="C33" s="49" t="s">
        <v>286</v>
      </c>
      <c r="D33" s="42" t="s">
        <v>54</v>
      </c>
      <c r="E33" s="42">
        <v>1</v>
      </c>
      <c r="F33" s="42">
        <v>2</v>
      </c>
      <c r="G33" s="44">
        <f t="shared" si="1"/>
        <v>76</v>
      </c>
      <c r="H33" s="45">
        <f t="shared" si="0"/>
        <v>63.333333333333336</v>
      </c>
      <c r="I33" s="47" t="s">
        <v>20</v>
      </c>
      <c r="J33" s="46" t="s">
        <v>232</v>
      </c>
    </row>
    <row r="34" spans="1:10" x14ac:dyDescent="0.25">
      <c r="A34" s="504"/>
      <c r="B34" s="40" t="s">
        <v>287</v>
      </c>
      <c r="C34" s="49" t="s">
        <v>288</v>
      </c>
      <c r="D34" s="42" t="s">
        <v>54</v>
      </c>
      <c r="E34" s="42">
        <v>2</v>
      </c>
      <c r="F34" s="42">
        <v>4</v>
      </c>
      <c r="G34" s="44">
        <f t="shared" si="1"/>
        <v>152</v>
      </c>
      <c r="H34" s="45">
        <f t="shared" si="0"/>
        <v>126.66666666666667</v>
      </c>
      <c r="I34" s="47" t="s">
        <v>20</v>
      </c>
      <c r="J34" s="46" t="s">
        <v>232</v>
      </c>
    </row>
    <row r="35" spans="1:10" x14ac:dyDescent="0.25">
      <c r="A35" s="504"/>
      <c r="B35" s="40" t="s">
        <v>289</v>
      </c>
      <c r="C35" s="49" t="s">
        <v>290</v>
      </c>
      <c r="D35" s="42" t="s">
        <v>60</v>
      </c>
      <c r="E35" s="42">
        <v>1</v>
      </c>
      <c r="F35" s="42">
        <v>4</v>
      </c>
      <c r="G35" s="44">
        <f t="shared" si="1"/>
        <v>152</v>
      </c>
      <c r="H35" s="45">
        <f t="shared" si="0"/>
        <v>126.66666666666667</v>
      </c>
      <c r="I35" s="47" t="s">
        <v>20</v>
      </c>
      <c r="J35" s="46" t="s">
        <v>230</v>
      </c>
    </row>
    <row r="36" spans="1:10" x14ac:dyDescent="0.25">
      <c r="A36" s="504"/>
      <c r="B36" s="40" t="s">
        <v>249</v>
      </c>
      <c r="C36" s="41" t="s">
        <v>250</v>
      </c>
      <c r="D36" s="42" t="s">
        <v>60</v>
      </c>
      <c r="E36" s="43">
        <v>1</v>
      </c>
      <c r="F36" s="42">
        <v>2</v>
      </c>
      <c r="G36" s="44">
        <f t="shared" si="1"/>
        <v>76</v>
      </c>
      <c r="H36" s="45">
        <f t="shared" si="0"/>
        <v>63.333333333333336</v>
      </c>
      <c r="I36" s="47" t="s">
        <v>14</v>
      </c>
      <c r="J36" s="46" t="s">
        <v>230</v>
      </c>
    </row>
    <row r="37" spans="1:10" x14ac:dyDescent="0.25">
      <c r="A37" s="504"/>
      <c r="B37" s="40" t="s">
        <v>252</v>
      </c>
      <c r="C37" s="41" t="s">
        <v>253</v>
      </c>
      <c r="D37" s="42" t="s">
        <v>54</v>
      </c>
      <c r="E37" s="43">
        <v>1</v>
      </c>
      <c r="F37" s="42">
        <v>2</v>
      </c>
      <c r="G37" s="44">
        <f t="shared" si="1"/>
        <v>76</v>
      </c>
      <c r="H37" s="45">
        <f t="shared" ref="H37:H60" si="2">(G37)*$C$67/60</f>
        <v>63.333333333333336</v>
      </c>
      <c r="I37" s="47" t="s">
        <v>12</v>
      </c>
      <c r="J37" s="46" t="s">
        <v>230</v>
      </c>
    </row>
    <row r="38" spans="1:10" x14ac:dyDescent="0.25">
      <c r="A38" s="504"/>
      <c r="B38" s="40" t="s">
        <v>15</v>
      </c>
      <c r="C38" s="41" t="s">
        <v>256</v>
      </c>
      <c r="D38" s="42" t="s">
        <v>54</v>
      </c>
      <c r="E38" s="43">
        <v>1</v>
      </c>
      <c r="F38" s="42">
        <v>2</v>
      </c>
      <c r="G38" s="44">
        <f t="shared" si="1"/>
        <v>76</v>
      </c>
      <c r="H38" s="45">
        <f t="shared" si="2"/>
        <v>63.333333333333336</v>
      </c>
      <c r="I38" s="47" t="s">
        <v>15</v>
      </c>
      <c r="J38" s="46" t="s">
        <v>230</v>
      </c>
    </row>
    <row r="39" spans="1:10" x14ac:dyDescent="0.25">
      <c r="A39" s="504"/>
      <c r="B39" s="40" t="s">
        <v>21</v>
      </c>
      <c r="C39" s="41" t="s">
        <v>257</v>
      </c>
      <c r="D39" s="42" t="s">
        <v>60</v>
      </c>
      <c r="E39" s="43">
        <v>1</v>
      </c>
      <c r="F39" s="42">
        <v>2</v>
      </c>
      <c r="G39" s="44">
        <f t="shared" si="1"/>
        <v>76</v>
      </c>
      <c r="H39" s="45">
        <f t="shared" si="2"/>
        <v>63.333333333333336</v>
      </c>
      <c r="I39" s="47" t="s">
        <v>21</v>
      </c>
      <c r="J39" s="46" t="s">
        <v>230</v>
      </c>
    </row>
    <row r="40" spans="1:10" x14ac:dyDescent="0.25">
      <c r="A40" s="504"/>
      <c r="B40" s="40" t="s">
        <v>5</v>
      </c>
      <c r="C40" s="41" t="s">
        <v>258</v>
      </c>
      <c r="D40" s="42" t="s">
        <v>60</v>
      </c>
      <c r="E40" s="43">
        <v>1</v>
      </c>
      <c r="F40" s="42">
        <v>2</v>
      </c>
      <c r="G40" s="44">
        <f t="shared" si="1"/>
        <v>76</v>
      </c>
      <c r="H40" s="45">
        <f t="shared" si="2"/>
        <v>63.333333333333336</v>
      </c>
      <c r="I40" s="47" t="s">
        <v>5</v>
      </c>
      <c r="J40" s="46" t="s">
        <v>230</v>
      </c>
    </row>
    <row r="41" spans="1:10" x14ac:dyDescent="0.25">
      <c r="A41" s="504"/>
      <c r="B41" s="40" t="s">
        <v>6</v>
      </c>
      <c r="C41" s="41" t="s">
        <v>259</v>
      </c>
      <c r="D41" s="42" t="s">
        <v>60</v>
      </c>
      <c r="E41" s="43">
        <v>1</v>
      </c>
      <c r="F41" s="42">
        <v>1</v>
      </c>
      <c r="G41" s="44">
        <f t="shared" si="1"/>
        <v>38</v>
      </c>
      <c r="H41" s="45">
        <f t="shared" si="2"/>
        <v>31.666666666666668</v>
      </c>
      <c r="I41" s="47" t="s">
        <v>6</v>
      </c>
      <c r="J41" s="46" t="s">
        <v>230</v>
      </c>
    </row>
    <row r="42" spans="1:10" x14ac:dyDescent="0.25">
      <c r="A42" s="504"/>
      <c r="B42" s="40" t="s">
        <v>10</v>
      </c>
      <c r="C42" s="41" t="s">
        <v>262</v>
      </c>
      <c r="D42" s="42" t="s">
        <v>60</v>
      </c>
      <c r="E42" s="43">
        <v>1</v>
      </c>
      <c r="F42" s="42">
        <v>2</v>
      </c>
      <c r="G42" s="44">
        <f t="shared" si="1"/>
        <v>76</v>
      </c>
      <c r="H42" s="45">
        <f t="shared" si="2"/>
        <v>63.333333333333336</v>
      </c>
      <c r="I42" s="47" t="s">
        <v>10</v>
      </c>
      <c r="J42" s="46" t="s">
        <v>230</v>
      </c>
    </row>
    <row r="43" spans="1:10" x14ac:dyDescent="0.25">
      <c r="A43" s="504"/>
      <c r="B43" s="40" t="s">
        <v>8</v>
      </c>
      <c r="C43" s="41" t="s">
        <v>263</v>
      </c>
      <c r="D43" s="42" t="s">
        <v>60</v>
      </c>
      <c r="E43" s="43">
        <v>1</v>
      </c>
      <c r="F43" s="42">
        <v>2</v>
      </c>
      <c r="G43" s="44">
        <f t="shared" si="1"/>
        <v>76</v>
      </c>
      <c r="H43" s="45">
        <f t="shared" si="2"/>
        <v>63.333333333333336</v>
      </c>
      <c r="I43" s="47" t="s">
        <v>8</v>
      </c>
      <c r="J43" s="46" t="s">
        <v>230</v>
      </c>
    </row>
    <row r="44" spans="1:10" x14ac:dyDescent="0.25">
      <c r="A44" s="504"/>
      <c r="B44" s="40" t="s">
        <v>11</v>
      </c>
      <c r="C44" s="41" t="s">
        <v>264</v>
      </c>
      <c r="D44" s="42" t="s">
        <v>60</v>
      </c>
      <c r="E44" s="43">
        <v>1</v>
      </c>
      <c r="F44" s="42">
        <v>2</v>
      </c>
      <c r="G44" s="44">
        <f t="shared" si="1"/>
        <v>76</v>
      </c>
      <c r="H44" s="45">
        <f t="shared" si="2"/>
        <v>63.333333333333336</v>
      </c>
      <c r="I44" s="47" t="s">
        <v>11</v>
      </c>
      <c r="J44" s="46" t="s">
        <v>230</v>
      </c>
    </row>
    <row r="45" spans="1:10" x14ac:dyDescent="0.25">
      <c r="A45" s="504"/>
      <c r="B45" s="40" t="s">
        <v>249</v>
      </c>
      <c r="C45" s="41" t="s">
        <v>250</v>
      </c>
      <c r="D45" s="42" t="s">
        <v>60</v>
      </c>
      <c r="E45" s="43">
        <v>1</v>
      </c>
      <c r="F45" s="42">
        <v>4</v>
      </c>
      <c r="G45" s="44">
        <f t="shared" si="1"/>
        <v>152</v>
      </c>
      <c r="H45" s="45">
        <f t="shared" si="2"/>
        <v>126.66666666666667</v>
      </c>
      <c r="I45" s="47" t="s">
        <v>14</v>
      </c>
      <c r="J45" s="46" t="s">
        <v>230</v>
      </c>
    </row>
    <row r="46" spans="1:10" x14ac:dyDescent="0.25">
      <c r="A46" s="504"/>
      <c r="B46" s="40" t="s">
        <v>252</v>
      </c>
      <c r="C46" s="41" t="s">
        <v>253</v>
      </c>
      <c r="D46" s="42" t="s">
        <v>54</v>
      </c>
      <c r="E46" s="43">
        <v>1</v>
      </c>
      <c r="F46" s="42">
        <v>2</v>
      </c>
      <c r="G46" s="44">
        <f t="shared" si="1"/>
        <v>76</v>
      </c>
      <c r="H46" s="45">
        <f t="shared" si="2"/>
        <v>63.333333333333336</v>
      </c>
      <c r="I46" s="47" t="s">
        <v>12</v>
      </c>
      <c r="J46" s="46" t="s">
        <v>230</v>
      </c>
    </row>
    <row r="47" spans="1:10" x14ac:dyDescent="0.25">
      <c r="A47" s="504"/>
      <c r="B47" s="40" t="s">
        <v>254</v>
      </c>
      <c r="C47" s="41" t="s">
        <v>255</v>
      </c>
      <c r="D47" s="42" t="s">
        <v>54</v>
      </c>
      <c r="E47" s="43">
        <v>1</v>
      </c>
      <c r="F47" s="42">
        <v>2</v>
      </c>
      <c r="G47" s="44">
        <f t="shared" si="1"/>
        <v>76</v>
      </c>
      <c r="H47" s="45">
        <f t="shared" si="2"/>
        <v>63.333333333333336</v>
      </c>
      <c r="I47" s="47" t="s">
        <v>13</v>
      </c>
      <c r="J47" s="46" t="s">
        <v>230</v>
      </c>
    </row>
    <row r="48" spans="1:10" x14ac:dyDescent="0.25">
      <c r="A48" s="504"/>
      <c r="B48" s="40" t="s">
        <v>21</v>
      </c>
      <c r="C48" s="41" t="s">
        <v>257</v>
      </c>
      <c r="D48" s="42" t="s">
        <v>60</v>
      </c>
      <c r="E48" s="43">
        <v>1</v>
      </c>
      <c r="F48" s="42">
        <v>2</v>
      </c>
      <c r="G48" s="44">
        <f t="shared" si="1"/>
        <v>76</v>
      </c>
      <c r="H48" s="45">
        <f t="shared" si="2"/>
        <v>63.333333333333336</v>
      </c>
      <c r="I48" s="47" t="s">
        <v>21</v>
      </c>
      <c r="J48" s="46" t="s">
        <v>230</v>
      </c>
    </row>
    <row r="49" spans="1:10" x14ac:dyDescent="0.25">
      <c r="A49" s="504"/>
      <c r="B49" s="40" t="s">
        <v>5</v>
      </c>
      <c r="C49" s="41" t="s">
        <v>258</v>
      </c>
      <c r="D49" s="42" t="s">
        <v>60</v>
      </c>
      <c r="E49" s="43">
        <v>1</v>
      </c>
      <c r="F49" s="42">
        <v>2</v>
      </c>
      <c r="G49" s="44">
        <f t="shared" si="1"/>
        <v>76</v>
      </c>
      <c r="H49" s="45">
        <f t="shared" si="2"/>
        <v>63.333333333333336</v>
      </c>
      <c r="I49" s="47" t="s">
        <v>5</v>
      </c>
      <c r="J49" s="46" t="s">
        <v>230</v>
      </c>
    </row>
    <row r="50" spans="1:10" x14ac:dyDescent="0.25">
      <c r="A50" s="504"/>
      <c r="B50" s="40" t="s">
        <v>6</v>
      </c>
      <c r="C50" s="41" t="s">
        <v>259</v>
      </c>
      <c r="D50" s="42" t="s">
        <v>60</v>
      </c>
      <c r="E50" s="43">
        <v>1</v>
      </c>
      <c r="F50" s="42">
        <v>2</v>
      </c>
      <c r="G50" s="44">
        <f t="shared" si="1"/>
        <v>76</v>
      </c>
      <c r="H50" s="45">
        <f t="shared" si="2"/>
        <v>63.333333333333336</v>
      </c>
      <c r="I50" s="47" t="s">
        <v>6</v>
      </c>
      <c r="J50" s="46" t="s">
        <v>230</v>
      </c>
    </row>
    <row r="51" spans="1:10" x14ac:dyDescent="0.25">
      <c r="A51" s="504"/>
      <c r="B51" s="40" t="s">
        <v>7</v>
      </c>
      <c r="C51" s="41" t="s">
        <v>260</v>
      </c>
      <c r="D51" s="42" t="s">
        <v>60</v>
      </c>
      <c r="E51" s="43">
        <v>1</v>
      </c>
      <c r="F51" s="42">
        <v>2</v>
      </c>
      <c r="G51" s="44">
        <f t="shared" si="1"/>
        <v>76</v>
      </c>
      <c r="H51" s="45">
        <f t="shared" si="2"/>
        <v>63.333333333333336</v>
      </c>
      <c r="I51" s="47" t="s">
        <v>7</v>
      </c>
      <c r="J51" s="46" t="s">
        <v>230</v>
      </c>
    </row>
    <row r="52" spans="1:10" x14ac:dyDescent="0.25">
      <c r="A52" s="504"/>
      <c r="B52" s="40" t="s">
        <v>9</v>
      </c>
      <c r="C52" s="41" t="s">
        <v>261</v>
      </c>
      <c r="D52" s="42" t="s">
        <v>60</v>
      </c>
      <c r="E52" s="43">
        <v>1</v>
      </c>
      <c r="F52" s="42">
        <v>2</v>
      </c>
      <c r="G52" s="44">
        <f t="shared" si="1"/>
        <v>76</v>
      </c>
      <c r="H52" s="45">
        <f t="shared" si="2"/>
        <v>63.333333333333336</v>
      </c>
      <c r="I52" s="47" t="s">
        <v>9</v>
      </c>
      <c r="J52" s="46" t="s">
        <v>230</v>
      </c>
    </row>
    <row r="53" spans="1:10" x14ac:dyDescent="0.25">
      <c r="A53" s="504"/>
      <c r="B53" s="40" t="s">
        <v>10</v>
      </c>
      <c r="C53" s="41" t="s">
        <v>262</v>
      </c>
      <c r="D53" s="42" t="s">
        <v>60</v>
      </c>
      <c r="E53" s="43">
        <v>1</v>
      </c>
      <c r="F53" s="42">
        <v>2</v>
      </c>
      <c r="G53" s="44">
        <f t="shared" si="1"/>
        <v>76</v>
      </c>
      <c r="H53" s="45">
        <f t="shared" si="2"/>
        <v>63.333333333333336</v>
      </c>
      <c r="I53" s="47" t="s">
        <v>10</v>
      </c>
      <c r="J53" s="46" t="s">
        <v>230</v>
      </c>
    </row>
    <row r="54" spans="1:10" x14ac:dyDescent="0.25">
      <c r="A54" s="504"/>
      <c r="B54" s="40" t="s">
        <v>8</v>
      </c>
      <c r="C54" s="41" t="s">
        <v>263</v>
      </c>
      <c r="D54" s="42" t="s">
        <v>60</v>
      </c>
      <c r="E54" s="43">
        <v>1</v>
      </c>
      <c r="F54" s="42">
        <v>1</v>
      </c>
      <c r="G54" s="44">
        <f t="shared" si="1"/>
        <v>38</v>
      </c>
      <c r="H54" s="45">
        <f t="shared" si="2"/>
        <v>31.666666666666668</v>
      </c>
      <c r="I54" s="47" t="s">
        <v>8</v>
      </c>
      <c r="J54" s="46" t="s">
        <v>230</v>
      </c>
    </row>
    <row r="55" spans="1:10" x14ac:dyDescent="0.25">
      <c r="A55" s="504"/>
      <c r="B55" s="40" t="s">
        <v>11</v>
      </c>
      <c r="C55" s="41" t="s">
        <v>264</v>
      </c>
      <c r="D55" s="42" t="s">
        <v>60</v>
      </c>
      <c r="E55" s="43">
        <v>1</v>
      </c>
      <c r="F55" s="42">
        <v>1</v>
      </c>
      <c r="G55" s="44">
        <f t="shared" si="1"/>
        <v>38</v>
      </c>
      <c r="H55" s="45">
        <f t="shared" si="2"/>
        <v>31.666666666666668</v>
      </c>
      <c r="I55" s="47" t="s">
        <v>11</v>
      </c>
      <c r="J55" s="46" t="s">
        <v>230</v>
      </c>
    </row>
    <row r="56" spans="1:10" x14ac:dyDescent="0.25">
      <c r="A56" s="504"/>
      <c r="B56" s="40" t="s">
        <v>291</v>
      </c>
      <c r="C56" s="49" t="s">
        <v>292</v>
      </c>
      <c r="D56" s="42" t="s">
        <v>54</v>
      </c>
      <c r="E56" s="42">
        <v>2</v>
      </c>
      <c r="F56" s="42">
        <v>2</v>
      </c>
      <c r="G56" s="44">
        <f t="shared" si="1"/>
        <v>76</v>
      </c>
      <c r="H56" s="45">
        <f t="shared" si="2"/>
        <v>63.333333333333336</v>
      </c>
      <c r="I56" s="47" t="s">
        <v>20</v>
      </c>
      <c r="J56" s="46" t="s">
        <v>231</v>
      </c>
    </row>
    <row r="57" spans="1:10" x14ac:dyDescent="0.25">
      <c r="A57" s="504"/>
      <c r="B57" s="40" t="s">
        <v>293</v>
      </c>
      <c r="C57" s="49" t="s">
        <v>294</v>
      </c>
      <c r="D57" s="42" t="s">
        <v>54</v>
      </c>
      <c r="E57" s="42">
        <v>1</v>
      </c>
      <c r="F57" s="42">
        <v>2</v>
      </c>
      <c r="G57" s="44">
        <f t="shared" si="1"/>
        <v>76</v>
      </c>
      <c r="H57" s="45">
        <f t="shared" si="2"/>
        <v>63.333333333333336</v>
      </c>
      <c r="I57" s="47" t="s">
        <v>20</v>
      </c>
      <c r="J57" s="46" t="s">
        <v>232</v>
      </c>
    </row>
    <row r="58" spans="1:10" ht="15.75" thickBot="1" x14ac:dyDescent="0.3">
      <c r="A58" s="504"/>
      <c r="B58" s="52" t="s">
        <v>295</v>
      </c>
      <c r="C58" s="49" t="s">
        <v>296</v>
      </c>
      <c r="D58" s="42" t="s">
        <v>54</v>
      </c>
      <c r="E58" s="42">
        <v>2</v>
      </c>
      <c r="F58" s="42">
        <v>2</v>
      </c>
      <c r="G58" s="44">
        <f t="shared" si="1"/>
        <v>76</v>
      </c>
      <c r="H58" s="45">
        <f t="shared" si="2"/>
        <v>63.333333333333336</v>
      </c>
      <c r="I58" s="47" t="s">
        <v>20</v>
      </c>
      <c r="J58" s="46" t="s">
        <v>232</v>
      </c>
    </row>
    <row r="59" spans="1:10" ht="15.75" thickBot="1" x14ac:dyDescent="0.3">
      <c r="A59" s="506" t="s">
        <v>297</v>
      </c>
      <c r="B59" s="507"/>
      <c r="C59" s="42" t="s">
        <v>298</v>
      </c>
      <c r="D59" s="42" t="s">
        <v>54</v>
      </c>
      <c r="E59" s="42">
        <v>1</v>
      </c>
      <c r="F59" s="42"/>
      <c r="G59" s="44">
        <f t="shared" si="1"/>
        <v>0</v>
      </c>
      <c r="H59" s="45">
        <f t="shared" si="2"/>
        <v>0</v>
      </c>
      <c r="I59" s="47" t="s">
        <v>16</v>
      </c>
      <c r="J59" s="46" t="s">
        <v>230</v>
      </c>
    </row>
    <row r="60" spans="1:10" ht="15.75" thickBot="1" x14ac:dyDescent="0.3">
      <c r="A60" s="506" t="s">
        <v>300</v>
      </c>
      <c r="B60" s="507"/>
      <c r="C60" s="42" t="s">
        <v>301</v>
      </c>
      <c r="D60" s="42" t="s">
        <v>54</v>
      </c>
      <c r="E60" s="42">
        <v>1</v>
      </c>
      <c r="F60" s="42"/>
      <c r="G60" s="44">
        <f t="shared" si="1"/>
        <v>0</v>
      </c>
      <c r="H60" s="45">
        <f t="shared" si="2"/>
        <v>0</v>
      </c>
      <c r="I60" s="47" t="s">
        <v>17</v>
      </c>
      <c r="J60" s="46" t="s">
        <v>230</v>
      </c>
    </row>
    <row r="61" spans="1:10" ht="16.5" thickBot="1" x14ac:dyDescent="0.3">
      <c r="A61" s="508" t="s">
        <v>302</v>
      </c>
      <c r="B61" s="509"/>
      <c r="C61" s="509"/>
      <c r="D61" s="509"/>
      <c r="E61" s="510"/>
      <c r="F61" s="53">
        <f>SUM(F5:F44)</f>
        <v>95</v>
      </c>
      <c r="G61" s="53">
        <f>SUM(G5:G60)</f>
        <v>4674</v>
      </c>
      <c r="H61" s="53">
        <f>SUM(H5:H60)</f>
        <v>3895.0000000000014</v>
      </c>
      <c r="I61" s="36"/>
    </row>
    <row r="62" spans="1:10" ht="16.5" thickBot="1" x14ac:dyDescent="0.3">
      <c r="A62" s="508" t="s">
        <v>303</v>
      </c>
      <c r="B62" s="509"/>
      <c r="C62" s="509"/>
      <c r="D62" s="509"/>
      <c r="E62" s="510"/>
      <c r="F62" s="55" t="e">
        <f>(F61*#REF!*$C$67)/60</f>
        <v>#REF!</v>
      </c>
      <c r="G62" s="53" t="s">
        <v>304</v>
      </c>
      <c r="H62" s="55" t="e">
        <f>SUM(F62+#REF!+#REF!)</f>
        <v>#REF!</v>
      </c>
      <c r="I62" s="36"/>
    </row>
    <row r="63" spans="1:10" ht="16.5" thickBot="1" x14ac:dyDescent="0.3">
      <c r="A63" s="508" t="s">
        <v>305</v>
      </c>
      <c r="B63" s="509"/>
      <c r="C63" s="509"/>
      <c r="D63" s="509"/>
      <c r="E63" s="509"/>
      <c r="F63" s="509"/>
      <c r="G63" s="510"/>
      <c r="H63" s="56" t="e">
        <f>H62</f>
        <v>#REF!</v>
      </c>
      <c r="I63" s="57"/>
    </row>
    <row r="64" spans="1:10" ht="15.75" thickBot="1" x14ac:dyDescent="0.3">
      <c r="A64" s="506" t="s">
        <v>306</v>
      </c>
      <c r="B64" s="511"/>
      <c r="C64" s="511"/>
      <c r="D64" s="511"/>
      <c r="E64" s="511"/>
      <c r="F64" s="511"/>
      <c r="G64" s="512"/>
      <c r="H64" s="58">
        <v>360</v>
      </c>
      <c r="I64" s="59"/>
    </row>
    <row r="65" spans="1:9" ht="15.75" thickBot="1" x14ac:dyDescent="0.3">
      <c r="A65" s="506" t="s">
        <v>307</v>
      </c>
      <c r="B65" s="511"/>
      <c r="C65" s="511"/>
      <c r="D65" s="511"/>
      <c r="E65" s="511"/>
      <c r="F65" s="511"/>
      <c r="G65" s="512"/>
      <c r="H65" s="58">
        <v>80</v>
      </c>
      <c r="I65" s="59"/>
    </row>
    <row r="66" spans="1:9" ht="16.5" thickBot="1" x14ac:dyDescent="0.3">
      <c r="A66" s="508" t="s">
        <v>308</v>
      </c>
      <c r="B66" s="509"/>
      <c r="C66" s="509"/>
      <c r="D66" s="509"/>
      <c r="E66" s="509"/>
      <c r="F66" s="509"/>
      <c r="G66" s="510"/>
      <c r="H66" s="55" t="e">
        <f>ROUNDDOWN(SUM(H63:H65,H59:H60),0)</f>
        <v>#REF!</v>
      </c>
      <c r="I66" s="36"/>
    </row>
    <row r="67" spans="1:9" ht="15.75" x14ac:dyDescent="0.25">
      <c r="A67" s="505" t="s">
        <v>309</v>
      </c>
      <c r="B67" s="505"/>
      <c r="C67" s="38">
        <v>50</v>
      </c>
      <c r="D67" s="60" t="s">
        <v>310</v>
      </c>
      <c r="E67" s="60"/>
      <c r="F67" s="60"/>
      <c r="G67" s="60"/>
      <c r="H67" s="60"/>
      <c r="I67" s="36"/>
    </row>
  </sheetData>
  <mergeCells count="18">
    <mergeCell ref="A2:C2"/>
    <mergeCell ref="B3:B4"/>
    <mergeCell ref="C3:C4"/>
    <mergeCell ref="I3:I4"/>
    <mergeCell ref="J3:J4"/>
    <mergeCell ref="A5:A15"/>
    <mergeCell ref="A67:B67"/>
    <mergeCell ref="A16:A32"/>
    <mergeCell ref="A33:A44"/>
    <mergeCell ref="A45:A58"/>
    <mergeCell ref="A59:B59"/>
    <mergeCell ref="A60:B60"/>
    <mergeCell ref="A61:E61"/>
    <mergeCell ref="A62:E62"/>
    <mergeCell ref="A63:G63"/>
    <mergeCell ref="A64:G64"/>
    <mergeCell ref="A65:G65"/>
    <mergeCell ref="A66:G66"/>
  </mergeCells>
  <dataValidations count="2">
    <dataValidation type="list" allowBlank="1" showInputMessage="1" showErrorMessage="1" sqref="J5:J60" xr:uid="{00000000-0002-0000-0100-000000000000}">
      <formula1>Ambientes</formula1>
    </dataValidation>
    <dataValidation type="list" allowBlank="1" showInputMessage="1" showErrorMessage="1" sqref="I5:I60" xr:uid="{00000000-0002-0000-01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1">
    <tabColor theme="6" tint="-0.249977111117893"/>
  </sheetPr>
  <dimension ref="A1:J67"/>
  <sheetViews>
    <sheetView topLeftCell="A35" workbookViewId="0">
      <selection activeCell="A3" sqref="A3"/>
    </sheetView>
  </sheetViews>
  <sheetFormatPr defaultColWidth="9.140625" defaultRowHeight="15" x14ac:dyDescent="0.25"/>
  <cols>
    <col min="1" max="1" width="7.140625" customWidth="1"/>
    <col min="2" max="2" width="50.8554687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1018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265</v>
      </c>
      <c r="B5" s="40" t="s">
        <v>266</v>
      </c>
      <c r="C5" s="41" t="s">
        <v>267</v>
      </c>
      <c r="D5" s="42" t="s">
        <v>60</v>
      </c>
      <c r="E5" s="43">
        <v>1</v>
      </c>
      <c r="F5" s="42">
        <v>2</v>
      </c>
      <c r="G5" s="44">
        <f>F5*$F$2</f>
        <v>76</v>
      </c>
      <c r="H5" s="45">
        <f t="shared" ref="H5:H36" si="0">(G5)*$C$67/60</f>
        <v>63.333333333333336</v>
      </c>
      <c r="I5" s="47" t="s">
        <v>19</v>
      </c>
      <c r="J5" s="46" t="s">
        <v>230</v>
      </c>
    </row>
    <row r="6" spans="1:10" x14ac:dyDescent="0.25">
      <c r="A6" s="504"/>
      <c r="B6" s="40" t="s">
        <v>268</v>
      </c>
      <c r="C6" s="48" t="s">
        <v>269</v>
      </c>
      <c r="D6" s="42" t="s">
        <v>54</v>
      </c>
      <c r="E6" s="42">
        <v>2</v>
      </c>
      <c r="F6" s="42">
        <v>4</v>
      </c>
      <c r="G6" s="44">
        <f t="shared" ref="G6:G60" si="1">F6*$F$2</f>
        <v>152</v>
      </c>
      <c r="H6" s="45">
        <f t="shared" si="0"/>
        <v>126.66666666666667</v>
      </c>
      <c r="I6" s="47" t="s">
        <v>19</v>
      </c>
      <c r="J6" s="46" t="s">
        <v>232</v>
      </c>
    </row>
    <row r="7" spans="1:10" x14ac:dyDescent="0.25">
      <c r="A7" s="504"/>
      <c r="B7" s="40" t="s">
        <v>249</v>
      </c>
      <c r="C7" s="41" t="s">
        <v>250</v>
      </c>
      <c r="D7" s="42" t="s">
        <v>60</v>
      </c>
      <c r="E7" s="43">
        <v>1</v>
      </c>
      <c r="F7" s="42">
        <v>4</v>
      </c>
      <c r="G7" s="44">
        <f t="shared" si="1"/>
        <v>152</v>
      </c>
      <c r="H7" s="45">
        <f t="shared" si="0"/>
        <v>126.66666666666667</v>
      </c>
      <c r="I7" s="47" t="s">
        <v>14</v>
      </c>
      <c r="J7" s="46" t="s">
        <v>230</v>
      </c>
    </row>
    <row r="8" spans="1:10" x14ac:dyDescent="0.25">
      <c r="A8" s="504"/>
      <c r="B8" s="40" t="s">
        <v>254</v>
      </c>
      <c r="C8" s="41" t="s">
        <v>255</v>
      </c>
      <c r="D8" s="42" t="s">
        <v>54</v>
      </c>
      <c r="E8" s="43">
        <v>1</v>
      </c>
      <c r="F8" s="42">
        <v>2</v>
      </c>
      <c r="G8" s="44">
        <f t="shared" si="1"/>
        <v>76</v>
      </c>
      <c r="H8" s="45">
        <f t="shared" si="0"/>
        <v>63.333333333333336</v>
      </c>
      <c r="I8" s="47" t="s">
        <v>13</v>
      </c>
      <c r="J8" s="46" t="s">
        <v>230</v>
      </c>
    </row>
    <row r="9" spans="1:10" x14ac:dyDescent="0.25">
      <c r="A9" s="504"/>
      <c r="B9" s="40" t="s">
        <v>15</v>
      </c>
      <c r="C9" s="41" t="s">
        <v>256</v>
      </c>
      <c r="D9" s="42" t="s">
        <v>54</v>
      </c>
      <c r="E9" s="43">
        <v>1</v>
      </c>
      <c r="F9" s="42">
        <v>2</v>
      </c>
      <c r="G9" s="44">
        <f t="shared" si="1"/>
        <v>76</v>
      </c>
      <c r="H9" s="45">
        <f t="shared" si="0"/>
        <v>63.333333333333336</v>
      </c>
      <c r="I9" s="47" t="s">
        <v>15</v>
      </c>
      <c r="J9" s="46" t="s">
        <v>230</v>
      </c>
    </row>
    <row r="10" spans="1:10" x14ac:dyDescent="0.25">
      <c r="A10" s="504"/>
      <c r="B10" s="40" t="s">
        <v>21</v>
      </c>
      <c r="C10" s="41" t="s">
        <v>257</v>
      </c>
      <c r="D10" s="42" t="s">
        <v>60</v>
      </c>
      <c r="E10" s="43">
        <v>1</v>
      </c>
      <c r="F10" s="42">
        <v>4</v>
      </c>
      <c r="G10" s="44">
        <f t="shared" si="1"/>
        <v>152</v>
      </c>
      <c r="H10" s="45">
        <f t="shared" si="0"/>
        <v>126.66666666666667</v>
      </c>
      <c r="I10" s="47" t="s">
        <v>21</v>
      </c>
      <c r="J10" s="46" t="s">
        <v>230</v>
      </c>
    </row>
    <row r="11" spans="1:10" x14ac:dyDescent="0.25">
      <c r="A11" s="504"/>
      <c r="B11" s="40" t="s">
        <v>6</v>
      </c>
      <c r="C11" s="41" t="s">
        <v>259</v>
      </c>
      <c r="D11" s="42" t="s">
        <v>60</v>
      </c>
      <c r="E11" s="43">
        <v>1</v>
      </c>
      <c r="F11" s="42">
        <v>2</v>
      </c>
      <c r="G11" s="44">
        <f t="shared" si="1"/>
        <v>76</v>
      </c>
      <c r="H11" s="45">
        <f t="shared" si="0"/>
        <v>63.333333333333336</v>
      </c>
      <c r="I11" s="47" t="s">
        <v>6</v>
      </c>
      <c r="J11" s="46" t="s">
        <v>230</v>
      </c>
    </row>
    <row r="12" spans="1:10" x14ac:dyDescent="0.25">
      <c r="A12" s="504"/>
      <c r="B12" s="40" t="s">
        <v>7</v>
      </c>
      <c r="C12" s="41" t="s">
        <v>260</v>
      </c>
      <c r="D12" s="42" t="s">
        <v>60</v>
      </c>
      <c r="E12" s="43">
        <v>1</v>
      </c>
      <c r="F12" s="42">
        <v>2</v>
      </c>
      <c r="G12" s="44">
        <f t="shared" si="1"/>
        <v>76</v>
      </c>
      <c r="H12" s="45">
        <f t="shared" si="0"/>
        <v>63.333333333333336</v>
      </c>
      <c r="I12" s="47" t="s">
        <v>7</v>
      </c>
      <c r="J12" s="46" t="s">
        <v>230</v>
      </c>
    </row>
    <row r="13" spans="1:10" x14ac:dyDescent="0.25">
      <c r="A13" s="504"/>
      <c r="B13" s="40" t="s">
        <v>9</v>
      </c>
      <c r="C13" s="41" t="s">
        <v>261</v>
      </c>
      <c r="D13" s="42" t="s">
        <v>60</v>
      </c>
      <c r="E13" s="43">
        <v>1</v>
      </c>
      <c r="F13" s="42">
        <v>2</v>
      </c>
      <c r="G13" s="44">
        <f t="shared" si="1"/>
        <v>76</v>
      </c>
      <c r="H13" s="45">
        <f t="shared" si="0"/>
        <v>63.333333333333336</v>
      </c>
      <c r="I13" s="47" t="s">
        <v>9</v>
      </c>
      <c r="J13" s="46" t="s">
        <v>230</v>
      </c>
    </row>
    <row r="14" spans="1:10" x14ac:dyDescent="0.25">
      <c r="A14" s="504"/>
      <c r="B14" s="40" t="s">
        <v>270</v>
      </c>
      <c r="C14" s="48" t="s">
        <v>271</v>
      </c>
      <c r="D14" s="42" t="s">
        <v>54</v>
      </c>
      <c r="E14" s="42">
        <v>2</v>
      </c>
      <c r="F14" s="42">
        <v>4</v>
      </c>
      <c r="G14" s="44">
        <f t="shared" si="1"/>
        <v>152</v>
      </c>
      <c r="H14" s="45">
        <f t="shared" si="0"/>
        <v>126.66666666666667</v>
      </c>
      <c r="I14" s="47" t="s">
        <v>19</v>
      </c>
      <c r="J14" s="46" t="s">
        <v>231</v>
      </c>
    </row>
    <row r="15" spans="1:10" x14ac:dyDescent="0.25">
      <c r="A15" s="504"/>
      <c r="B15" s="40" t="s">
        <v>272</v>
      </c>
      <c r="C15" s="48" t="s">
        <v>273</v>
      </c>
      <c r="D15" s="42" t="s">
        <v>60</v>
      </c>
      <c r="E15" s="42">
        <v>2</v>
      </c>
      <c r="F15" s="42">
        <v>2</v>
      </c>
      <c r="G15" s="44">
        <f t="shared" si="1"/>
        <v>76</v>
      </c>
      <c r="H15" s="45">
        <f t="shared" si="0"/>
        <v>63.333333333333336</v>
      </c>
      <c r="I15" s="47" t="s">
        <v>19</v>
      </c>
      <c r="J15" s="46" t="s">
        <v>230</v>
      </c>
    </row>
    <row r="16" spans="1:10" x14ac:dyDescent="0.25">
      <c r="A16" s="504" t="s">
        <v>274</v>
      </c>
      <c r="B16" s="40" t="s">
        <v>275</v>
      </c>
      <c r="C16" s="49" t="s">
        <v>276</v>
      </c>
      <c r="D16" s="42" t="s">
        <v>54</v>
      </c>
      <c r="E16" s="42">
        <v>2</v>
      </c>
      <c r="F16" s="42">
        <v>4</v>
      </c>
      <c r="G16" s="44">
        <f t="shared" si="1"/>
        <v>152</v>
      </c>
      <c r="H16" s="45">
        <f t="shared" si="0"/>
        <v>126.66666666666667</v>
      </c>
      <c r="I16" s="47" t="s">
        <v>19</v>
      </c>
      <c r="J16" s="46" t="s">
        <v>232</v>
      </c>
    </row>
    <row r="17" spans="1:10" x14ac:dyDescent="0.25">
      <c r="A17" s="504"/>
      <c r="B17" s="40" t="s">
        <v>277</v>
      </c>
      <c r="C17" s="49" t="s">
        <v>278</v>
      </c>
      <c r="D17" s="42" t="s">
        <v>54</v>
      </c>
      <c r="E17" s="42">
        <v>2</v>
      </c>
      <c r="F17" s="42">
        <v>2</v>
      </c>
      <c r="G17" s="44">
        <f t="shared" si="1"/>
        <v>76</v>
      </c>
      <c r="H17" s="45">
        <f t="shared" si="0"/>
        <v>63.333333333333336</v>
      </c>
      <c r="I17" s="47" t="s">
        <v>19</v>
      </c>
      <c r="J17" s="46" t="s">
        <v>232</v>
      </c>
    </row>
    <row r="18" spans="1:10" x14ac:dyDescent="0.25">
      <c r="A18" s="504"/>
      <c r="B18" s="40" t="s">
        <v>249</v>
      </c>
      <c r="C18" s="41" t="s">
        <v>250</v>
      </c>
      <c r="D18" s="42" t="s">
        <v>60</v>
      </c>
      <c r="E18" s="43">
        <v>1</v>
      </c>
      <c r="F18" s="42">
        <v>2</v>
      </c>
      <c r="G18" s="44">
        <f t="shared" si="1"/>
        <v>76</v>
      </c>
      <c r="H18" s="45">
        <f t="shared" si="0"/>
        <v>63.333333333333336</v>
      </c>
      <c r="I18" s="47" t="s">
        <v>14</v>
      </c>
      <c r="J18" s="46" t="s">
        <v>230</v>
      </c>
    </row>
    <row r="19" spans="1:10" x14ac:dyDescent="0.25">
      <c r="A19" s="504"/>
      <c r="B19" s="40" t="s">
        <v>252</v>
      </c>
      <c r="C19" s="41" t="s">
        <v>253</v>
      </c>
      <c r="D19" s="42" t="s">
        <v>54</v>
      </c>
      <c r="E19" s="43">
        <v>1</v>
      </c>
      <c r="F19" s="42">
        <v>2</v>
      </c>
      <c r="G19" s="44">
        <f t="shared" si="1"/>
        <v>76</v>
      </c>
      <c r="H19" s="45">
        <f t="shared" si="0"/>
        <v>63.333333333333336</v>
      </c>
      <c r="I19" s="47" t="s">
        <v>12</v>
      </c>
      <c r="J19" s="46" t="s">
        <v>230</v>
      </c>
    </row>
    <row r="20" spans="1:10" x14ac:dyDescent="0.25">
      <c r="A20" s="504"/>
      <c r="B20" s="40" t="s">
        <v>254</v>
      </c>
      <c r="C20" s="41" t="s">
        <v>255</v>
      </c>
      <c r="D20" s="42" t="s">
        <v>54</v>
      </c>
      <c r="E20" s="43">
        <v>1</v>
      </c>
      <c r="F20" s="42">
        <v>2</v>
      </c>
      <c r="G20" s="44">
        <f t="shared" si="1"/>
        <v>76</v>
      </c>
      <c r="H20" s="45">
        <f t="shared" si="0"/>
        <v>63.333333333333336</v>
      </c>
      <c r="I20" s="47" t="s">
        <v>13</v>
      </c>
      <c r="J20" s="46" t="s">
        <v>230</v>
      </c>
    </row>
    <row r="21" spans="1:10" x14ac:dyDescent="0.25">
      <c r="A21" s="504"/>
      <c r="B21" s="40" t="s">
        <v>15</v>
      </c>
      <c r="C21" s="41" t="s">
        <v>256</v>
      </c>
      <c r="D21" s="42" t="s">
        <v>54</v>
      </c>
      <c r="E21" s="43">
        <v>1</v>
      </c>
      <c r="F21" s="42">
        <v>2</v>
      </c>
      <c r="G21" s="44">
        <f t="shared" si="1"/>
        <v>76</v>
      </c>
      <c r="H21" s="45">
        <f t="shared" si="0"/>
        <v>63.333333333333336</v>
      </c>
      <c r="I21" s="47" t="s">
        <v>15</v>
      </c>
      <c r="J21" s="46" t="s">
        <v>230</v>
      </c>
    </row>
    <row r="22" spans="1:10" x14ac:dyDescent="0.25">
      <c r="A22" s="504"/>
      <c r="B22" s="40" t="s">
        <v>21</v>
      </c>
      <c r="C22" s="41" t="s">
        <v>257</v>
      </c>
      <c r="D22" s="42" t="s">
        <v>60</v>
      </c>
      <c r="E22" s="43">
        <v>1</v>
      </c>
      <c r="F22" s="42">
        <v>2</v>
      </c>
      <c r="G22" s="44">
        <f t="shared" si="1"/>
        <v>76</v>
      </c>
      <c r="H22" s="45">
        <f t="shared" si="0"/>
        <v>63.333333333333336</v>
      </c>
      <c r="I22" s="47" t="s">
        <v>21</v>
      </c>
      <c r="J22" s="46" t="s">
        <v>230</v>
      </c>
    </row>
    <row r="23" spans="1:10" x14ac:dyDescent="0.25">
      <c r="A23" s="504"/>
      <c r="B23" s="40" t="s">
        <v>5</v>
      </c>
      <c r="C23" s="41" t="s">
        <v>258</v>
      </c>
      <c r="D23" s="42" t="s">
        <v>60</v>
      </c>
      <c r="E23" s="43">
        <v>1</v>
      </c>
      <c r="F23" s="42">
        <v>2</v>
      </c>
      <c r="G23" s="44">
        <f t="shared" si="1"/>
        <v>76</v>
      </c>
      <c r="H23" s="45">
        <f t="shared" si="0"/>
        <v>63.333333333333336</v>
      </c>
      <c r="I23" s="47" t="s">
        <v>5</v>
      </c>
      <c r="J23" s="46" t="s">
        <v>230</v>
      </c>
    </row>
    <row r="24" spans="1:10" x14ac:dyDescent="0.25">
      <c r="A24" s="504"/>
      <c r="B24" s="40" t="s">
        <v>6</v>
      </c>
      <c r="C24" s="41" t="s">
        <v>259</v>
      </c>
      <c r="D24" s="42" t="s">
        <v>60</v>
      </c>
      <c r="E24" s="43">
        <v>1</v>
      </c>
      <c r="F24" s="42">
        <v>2</v>
      </c>
      <c r="G24" s="44">
        <f t="shared" si="1"/>
        <v>76</v>
      </c>
      <c r="H24" s="45">
        <f t="shared" si="0"/>
        <v>63.333333333333336</v>
      </c>
      <c r="I24" s="47" t="s">
        <v>6</v>
      </c>
      <c r="J24" s="46" t="s">
        <v>230</v>
      </c>
    </row>
    <row r="25" spans="1:10" x14ac:dyDescent="0.25">
      <c r="A25" s="504"/>
      <c r="B25" s="40" t="s">
        <v>7</v>
      </c>
      <c r="C25" s="41" t="s">
        <v>260</v>
      </c>
      <c r="D25" s="42" t="s">
        <v>60</v>
      </c>
      <c r="E25" s="43">
        <v>1</v>
      </c>
      <c r="F25" s="42">
        <v>2</v>
      </c>
      <c r="G25" s="44">
        <f t="shared" si="1"/>
        <v>76</v>
      </c>
      <c r="H25" s="45">
        <f t="shared" si="0"/>
        <v>63.333333333333336</v>
      </c>
      <c r="I25" s="47" t="s">
        <v>7</v>
      </c>
      <c r="J25" s="46" t="s">
        <v>230</v>
      </c>
    </row>
    <row r="26" spans="1:10" x14ac:dyDescent="0.25">
      <c r="A26" s="504"/>
      <c r="B26" s="40" t="s">
        <v>9</v>
      </c>
      <c r="C26" s="41" t="s">
        <v>261</v>
      </c>
      <c r="D26" s="42" t="s">
        <v>60</v>
      </c>
      <c r="E26" s="43">
        <v>1</v>
      </c>
      <c r="F26" s="42">
        <v>2</v>
      </c>
      <c r="G26" s="44">
        <f t="shared" si="1"/>
        <v>76</v>
      </c>
      <c r="H26" s="45">
        <f t="shared" si="0"/>
        <v>63.333333333333336</v>
      </c>
      <c r="I26" s="47" t="s">
        <v>9</v>
      </c>
      <c r="J26" s="46" t="s">
        <v>230</v>
      </c>
    </row>
    <row r="27" spans="1:10" x14ac:dyDescent="0.25">
      <c r="A27" s="504"/>
      <c r="B27" s="40" t="s">
        <v>10</v>
      </c>
      <c r="C27" s="41" t="s">
        <v>262</v>
      </c>
      <c r="D27" s="42" t="s">
        <v>60</v>
      </c>
      <c r="E27" s="43">
        <v>1</v>
      </c>
      <c r="F27" s="42">
        <v>2</v>
      </c>
      <c r="G27" s="44">
        <f t="shared" si="1"/>
        <v>76</v>
      </c>
      <c r="H27" s="45">
        <f t="shared" si="0"/>
        <v>63.333333333333336</v>
      </c>
      <c r="I27" s="47" t="s">
        <v>10</v>
      </c>
      <c r="J27" s="46" t="s">
        <v>230</v>
      </c>
    </row>
    <row r="28" spans="1:10" x14ac:dyDescent="0.25">
      <c r="A28" s="504"/>
      <c r="B28" s="40" t="s">
        <v>8</v>
      </c>
      <c r="C28" s="41" t="s">
        <v>263</v>
      </c>
      <c r="D28" s="42" t="s">
        <v>60</v>
      </c>
      <c r="E28" s="43">
        <v>1</v>
      </c>
      <c r="F28" s="42">
        <v>2</v>
      </c>
      <c r="G28" s="44">
        <f t="shared" si="1"/>
        <v>76</v>
      </c>
      <c r="H28" s="45">
        <f t="shared" si="0"/>
        <v>63.333333333333336</v>
      </c>
      <c r="I28" s="47" t="s">
        <v>8</v>
      </c>
      <c r="J28" s="46" t="s">
        <v>230</v>
      </c>
    </row>
    <row r="29" spans="1:10" x14ac:dyDescent="0.25">
      <c r="A29" s="504"/>
      <c r="B29" s="40" t="s">
        <v>11</v>
      </c>
      <c r="C29" s="41" t="s">
        <v>264</v>
      </c>
      <c r="D29" s="42" t="s">
        <v>60</v>
      </c>
      <c r="E29" s="43">
        <v>1</v>
      </c>
      <c r="F29" s="42">
        <v>2</v>
      </c>
      <c r="G29" s="44">
        <f t="shared" si="1"/>
        <v>76</v>
      </c>
      <c r="H29" s="45">
        <f t="shared" si="0"/>
        <v>63.333333333333336</v>
      </c>
      <c r="I29" s="47" t="s">
        <v>11</v>
      </c>
      <c r="J29" s="46" t="s">
        <v>230</v>
      </c>
    </row>
    <row r="30" spans="1:10" x14ac:dyDescent="0.25">
      <c r="A30" s="504"/>
      <c r="B30" s="40" t="s">
        <v>171</v>
      </c>
      <c r="C30" s="49" t="s">
        <v>279</v>
      </c>
      <c r="D30" s="42" t="s">
        <v>54</v>
      </c>
      <c r="E30" s="42">
        <v>2</v>
      </c>
      <c r="F30" s="42">
        <v>4</v>
      </c>
      <c r="G30" s="44">
        <f t="shared" si="1"/>
        <v>152</v>
      </c>
      <c r="H30" s="45">
        <f t="shared" si="0"/>
        <v>126.66666666666667</v>
      </c>
      <c r="I30" s="47" t="s">
        <v>19</v>
      </c>
      <c r="J30" s="46" t="s">
        <v>232</v>
      </c>
    </row>
    <row r="31" spans="1:10" x14ac:dyDescent="0.25">
      <c r="A31" s="504"/>
      <c r="B31" s="40" t="s">
        <v>280</v>
      </c>
      <c r="C31" s="49" t="s">
        <v>281</v>
      </c>
      <c r="D31" s="42" t="s">
        <v>54</v>
      </c>
      <c r="E31" s="42">
        <v>1</v>
      </c>
      <c r="F31" s="42">
        <v>2</v>
      </c>
      <c r="G31" s="44">
        <f t="shared" si="1"/>
        <v>76</v>
      </c>
      <c r="H31" s="45">
        <f t="shared" si="0"/>
        <v>63.333333333333336</v>
      </c>
      <c r="I31" s="47" t="s">
        <v>19</v>
      </c>
      <c r="J31" s="46" t="s">
        <v>232</v>
      </c>
    </row>
    <row r="32" spans="1:10" x14ac:dyDescent="0.25">
      <c r="A32" s="504"/>
      <c r="B32" s="40" t="s">
        <v>282</v>
      </c>
      <c r="C32" s="49" t="s">
        <v>283</v>
      </c>
      <c r="D32" s="42" t="s">
        <v>54</v>
      </c>
      <c r="E32" s="43">
        <v>2</v>
      </c>
      <c r="F32" s="42">
        <v>2</v>
      </c>
      <c r="G32" s="44">
        <f t="shared" si="1"/>
        <v>76</v>
      </c>
      <c r="H32" s="45">
        <f t="shared" si="0"/>
        <v>63.333333333333336</v>
      </c>
      <c r="I32" s="47" t="s">
        <v>19</v>
      </c>
      <c r="J32" s="46" t="s">
        <v>232</v>
      </c>
    </row>
    <row r="33" spans="1:10" x14ac:dyDescent="0.25">
      <c r="A33" s="504" t="s">
        <v>284</v>
      </c>
      <c r="B33" s="40" t="s">
        <v>285</v>
      </c>
      <c r="C33" s="49" t="s">
        <v>286</v>
      </c>
      <c r="D33" s="42" t="s">
        <v>54</v>
      </c>
      <c r="E33" s="42">
        <v>1</v>
      </c>
      <c r="F33" s="42">
        <v>2</v>
      </c>
      <c r="G33" s="44">
        <f t="shared" si="1"/>
        <v>76</v>
      </c>
      <c r="H33" s="45">
        <f t="shared" si="0"/>
        <v>63.333333333333336</v>
      </c>
      <c r="I33" s="47" t="s">
        <v>19</v>
      </c>
      <c r="J33" s="46" t="s">
        <v>232</v>
      </c>
    </row>
    <row r="34" spans="1:10" x14ac:dyDescent="0.25">
      <c r="A34" s="504"/>
      <c r="B34" s="40" t="s">
        <v>287</v>
      </c>
      <c r="C34" s="49" t="s">
        <v>288</v>
      </c>
      <c r="D34" s="42" t="s">
        <v>54</v>
      </c>
      <c r="E34" s="42">
        <v>2</v>
      </c>
      <c r="F34" s="42">
        <v>4</v>
      </c>
      <c r="G34" s="44">
        <f t="shared" si="1"/>
        <v>152</v>
      </c>
      <c r="H34" s="45">
        <f t="shared" si="0"/>
        <v>126.66666666666667</v>
      </c>
      <c r="I34" s="47" t="s">
        <v>19</v>
      </c>
      <c r="J34" s="46" t="s">
        <v>232</v>
      </c>
    </row>
    <row r="35" spans="1:10" x14ac:dyDescent="0.25">
      <c r="A35" s="504"/>
      <c r="B35" s="40" t="s">
        <v>289</v>
      </c>
      <c r="C35" s="49" t="s">
        <v>290</v>
      </c>
      <c r="D35" s="42" t="s">
        <v>60</v>
      </c>
      <c r="E35" s="42">
        <v>1</v>
      </c>
      <c r="F35" s="42">
        <v>4</v>
      </c>
      <c r="G35" s="44">
        <f t="shared" si="1"/>
        <v>152</v>
      </c>
      <c r="H35" s="45">
        <f t="shared" si="0"/>
        <v>126.66666666666667</v>
      </c>
      <c r="I35" s="47" t="s">
        <v>19</v>
      </c>
      <c r="J35" s="46" t="s">
        <v>230</v>
      </c>
    </row>
    <row r="36" spans="1:10" x14ac:dyDescent="0.25">
      <c r="A36" s="504"/>
      <c r="B36" s="40" t="s">
        <v>249</v>
      </c>
      <c r="C36" s="41" t="s">
        <v>250</v>
      </c>
      <c r="D36" s="42" t="s">
        <v>60</v>
      </c>
      <c r="E36" s="43">
        <v>1</v>
      </c>
      <c r="F36" s="42">
        <v>2</v>
      </c>
      <c r="G36" s="44">
        <f t="shared" si="1"/>
        <v>76</v>
      </c>
      <c r="H36" s="45">
        <f t="shared" si="0"/>
        <v>63.333333333333336</v>
      </c>
      <c r="I36" s="47" t="s">
        <v>14</v>
      </c>
      <c r="J36" s="46" t="s">
        <v>230</v>
      </c>
    </row>
    <row r="37" spans="1:10" x14ac:dyDescent="0.25">
      <c r="A37" s="504"/>
      <c r="B37" s="40" t="s">
        <v>252</v>
      </c>
      <c r="C37" s="41" t="s">
        <v>253</v>
      </c>
      <c r="D37" s="42" t="s">
        <v>54</v>
      </c>
      <c r="E37" s="43">
        <v>1</v>
      </c>
      <c r="F37" s="42">
        <v>2</v>
      </c>
      <c r="G37" s="44">
        <f t="shared" si="1"/>
        <v>76</v>
      </c>
      <c r="H37" s="45">
        <f t="shared" ref="H37:H60" si="2">(G37)*$C$67/60</f>
        <v>63.333333333333336</v>
      </c>
      <c r="I37" s="47" t="s">
        <v>12</v>
      </c>
      <c r="J37" s="46" t="s">
        <v>230</v>
      </c>
    </row>
    <row r="38" spans="1:10" x14ac:dyDescent="0.25">
      <c r="A38" s="504"/>
      <c r="B38" s="40" t="s">
        <v>15</v>
      </c>
      <c r="C38" s="41" t="s">
        <v>256</v>
      </c>
      <c r="D38" s="42" t="s">
        <v>54</v>
      </c>
      <c r="E38" s="43">
        <v>1</v>
      </c>
      <c r="F38" s="42">
        <v>2</v>
      </c>
      <c r="G38" s="44">
        <f t="shared" si="1"/>
        <v>76</v>
      </c>
      <c r="H38" s="45">
        <f t="shared" si="2"/>
        <v>63.333333333333336</v>
      </c>
      <c r="I38" s="47" t="s">
        <v>15</v>
      </c>
      <c r="J38" s="46" t="s">
        <v>230</v>
      </c>
    </row>
    <row r="39" spans="1:10" x14ac:dyDescent="0.25">
      <c r="A39" s="504"/>
      <c r="B39" s="40" t="s">
        <v>21</v>
      </c>
      <c r="C39" s="41" t="s">
        <v>257</v>
      </c>
      <c r="D39" s="42" t="s">
        <v>60</v>
      </c>
      <c r="E39" s="43">
        <v>1</v>
      </c>
      <c r="F39" s="42">
        <v>2</v>
      </c>
      <c r="G39" s="44">
        <f t="shared" si="1"/>
        <v>76</v>
      </c>
      <c r="H39" s="45">
        <f t="shared" si="2"/>
        <v>63.333333333333336</v>
      </c>
      <c r="I39" s="47" t="s">
        <v>21</v>
      </c>
      <c r="J39" s="46" t="s">
        <v>230</v>
      </c>
    </row>
    <row r="40" spans="1:10" x14ac:dyDescent="0.25">
      <c r="A40" s="504"/>
      <c r="B40" s="40" t="s">
        <v>5</v>
      </c>
      <c r="C40" s="41" t="s">
        <v>258</v>
      </c>
      <c r="D40" s="42" t="s">
        <v>60</v>
      </c>
      <c r="E40" s="43">
        <v>1</v>
      </c>
      <c r="F40" s="42">
        <v>2</v>
      </c>
      <c r="G40" s="44">
        <f t="shared" si="1"/>
        <v>76</v>
      </c>
      <c r="H40" s="45">
        <f t="shared" si="2"/>
        <v>63.333333333333336</v>
      </c>
      <c r="I40" s="47" t="s">
        <v>5</v>
      </c>
      <c r="J40" s="46" t="s">
        <v>230</v>
      </c>
    </row>
    <row r="41" spans="1:10" x14ac:dyDescent="0.25">
      <c r="A41" s="504"/>
      <c r="B41" s="40" t="s">
        <v>6</v>
      </c>
      <c r="C41" s="41" t="s">
        <v>259</v>
      </c>
      <c r="D41" s="42" t="s">
        <v>60</v>
      </c>
      <c r="E41" s="43">
        <v>1</v>
      </c>
      <c r="F41" s="42">
        <v>1</v>
      </c>
      <c r="G41" s="44">
        <f t="shared" si="1"/>
        <v>38</v>
      </c>
      <c r="H41" s="45">
        <f t="shared" si="2"/>
        <v>31.666666666666668</v>
      </c>
      <c r="I41" s="47" t="s">
        <v>6</v>
      </c>
      <c r="J41" s="46" t="s">
        <v>230</v>
      </c>
    </row>
    <row r="42" spans="1:10" x14ac:dyDescent="0.25">
      <c r="A42" s="504"/>
      <c r="B42" s="40" t="s">
        <v>10</v>
      </c>
      <c r="C42" s="41" t="s">
        <v>262</v>
      </c>
      <c r="D42" s="42" t="s">
        <v>60</v>
      </c>
      <c r="E42" s="43">
        <v>1</v>
      </c>
      <c r="F42" s="42">
        <v>2</v>
      </c>
      <c r="G42" s="44">
        <f t="shared" si="1"/>
        <v>76</v>
      </c>
      <c r="H42" s="45">
        <f t="shared" si="2"/>
        <v>63.333333333333336</v>
      </c>
      <c r="I42" s="47" t="s">
        <v>10</v>
      </c>
      <c r="J42" s="46" t="s">
        <v>230</v>
      </c>
    </row>
    <row r="43" spans="1:10" x14ac:dyDescent="0.25">
      <c r="A43" s="504"/>
      <c r="B43" s="40" t="s">
        <v>8</v>
      </c>
      <c r="C43" s="41" t="s">
        <v>263</v>
      </c>
      <c r="D43" s="42" t="s">
        <v>60</v>
      </c>
      <c r="E43" s="43">
        <v>1</v>
      </c>
      <c r="F43" s="42">
        <v>2</v>
      </c>
      <c r="G43" s="44">
        <f t="shared" si="1"/>
        <v>76</v>
      </c>
      <c r="H43" s="45">
        <f t="shared" si="2"/>
        <v>63.333333333333336</v>
      </c>
      <c r="I43" s="47" t="s">
        <v>8</v>
      </c>
      <c r="J43" s="46" t="s">
        <v>230</v>
      </c>
    </row>
    <row r="44" spans="1:10" x14ac:dyDescent="0.25">
      <c r="A44" s="504"/>
      <c r="B44" s="40" t="s">
        <v>11</v>
      </c>
      <c r="C44" s="41" t="s">
        <v>264</v>
      </c>
      <c r="D44" s="42" t="s">
        <v>60</v>
      </c>
      <c r="E44" s="43">
        <v>1</v>
      </c>
      <c r="F44" s="42">
        <v>2</v>
      </c>
      <c r="G44" s="44">
        <f t="shared" si="1"/>
        <v>76</v>
      </c>
      <c r="H44" s="45">
        <f t="shared" si="2"/>
        <v>63.333333333333336</v>
      </c>
      <c r="I44" s="47" t="s">
        <v>11</v>
      </c>
      <c r="J44" s="46" t="s">
        <v>230</v>
      </c>
    </row>
    <row r="45" spans="1:10" x14ac:dyDescent="0.25">
      <c r="A45" s="504"/>
      <c r="B45" s="40" t="s">
        <v>249</v>
      </c>
      <c r="C45" s="41" t="s">
        <v>250</v>
      </c>
      <c r="D45" s="42" t="s">
        <v>60</v>
      </c>
      <c r="E45" s="43">
        <v>1</v>
      </c>
      <c r="F45" s="42">
        <v>4</v>
      </c>
      <c r="G45" s="44">
        <f t="shared" ref="G45:G58" si="3">F45*$F$2</f>
        <v>152</v>
      </c>
      <c r="H45" s="45">
        <f t="shared" si="2"/>
        <v>126.66666666666667</v>
      </c>
      <c r="I45" s="47" t="s">
        <v>14</v>
      </c>
      <c r="J45" s="46" t="s">
        <v>230</v>
      </c>
    </row>
    <row r="46" spans="1:10" x14ac:dyDescent="0.25">
      <c r="A46" s="504"/>
      <c r="B46" s="40" t="s">
        <v>252</v>
      </c>
      <c r="C46" s="41" t="s">
        <v>253</v>
      </c>
      <c r="D46" s="42" t="s">
        <v>54</v>
      </c>
      <c r="E46" s="43">
        <v>1</v>
      </c>
      <c r="F46" s="42">
        <v>2</v>
      </c>
      <c r="G46" s="44">
        <f t="shared" si="3"/>
        <v>76</v>
      </c>
      <c r="H46" s="45">
        <f t="shared" si="2"/>
        <v>63.333333333333336</v>
      </c>
      <c r="I46" s="47" t="s">
        <v>12</v>
      </c>
      <c r="J46" s="46" t="s">
        <v>230</v>
      </c>
    </row>
    <row r="47" spans="1:10" x14ac:dyDescent="0.25">
      <c r="A47" s="504"/>
      <c r="B47" s="40" t="s">
        <v>254</v>
      </c>
      <c r="C47" s="41" t="s">
        <v>255</v>
      </c>
      <c r="D47" s="42" t="s">
        <v>54</v>
      </c>
      <c r="E47" s="43">
        <v>1</v>
      </c>
      <c r="F47" s="42">
        <v>2</v>
      </c>
      <c r="G47" s="44">
        <f t="shared" si="3"/>
        <v>76</v>
      </c>
      <c r="H47" s="45">
        <f t="shared" si="2"/>
        <v>63.333333333333336</v>
      </c>
      <c r="I47" s="47" t="s">
        <v>13</v>
      </c>
      <c r="J47" s="46" t="s">
        <v>230</v>
      </c>
    </row>
    <row r="48" spans="1:10" x14ac:dyDescent="0.25">
      <c r="A48" s="504"/>
      <c r="B48" s="40" t="s">
        <v>21</v>
      </c>
      <c r="C48" s="41" t="s">
        <v>257</v>
      </c>
      <c r="D48" s="42" t="s">
        <v>60</v>
      </c>
      <c r="E48" s="43">
        <v>1</v>
      </c>
      <c r="F48" s="42">
        <v>2</v>
      </c>
      <c r="G48" s="44">
        <f t="shared" si="3"/>
        <v>76</v>
      </c>
      <c r="H48" s="45">
        <f t="shared" si="2"/>
        <v>63.333333333333336</v>
      </c>
      <c r="I48" s="47" t="s">
        <v>21</v>
      </c>
      <c r="J48" s="46" t="s">
        <v>230</v>
      </c>
    </row>
    <row r="49" spans="1:10" x14ac:dyDescent="0.25">
      <c r="A49" s="504"/>
      <c r="B49" s="40" t="s">
        <v>5</v>
      </c>
      <c r="C49" s="41" t="s">
        <v>258</v>
      </c>
      <c r="D49" s="42" t="s">
        <v>60</v>
      </c>
      <c r="E49" s="43">
        <v>1</v>
      </c>
      <c r="F49" s="42">
        <v>2</v>
      </c>
      <c r="G49" s="44">
        <f t="shared" si="3"/>
        <v>76</v>
      </c>
      <c r="H49" s="45">
        <f t="shared" si="2"/>
        <v>63.333333333333336</v>
      </c>
      <c r="I49" s="47" t="s">
        <v>5</v>
      </c>
      <c r="J49" s="46" t="s">
        <v>230</v>
      </c>
    </row>
    <row r="50" spans="1:10" x14ac:dyDescent="0.25">
      <c r="A50" s="504"/>
      <c r="B50" s="40" t="s">
        <v>6</v>
      </c>
      <c r="C50" s="41" t="s">
        <v>259</v>
      </c>
      <c r="D50" s="42" t="s">
        <v>60</v>
      </c>
      <c r="E50" s="43">
        <v>1</v>
      </c>
      <c r="F50" s="42">
        <v>2</v>
      </c>
      <c r="G50" s="44">
        <f t="shared" si="3"/>
        <v>76</v>
      </c>
      <c r="H50" s="45">
        <f t="shared" si="2"/>
        <v>63.333333333333336</v>
      </c>
      <c r="I50" s="47" t="s">
        <v>6</v>
      </c>
      <c r="J50" s="46" t="s">
        <v>230</v>
      </c>
    </row>
    <row r="51" spans="1:10" x14ac:dyDescent="0.25">
      <c r="A51" s="504"/>
      <c r="B51" s="40" t="s">
        <v>7</v>
      </c>
      <c r="C51" s="41" t="s">
        <v>260</v>
      </c>
      <c r="D51" s="42" t="s">
        <v>60</v>
      </c>
      <c r="E51" s="43">
        <v>1</v>
      </c>
      <c r="F51" s="42">
        <v>2</v>
      </c>
      <c r="G51" s="44">
        <f t="shared" si="3"/>
        <v>76</v>
      </c>
      <c r="H51" s="45">
        <f t="shared" si="2"/>
        <v>63.333333333333336</v>
      </c>
      <c r="I51" s="47" t="s">
        <v>7</v>
      </c>
      <c r="J51" s="46" t="s">
        <v>230</v>
      </c>
    </row>
    <row r="52" spans="1:10" x14ac:dyDescent="0.25">
      <c r="A52" s="504"/>
      <c r="B52" s="40" t="s">
        <v>9</v>
      </c>
      <c r="C52" s="41" t="s">
        <v>261</v>
      </c>
      <c r="D52" s="42" t="s">
        <v>60</v>
      </c>
      <c r="E52" s="43">
        <v>1</v>
      </c>
      <c r="F52" s="42">
        <v>2</v>
      </c>
      <c r="G52" s="44">
        <f t="shared" si="3"/>
        <v>76</v>
      </c>
      <c r="H52" s="45">
        <f t="shared" si="2"/>
        <v>63.333333333333336</v>
      </c>
      <c r="I52" s="47" t="s">
        <v>9</v>
      </c>
      <c r="J52" s="46" t="s">
        <v>230</v>
      </c>
    </row>
    <row r="53" spans="1:10" x14ac:dyDescent="0.25">
      <c r="A53" s="504"/>
      <c r="B53" s="40" t="s">
        <v>10</v>
      </c>
      <c r="C53" s="41" t="s">
        <v>262</v>
      </c>
      <c r="D53" s="42" t="s">
        <v>60</v>
      </c>
      <c r="E53" s="43">
        <v>1</v>
      </c>
      <c r="F53" s="42">
        <v>2</v>
      </c>
      <c r="G53" s="44">
        <f t="shared" si="3"/>
        <v>76</v>
      </c>
      <c r="H53" s="45">
        <f t="shared" si="2"/>
        <v>63.333333333333336</v>
      </c>
      <c r="I53" s="47" t="s">
        <v>10</v>
      </c>
      <c r="J53" s="46" t="s">
        <v>230</v>
      </c>
    </row>
    <row r="54" spans="1:10" x14ac:dyDescent="0.25">
      <c r="A54" s="504"/>
      <c r="B54" s="40" t="s">
        <v>8</v>
      </c>
      <c r="C54" s="41" t="s">
        <v>263</v>
      </c>
      <c r="D54" s="42" t="s">
        <v>60</v>
      </c>
      <c r="E54" s="43">
        <v>1</v>
      </c>
      <c r="F54" s="42">
        <v>1</v>
      </c>
      <c r="G54" s="44">
        <f t="shared" si="3"/>
        <v>38</v>
      </c>
      <c r="H54" s="45">
        <f t="shared" si="2"/>
        <v>31.666666666666668</v>
      </c>
      <c r="I54" s="47" t="s">
        <v>8</v>
      </c>
      <c r="J54" s="46" t="s">
        <v>230</v>
      </c>
    </row>
    <row r="55" spans="1:10" x14ac:dyDescent="0.25">
      <c r="A55" s="504"/>
      <c r="B55" s="40" t="s">
        <v>11</v>
      </c>
      <c r="C55" s="41" t="s">
        <v>264</v>
      </c>
      <c r="D55" s="42" t="s">
        <v>60</v>
      </c>
      <c r="E55" s="43">
        <v>1</v>
      </c>
      <c r="F55" s="42">
        <v>1</v>
      </c>
      <c r="G55" s="44">
        <f t="shared" si="3"/>
        <v>38</v>
      </c>
      <c r="H55" s="45">
        <f t="shared" si="2"/>
        <v>31.666666666666668</v>
      </c>
      <c r="I55" s="47" t="s">
        <v>11</v>
      </c>
      <c r="J55" s="46" t="s">
        <v>230</v>
      </c>
    </row>
    <row r="56" spans="1:10" x14ac:dyDescent="0.25">
      <c r="A56" s="504"/>
      <c r="B56" s="40" t="s">
        <v>291</v>
      </c>
      <c r="C56" s="49" t="s">
        <v>292</v>
      </c>
      <c r="D56" s="42" t="s">
        <v>54</v>
      </c>
      <c r="E56" s="42">
        <v>2</v>
      </c>
      <c r="F56" s="42">
        <v>2</v>
      </c>
      <c r="G56" s="44">
        <f t="shared" si="3"/>
        <v>76</v>
      </c>
      <c r="H56" s="45">
        <f t="shared" si="2"/>
        <v>63.333333333333336</v>
      </c>
      <c r="I56" s="47" t="s">
        <v>19</v>
      </c>
      <c r="J56" s="46" t="s">
        <v>231</v>
      </c>
    </row>
    <row r="57" spans="1:10" x14ac:dyDescent="0.25">
      <c r="A57" s="504"/>
      <c r="B57" s="40" t="s">
        <v>293</v>
      </c>
      <c r="C57" s="49" t="s">
        <v>294</v>
      </c>
      <c r="D57" s="42" t="s">
        <v>54</v>
      </c>
      <c r="E57" s="42">
        <v>1</v>
      </c>
      <c r="F57" s="42">
        <v>2</v>
      </c>
      <c r="G57" s="44">
        <f t="shared" si="3"/>
        <v>76</v>
      </c>
      <c r="H57" s="45">
        <f t="shared" si="2"/>
        <v>63.333333333333336</v>
      </c>
      <c r="I57" s="47" t="s">
        <v>19</v>
      </c>
      <c r="J57" s="46" t="s">
        <v>232</v>
      </c>
    </row>
    <row r="58" spans="1:10" ht="15.75" thickBot="1" x14ac:dyDescent="0.3">
      <c r="A58" s="504"/>
      <c r="B58" s="52" t="s">
        <v>295</v>
      </c>
      <c r="C58" s="49" t="s">
        <v>296</v>
      </c>
      <c r="D58" s="42" t="s">
        <v>54</v>
      </c>
      <c r="E58" s="42">
        <v>2</v>
      </c>
      <c r="F58" s="42">
        <v>2</v>
      </c>
      <c r="G58" s="44">
        <f t="shared" si="3"/>
        <v>76</v>
      </c>
      <c r="H58" s="45">
        <f t="shared" si="2"/>
        <v>63.333333333333336</v>
      </c>
      <c r="I58" s="47" t="s">
        <v>19</v>
      </c>
      <c r="J58" s="46" t="s">
        <v>232</v>
      </c>
    </row>
    <row r="59" spans="1:10" ht="15.75" thickBot="1" x14ac:dyDescent="0.3">
      <c r="A59" s="506" t="s">
        <v>297</v>
      </c>
      <c r="B59" s="507"/>
      <c r="C59" s="42" t="s">
        <v>298</v>
      </c>
      <c r="D59" s="42" t="s">
        <v>54</v>
      </c>
      <c r="E59" s="42">
        <v>1</v>
      </c>
      <c r="F59" s="42"/>
      <c r="G59" s="44">
        <f t="shared" si="1"/>
        <v>0</v>
      </c>
      <c r="H59" s="45">
        <f t="shared" si="2"/>
        <v>0</v>
      </c>
      <c r="I59" s="47" t="s">
        <v>16</v>
      </c>
      <c r="J59" s="46" t="s">
        <v>230</v>
      </c>
    </row>
    <row r="60" spans="1:10" ht="15.75" thickBot="1" x14ac:dyDescent="0.3">
      <c r="A60" s="506" t="s">
        <v>300</v>
      </c>
      <c r="B60" s="507"/>
      <c r="C60" s="42" t="s">
        <v>301</v>
      </c>
      <c r="D60" s="42" t="s">
        <v>54</v>
      </c>
      <c r="E60" s="42">
        <v>1</v>
      </c>
      <c r="F60" s="42"/>
      <c r="G60" s="44">
        <f t="shared" si="1"/>
        <v>0</v>
      </c>
      <c r="H60" s="45">
        <f t="shared" si="2"/>
        <v>0</v>
      </c>
      <c r="I60" s="47" t="s">
        <v>17</v>
      </c>
      <c r="J60" s="46" t="s">
        <v>230</v>
      </c>
    </row>
    <row r="61" spans="1:10" ht="16.5" thickBot="1" x14ac:dyDescent="0.3">
      <c r="A61" s="508" t="s">
        <v>302</v>
      </c>
      <c r="B61" s="509"/>
      <c r="C61" s="509"/>
      <c r="D61" s="509"/>
      <c r="E61" s="510"/>
      <c r="F61" s="53">
        <f>SUM(F5:F44)</f>
        <v>95</v>
      </c>
      <c r="G61" s="53">
        <f>SUM(G5:G60)</f>
        <v>4674</v>
      </c>
      <c r="H61" s="53">
        <f>SUM(H5:H60)</f>
        <v>3895.0000000000014</v>
      </c>
      <c r="I61" s="36"/>
    </row>
    <row r="62" spans="1:10" ht="16.5" thickBot="1" x14ac:dyDescent="0.3">
      <c r="A62" s="508" t="s">
        <v>303</v>
      </c>
      <c r="B62" s="509"/>
      <c r="C62" s="509"/>
      <c r="D62" s="509"/>
      <c r="E62" s="510"/>
      <c r="F62" s="55" t="e">
        <f>(F61*#REF!*$C$67)/60</f>
        <v>#REF!</v>
      </c>
      <c r="G62" s="53" t="s">
        <v>304</v>
      </c>
      <c r="H62" s="55" t="e">
        <f>SUM(F62+#REF!+#REF!)</f>
        <v>#REF!</v>
      </c>
      <c r="I62" s="36"/>
    </row>
    <row r="63" spans="1:10" ht="16.5" thickBot="1" x14ac:dyDescent="0.3">
      <c r="A63" s="508" t="s">
        <v>305</v>
      </c>
      <c r="B63" s="509"/>
      <c r="C63" s="509"/>
      <c r="D63" s="509"/>
      <c r="E63" s="509"/>
      <c r="F63" s="509"/>
      <c r="G63" s="510"/>
      <c r="H63" s="56" t="e">
        <f>H62</f>
        <v>#REF!</v>
      </c>
      <c r="I63" s="57"/>
    </row>
    <row r="64" spans="1:10" ht="15.75" thickBot="1" x14ac:dyDescent="0.3">
      <c r="A64" s="506" t="s">
        <v>306</v>
      </c>
      <c r="B64" s="511"/>
      <c r="C64" s="511"/>
      <c r="D64" s="511"/>
      <c r="E64" s="511"/>
      <c r="F64" s="511"/>
      <c r="G64" s="512"/>
      <c r="H64" s="58">
        <v>360</v>
      </c>
      <c r="I64" s="59"/>
    </row>
    <row r="65" spans="1:9" ht="15.75" thickBot="1" x14ac:dyDescent="0.3">
      <c r="A65" s="506" t="s">
        <v>307</v>
      </c>
      <c r="B65" s="511"/>
      <c r="C65" s="511"/>
      <c r="D65" s="511"/>
      <c r="E65" s="511"/>
      <c r="F65" s="511"/>
      <c r="G65" s="512"/>
      <c r="H65" s="58">
        <v>80</v>
      </c>
      <c r="I65" s="59"/>
    </row>
    <row r="66" spans="1:9" ht="16.5" thickBot="1" x14ac:dyDescent="0.3">
      <c r="A66" s="508" t="s">
        <v>308</v>
      </c>
      <c r="B66" s="509"/>
      <c r="C66" s="509"/>
      <c r="D66" s="509"/>
      <c r="E66" s="509"/>
      <c r="F66" s="509"/>
      <c r="G66" s="510"/>
      <c r="H66" s="55" t="e">
        <f>ROUNDDOWN(SUM(H63:H65,H59:H60),0)</f>
        <v>#REF!</v>
      </c>
      <c r="I66" s="36"/>
    </row>
    <row r="67" spans="1:9" ht="15.75" x14ac:dyDescent="0.25">
      <c r="A67" s="505" t="s">
        <v>309</v>
      </c>
      <c r="B67" s="505"/>
      <c r="C67" s="38">
        <v>50</v>
      </c>
      <c r="D67" s="60" t="s">
        <v>310</v>
      </c>
      <c r="E67" s="60"/>
      <c r="F67" s="60"/>
      <c r="G67" s="60"/>
      <c r="H67" s="60"/>
      <c r="I67" s="36"/>
    </row>
  </sheetData>
  <mergeCells count="18">
    <mergeCell ref="I3:I4"/>
    <mergeCell ref="J3:J4"/>
    <mergeCell ref="A5:A15"/>
    <mergeCell ref="A61:E61"/>
    <mergeCell ref="A62:E62"/>
    <mergeCell ref="A59:B59"/>
    <mergeCell ref="A60:B60"/>
    <mergeCell ref="A2:C2"/>
    <mergeCell ref="B3:B4"/>
    <mergeCell ref="C3:C4"/>
    <mergeCell ref="A45:A58"/>
    <mergeCell ref="A16:A32"/>
    <mergeCell ref="A33:A44"/>
    <mergeCell ref="A63:G63"/>
    <mergeCell ref="A64:G64"/>
    <mergeCell ref="A65:G65"/>
    <mergeCell ref="A66:G66"/>
    <mergeCell ref="A67:B67"/>
  </mergeCells>
  <dataValidations count="2">
    <dataValidation type="list" allowBlank="1" showInputMessage="1" showErrorMessage="1" sqref="I5:I60" xr:uid="{00000000-0002-0000-0200-000000000000}">
      <formula1>Áreas</formula1>
    </dataValidation>
    <dataValidation type="list" allowBlank="1" showInputMessage="1" showErrorMessage="1" sqref="J5:J60" xr:uid="{00000000-0002-0000-02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-0.249977111117893"/>
  </sheetPr>
  <dimension ref="A1:J64"/>
  <sheetViews>
    <sheetView topLeftCell="A37" workbookViewId="0">
      <selection activeCell="J13" sqref="J13"/>
    </sheetView>
  </sheetViews>
  <sheetFormatPr defaultRowHeight="15" x14ac:dyDescent="0.25"/>
  <cols>
    <col min="1" max="1" width="7.140625" customWidth="1"/>
    <col min="2" max="2" width="50.8554687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234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265</v>
      </c>
      <c r="B5" s="40" t="s">
        <v>266</v>
      </c>
      <c r="C5" s="41" t="s">
        <v>267</v>
      </c>
      <c r="D5" s="42" t="s">
        <v>60</v>
      </c>
      <c r="E5" s="43">
        <v>1</v>
      </c>
      <c r="F5" s="42">
        <v>2</v>
      </c>
      <c r="G5" s="44">
        <f t="shared" ref="G5:G36" si="0">F5*$F$2</f>
        <v>76</v>
      </c>
      <c r="H5" s="45">
        <f t="shared" ref="H5:H36" si="1">(G5)*$C$64/60</f>
        <v>63.333333333333336</v>
      </c>
      <c r="I5" s="47" t="s">
        <v>19</v>
      </c>
      <c r="J5" s="46" t="s">
        <v>230</v>
      </c>
    </row>
    <row r="6" spans="1:10" x14ac:dyDescent="0.25">
      <c r="A6" s="504"/>
      <c r="B6" s="40" t="s">
        <v>268</v>
      </c>
      <c r="C6" s="48" t="s">
        <v>269</v>
      </c>
      <c r="D6" s="42" t="s">
        <v>54</v>
      </c>
      <c r="E6" s="42">
        <v>2</v>
      </c>
      <c r="F6" s="42">
        <v>4</v>
      </c>
      <c r="G6" s="44">
        <f t="shared" si="0"/>
        <v>152</v>
      </c>
      <c r="H6" s="45">
        <f t="shared" si="1"/>
        <v>126.66666666666667</v>
      </c>
      <c r="I6" s="47" t="s">
        <v>19</v>
      </c>
      <c r="J6" s="46" t="s">
        <v>232</v>
      </c>
    </row>
    <row r="7" spans="1:10" x14ac:dyDescent="0.25">
      <c r="A7" s="504"/>
      <c r="B7" s="40" t="s">
        <v>249</v>
      </c>
      <c r="C7" s="41" t="s">
        <v>250</v>
      </c>
      <c r="D7" s="42" t="s">
        <v>60</v>
      </c>
      <c r="E7" s="43">
        <v>1</v>
      </c>
      <c r="F7" s="42">
        <v>4</v>
      </c>
      <c r="G7" s="44">
        <f t="shared" si="0"/>
        <v>152</v>
      </c>
      <c r="H7" s="45">
        <f t="shared" si="1"/>
        <v>126.66666666666667</v>
      </c>
      <c r="I7" s="47" t="s">
        <v>14</v>
      </c>
      <c r="J7" s="46" t="s">
        <v>230</v>
      </c>
    </row>
    <row r="8" spans="1:10" x14ac:dyDescent="0.25">
      <c r="A8" s="504"/>
      <c r="B8" s="40" t="s">
        <v>252</v>
      </c>
      <c r="C8" s="41" t="s">
        <v>253</v>
      </c>
      <c r="D8" s="42" t="s">
        <v>54</v>
      </c>
      <c r="E8" s="43">
        <v>1</v>
      </c>
      <c r="F8" s="42">
        <v>2</v>
      </c>
      <c r="G8" s="44">
        <f t="shared" si="0"/>
        <v>76</v>
      </c>
      <c r="H8" s="45">
        <f t="shared" si="1"/>
        <v>63.333333333333336</v>
      </c>
      <c r="I8" s="47" t="s">
        <v>12</v>
      </c>
      <c r="J8" s="46" t="s">
        <v>230</v>
      </c>
    </row>
    <row r="9" spans="1:10" x14ac:dyDescent="0.25">
      <c r="A9" s="504"/>
      <c r="B9" s="40" t="s">
        <v>254</v>
      </c>
      <c r="C9" s="41" t="s">
        <v>255</v>
      </c>
      <c r="D9" s="42" t="s">
        <v>54</v>
      </c>
      <c r="E9" s="43">
        <v>1</v>
      </c>
      <c r="F9" s="42">
        <v>2</v>
      </c>
      <c r="G9" s="44">
        <f t="shared" si="0"/>
        <v>76</v>
      </c>
      <c r="H9" s="45">
        <f t="shared" si="1"/>
        <v>63.333333333333336</v>
      </c>
      <c r="I9" s="47" t="s">
        <v>13</v>
      </c>
      <c r="J9" s="46" t="s">
        <v>230</v>
      </c>
    </row>
    <row r="10" spans="1:10" x14ac:dyDescent="0.25">
      <c r="A10" s="504"/>
      <c r="B10" s="40" t="s">
        <v>15</v>
      </c>
      <c r="C10" s="41" t="s">
        <v>256</v>
      </c>
      <c r="D10" s="42" t="s">
        <v>54</v>
      </c>
      <c r="E10" s="43">
        <v>1</v>
      </c>
      <c r="F10" s="42">
        <v>2</v>
      </c>
      <c r="G10" s="44">
        <f t="shared" si="0"/>
        <v>76</v>
      </c>
      <c r="H10" s="45">
        <f t="shared" si="1"/>
        <v>63.333333333333336</v>
      </c>
      <c r="I10" s="47" t="s">
        <v>15</v>
      </c>
      <c r="J10" s="46" t="s">
        <v>230</v>
      </c>
    </row>
    <row r="11" spans="1:10" x14ac:dyDescent="0.25">
      <c r="A11" s="504"/>
      <c r="B11" s="40" t="s">
        <v>21</v>
      </c>
      <c r="C11" s="41" t="s">
        <v>257</v>
      </c>
      <c r="D11" s="42" t="s">
        <v>60</v>
      </c>
      <c r="E11" s="43">
        <v>1</v>
      </c>
      <c r="F11" s="42">
        <v>4</v>
      </c>
      <c r="G11" s="44">
        <f t="shared" si="0"/>
        <v>152</v>
      </c>
      <c r="H11" s="45">
        <f t="shared" si="1"/>
        <v>126.66666666666667</v>
      </c>
      <c r="I11" s="47" t="s">
        <v>21</v>
      </c>
      <c r="J11" s="46" t="s">
        <v>230</v>
      </c>
    </row>
    <row r="12" spans="1:10" x14ac:dyDescent="0.25">
      <c r="A12" s="504"/>
      <c r="B12" s="40" t="s">
        <v>5</v>
      </c>
      <c r="C12" s="41" t="s">
        <v>258</v>
      </c>
      <c r="D12" s="42" t="s">
        <v>60</v>
      </c>
      <c r="E12" s="43">
        <v>1</v>
      </c>
      <c r="F12" s="42">
        <v>2</v>
      </c>
      <c r="G12" s="44">
        <f t="shared" si="0"/>
        <v>76</v>
      </c>
      <c r="H12" s="45">
        <f t="shared" si="1"/>
        <v>63.333333333333336</v>
      </c>
      <c r="I12" s="47" t="s">
        <v>5</v>
      </c>
      <c r="J12" s="46" t="s">
        <v>230</v>
      </c>
    </row>
    <row r="13" spans="1:10" x14ac:dyDescent="0.25">
      <c r="A13" s="504"/>
      <c r="B13" s="40" t="s">
        <v>6</v>
      </c>
      <c r="C13" s="41" t="s">
        <v>259</v>
      </c>
      <c r="D13" s="42" t="s">
        <v>60</v>
      </c>
      <c r="E13" s="43">
        <v>1</v>
      </c>
      <c r="F13" s="42">
        <v>2</v>
      </c>
      <c r="G13" s="44">
        <f t="shared" si="0"/>
        <v>76</v>
      </c>
      <c r="H13" s="45">
        <f t="shared" si="1"/>
        <v>63.333333333333336</v>
      </c>
      <c r="I13" s="47" t="s">
        <v>6</v>
      </c>
      <c r="J13" s="46" t="s">
        <v>230</v>
      </c>
    </row>
    <row r="14" spans="1:10" x14ac:dyDescent="0.25">
      <c r="A14" s="504"/>
      <c r="B14" s="40" t="s">
        <v>7</v>
      </c>
      <c r="C14" s="41" t="s">
        <v>260</v>
      </c>
      <c r="D14" s="42" t="s">
        <v>60</v>
      </c>
      <c r="E14" s="43">
        <v>1</v>
      </c>
      <c r="F14" s="42">
        <v>2</v>
      </c>
      <c r="G14" s="44">
        <f t="shared" si="0"/>
        <v>76</v>
      </c>
      <c r="H14" s="45">
        <f t="shared" si="1"/>
        <v>63.333333333333336</v>
      </c>
      <c r="I14" s="47" t="s">
        <v>7</v>
      </c>
      <c r="J14" s="46" t="s">
        <v>230</v>
      </c>
    </row>
    <row r="15" spans="1:10" x14ac:dyDescent="0.25">
      <c r="A15" s="504"/>
      <c r="B15" s="40" t="s">
        <v>9</v>
      </c>
      <c r="C15" s="41" t="s">
        <v>261</v>
      </c>
      <c r="D15" s="42" t="s">
        <v>60</v>
      </c>
      <c r="E15" s="43">
        <v>1</v>
      </c>
      <c r="F15" s="42">
        <v>2</v>
      </c>
      <c r="G15" s="44">
        <f t="shared" si="0"/>
        <v>76</v>
      </c>
      <c r="H15" s="45">
        <f t="shared" si="1"/>
        <v>63.333333333333336</v>
      </c>
      <c r="I15" s="47" t="s">
        <v>9</v>
      </c>
      <c r="J15" s="46" t="s">
        <v>230</v>
      </c>
    </row>
    <row r="16" spans="1:10" x14ac:dyDescent="0.25">
      <c r="A16" s="504"/>
      <c r="B16" s="40" t="s">
        <v>10</v>
      </c>
      <c r="C16" s="41" t="s">
        <v>262</v>
      </c>
      <c r="D16" s="42" t="s">
        <v>60</v>
      </c>
      <c r="E16" s="43">
        <v>1</v>
      </c>
      <c r="F16" s="42">
        <v>2</v>
      </c>
      <c r="G16" s="44">
        <f t="shared" si="0"/>
        <v>76</v>
      </c>
      <c r="H16" s="45">
        <f t="shared" si="1"/>
        <v>63.333333333333336</v>
      </c>
      <c r="I16" s="47" t="s">
        <v>10</v>
      </c>
      <c r="J16" s="46" t="s">
        <v>230</v>
      </c>
    </row>
    <row r="17" spans="1:10" x14ac:dyDescent="0.25">
      <c r="A17" s="504"/>
      <c r="B17" s="40" t="s">
        <v>8</v>
      </c>
      <c r="C17" s="41" t="s">
        <v>263</v>
      </c>
      <c r="D17" s="42" t="s">
        <v>60</v>
      </c>
      <c r="E17" s="43">
        <v>1</v>
      </c>
      <c r="F17" s="42">
        <v>2</v>
      </c>
      <c r="G17" s="44">
        <f t="shared" si="0"/>
        <v>76</v>
      </c>
      <c r="H17" s="45">
        <f t="shared" si="1"/>
        <v>63.333333333333336</v>
      </c>
      <c r="I17" s="47" t="s">
        <v>8</v>
      </c>
      <c r="J17" s="46" t="s">
        <v>230</v>
      </c>
    </row>
    <row r="18" spans="1:10" x14ac:dyDescent="0.25">
      <c r="A18" s="504"/>
      <c r="B18" s="40" t="s">
        <v>11</v>
      </c>
      <c r="C18" s="41" t="s">
        <v>264</v>
      </c>
      <c r="D18" s="42" t="s">
        <v>60</v>
      </c>
      <c r="E18" s="43">
        <v>1</v>
      </c>
      <c r="F18" s="42">
        <v>2</v>
      </c>
      <c r="G18" s="44">
        <f t="shared" si="0"/>
        <v>76</v>
      </c>
      <c r="H18" s="45">
        <f t="shared" si="1"/>
        <v>63.333333333333336</v>
      </c>
      <c r="I18" s="47" t="s">
        <v>11</v>
      </c>
      <c r="J18" s="46" t="s">
        <v>230</v>
      </c>
    </row>
    <row r="19" spans="1:10" x14ac:dyDescent="0.25">
      <c r="A19" s="504"/>
      <c r="B19" s="40" t="s">
        <v>270</v>
      </c>
      <c r="C19" s="48" t="s">
        <v>271</v>
      </c>
      <c r="D19" s="42" t="s">
        <v>54</v>
      </c>
      <c r="E19" s="42">
        <v>2</v>
      </c>
      <c r="F19" s="42">
        <v>4</v>
      </c>
      <c r="G19" s="44">
        <f t="shared" si="0"/>
        <v>152</v>
      </c>
      <c r="H19" s="45">
        <f t="shared" si="1"/>
        <v>126.66666666666667</v>
      </c>
      <c r="I19" s="47" t="s">
        <v>19</v>
      </c>
      <c r="J19" s="46" t="s">
        <v>231</v>
      </c>
    </row>
    <row r="20" spans="1:10" x14ac:dyDescent="0.25">
      <c r="A20" s="504"/>
      <c r="B20" s="40" t="s">
        <v>272</v>
      </c>
      <c r="C20" s="48" t="s">
        <v>273</v>
      </c>
      <c r="D20" s="42" t="s">
        <v>60</v>
      </c>
      <c r="E20" s="42">
        <v>2</v>
      </c>
      <c r="F20" s="42">
        <v>2</v>
      </c>
      <c r="G20" s="44">
        <f t="shared" si="0"/>
        <v>76</v>
      </c>
      <c r="H20" s="45">
        <f t="shared" si="1"/>
        <v>63.333333333333336</v>
      </c>
      <c r="I20" s="47" t="s">
        <v>19</v>
      </c>
      <c r="J20" s="46" t="s">
        <v>230</v>
      </c>
    </row>
    <row r="21" spans="1:10" x14ac:dyDescent="0.25">
      <c r="A21" s="504" t="s">
        <v>274</v>
      </c>
      <c r="B21" s="40" t="s">
        <v>275</v>
      </c>
      <c r="C21" s="49" t="s">
        <v>276</v>
      </c>
      <c r="D21" s="42" t="s">
        <v>54</v>
      </c>
      <c r="E21" s="42">
        <v>2</v>
      </c>
      <c r="F21" s="42">
        <v>4</v>
      </c>
      <c r="G21" s="44">
        <f t="shared" si="0"/>
        <v>152</v>
      </c>
      <c r="H21" s="45">
        <f t="shared" si="1"/>
        <v>126.66666666666667</v>
      </c>
      <c r="I21" s="47" t="s">
        <v>19</v>
      </c>
      <c r="J21" s="46" t="s">
        <v>232</v>
      </c>
    </row>
    <row r="22" spans="1:10" x14ac:dyDescent="0.25">
      <c r="A22" s="504"/>
      <c r="B22" s="40" t="s">
        <v>277</v>
      </c>
      <c r="C22" s="49" t="s">
        <v>278</v>
      </c>
      <c r="D22" s="42" t="s">
        <v>54</v>
      </c>
      <c r="E22" s="42">
        <v>2</v>
      </c>
      <c r="F22" s="42">
        <v>2</v>
      </c>
      <c r="G22" s="44">
        <f t="shared" si="0"/>
        <v>76</v>
      </c>
      <c r="H22" s="45">
        <f t="shared" si="1"/>
        <v>63.333333333333336</v>
      </c>
      <c r="I22" s="47" t="s">
        <v>19</v>
      </c>
      <c r="J22" s="46" t="s">
        <v>232</v>
      </c>
    </row>
    <row r="23" spans="1:10" x14ac:dyDescent="0.25">
      <c r="A23" s="504"/>
      <c r="B23" s="40" t="s">
        <v>249</v>
      </c>
      <c r="C23" s="41" t="s">
        <v>250</v>
      </c>
      <c r="D23" s="42" t="s">
        <v>60</v>
      </c>
      <c r="E23" s="43">
        <v>1</v>
      </c>
      <c r="F23" s="42">
        <v>4</v>
      </c>
      <c r="G23" s="44">
        <f t="shared" si="0"/>
        <v>152</v>
      </c>
      <c r="H23" s="45">
        <f t="shared" si="1"/>
        <v>126.66666666666667</v>
      </c>
      <c r="I23" s="47" t="s">
        <v>14</v>
      </c>
      <c r="J23" s="46" t="s">
        <v>230</v>
      </c>
    </row>
    <row r="24" spans="1:10" x14ac:dyDescent="0.25">
      <c r="A24" s="504"/>
      <c r="B24" s="40" t="s">
        <v>252</v>
      </c>
      <c r="C24" s="41" t="s">
        <v>253</v>
      </c>
      <c r="D24" s="42" t="s">
        <v>54</v>
      </c>
      <c r="E24" s="43">
        <v>1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12</v>
      </c>
      <c r="J24" s="46" t="s">
        <v>230</v>
      </c>
    </row>
    <row r="25" spans="1:10" x14ac:dyDescent="0.25">
      <c r="A25" s="504"/>
      <c r="B25" s="40" t="s">
        <v>254</v>
      </c>
      <c r="C25" s="41" t="s">
        <v>255</v>
      </c>
      <c r="D25" s="42" t="s">
        <v>54</v>
      </c>
      <c r="E25" s="43">
        <v>1</v>
      </c>
      <c r="F25" s="42">
        <v>2</v>
      </c>
      <c r="G25" s="44">
        <f t="shared" si="0"/>
        <v>76</v>
      </c>
      <c r="H25" s="45">
        <f t="shared" si="1"/>
        <v>63.333333333333336</v>
      </c>
      <c r="I25" s="47" t="s">
        <v>13</v>
      </c>
      <c r="J25" s="46" t="s">
        <v>230</v>
      </c>
    </row>
    <row r="26" spans="1:10" x14ac:dyDescent="0.25">
      <c r="A26" s="504"/>
      <c r="B26" s="40" t="s">
        <v>15</v>
      </c>
      <c r="C26" s="41" t="s">
        <v>256</v>
      </c>
      <c r="D26" s="42" t="s">
        <v>54</v>
      </c>
      <c r="E26" s="43">
        <v>1</v>
      </c>
      <c r="F26" s="42">
        <v>2</v>
      </c>
      <c r="G26" s="44">
        <f t="shared" si="0"/>
        <v>76</v>
      </c>
      <c r="H26" s="45">
        <f t="shared" si="1"/>
        <v>63.333333333333336</v>
      </c>
      <c r="I26" s="47" t="s">
        <v>15</v>
      </c>
      <c r="J26" s="46" t="s">
        <v>230</v>
      </c>
    </row>
    <row r="27" spans="1:10" x14ac:dyDescent="0.25">
      <c r="A27" s="504"/>
      <c r="B27" s="40" t="s">
        <v>21</v>
      </c>
      <c r="C27" s="41" t="s">
        <v>257</v>
      </c>
      <c r="D27" s="42" t="s">
        <v>60</v>
      </c>
      <c r="E27" s="43">
        <v>1</v>
      </c>
      <c r="F27" s="42">
        <v>4</v>
      </c>
      <c r="G27" s="44">
        <f t="shared" si="0"/>
        <v>152</v>
      </c>
      <c r="H27" s="45">
        <f t="shared" si="1"/>
        <v>126.66666666666667</v>
      </c>
      <c r="I27" s="47" t="s">
        <v>21</v>
      </c>
      <c r="J27" s="46" t="s">
        <v>230</v>
      </c>
    </row>
    <row r="28" spans="1:10" x14ac:dyDescent="0.25">
      <c r="A28" s="504"/>
      <c r="B28" s="40" t="s">
        <v>5</v>
      </c>
      <c r="C28" s="41" t="s">
        <v>258</v>
      </c>
      <c r="D28" s="42" t="s">
        <v>60</v>
      </c>
      <c r="E28" s="43">
        <v>1</v>
      </c>
      <c r="F28" s="42">
        <v>2</v>
      </c>
      <c r="G28" s="44">
        <f t="shared" si="0"/>
        <v>76</v>
      </c>
      <c r="H28" s="45">
        <f t="shared" si="1"/>
        <v>63.333333333333336</v>
      </c>
      <c r="I28" s="47" t="s">
        <v>5</v>
      </c>
      <c r="J28" s="46" t="s">
        <v>230</v>
      </c>
    </row>
    <row r="29" spans="1:10" x14ac:dyDescent="0.25">
      <c r="A29" s="504"/>
      <c r="B29" s="40" t="s">
        <v>6</v>
      </c>
      <c r="C29" s="41" t="s">
        <v>259</v>
      </c>
      <c r="D29" s="42" t="s">
        <v>60</v>
      </c>
      <c r="E29" s="43">
        <v>1</v>
      </c>
      <c r="F29" s="42">
        <v>2</v>
      </c>
      <c r="G29" s="44">
        <f t="shared" si="0"/>
        <v>76</v>
      </c>
      <c r="H29" s="45">
        <f t="shared" si="1"/>
        <v>63.333333333333336</v>
      </c>
      <c r="I29" s="47" t="s">
        <v>6</v>
      </c>
      <c r="J29" s="46" t="s">
        <v>230</v>
      </c>
    </row>
    <row r="30" spans="1:10" x14ac:dyDescent="0.25">
      <c r="A30" s="504"/>
      <c r="B30" s="40" t="s">
        <v>7</v>
      </c>
      <c r="C30" s="41" t="s">
        <v>260</v>
      </c>
      <c r="D30" s="42" t="s">
        <v>60</v>
      </c>
      <c r="E30" s="43">
        <v>1</v>
      </c>
      <c r="F30" s="42">
        <v>2</v>
      </c>
      <c r="G30" s="44">
        <f t="shared" si="0"/>
        <v>76</v>
      </c>
      <c r="H30" s="45">
        <f t="shared" si="1"/>
        <v>63.333333333333336</v>
      </c>
      <c r="I30" s="47" t="s">
        <v>7</v>
      </c>
      <c r="J30" s="46" t="s">
        <v>230</v>
      </c>
    </row>
    <row r="31" spans="1:10" x14ac:dyDescent="0.25">
      <c r="A31" s="504"/>
      <c r="B31" s="40" t="s">
        <v>9</v>
      </c>
      <c r="C31" s="41" t="s">
        <v>261</v>
      </c>
      <c r="D31" s="42" t="s">
        <v>60</v>
      </c>
      <c r="E31" s="43">
        <v>1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9</v>
      </c>
      <c r="J31" s="46" t="s">
        <v>230</v>
      </c>
    </row>
    <row r="32" spans="1:10" x14ac:dyDescent="0.25">
      <c r="A32" s="504"/>
      <c r="B32" s="40" t="s">
        <v>10</v>
      </c>
      <c r="C32" s="41" t="s">
        <v>262</v>
      </c>
      <c r="D32" s="42" t="s">
        <v>60</v>
      </c>
      <c r="E32" s="43">
        <v>1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10</v>
      </c>
      <c r="J32" s="46" t="s">
        <v>230</v>
      </c>
    </row>
    <row r="33" spans="1:10" x14ac:dyDescent="0.25">
      <c r="A33" s="504"/>
      <c r="B33" s="40" t="s">
        <v>8</v>
      </c>
      <c r="C33" s="41" t="s">
        <v>263</v>
      </c>
      <c r="D33" s="42" t="s">
        <v>60</v>
      </c>
      <c r="E33" s="43">
        <v>1</v>
      </c>
      <c r="F33" s="42">
        <v>2</v>
      </c>
      <c r="G33" s="44">
        <f t="shared" si="0"/>
        <v>76</v>
      </c>
      <c r="H33" s="45">
        <f t="shared" si="1"/>
        <v>63.333333333333336</v>
      </c>
      <c r="I33" s="47" t="s">
        <v>8</v>
      </c>
      <c r="J33" s="46" t="s">
        <v>230</v>
      </c>
    </row>
    <row r="34" spans="1:10" x14ac:dyDescent="0.25">
      <c r="A34" s="504"/>
      <c r="B34" s="40" t="s">
        <v>11</v>
      </c>
      <c r="C34" s="41" t="s">
        <v>264</v>
      </c>
      <c r="D34" s="42" t="s">
        <v>60</v>
      </c>
      <c r="E34" s="43">
        <v>1</v>
      </c>
      <c r="F34" s="42">
        <v>2</v>
      </c>
      <c r="G34" s="44">
        <f t="shared" si="0"/>
        <v>76</v>
      </c>
      <c r="H34" s="45">
        <f t="shared" si="1"/>
        <v>63.333333333333336</v>
      </c>
      <c r="I34" s="47" t="s">
        <v>11</v>
      </c>
      <c r="J34" s="46" t="s">
        <v>230</v>
      </c>
    </row>
    <row r="35" spans="1:10" x14ac:dyDescent="0.25">
      <c r="A35" s="504"/>
      <c r="B35" s="40" t="s">
        <v>171</v>
      </c>
      <c r="C35" s="49" t="s">
        <v>279</v>
      </c>
      <c r="D35" s="42" t="s">
        <v>54</v>
      </c>
      <c r="E35" s="42">
        <v>2</v>
      </c>
      <c r="F35" s="42">
        <v>4</v>
      </c>
      <c r="G35" s="44">
        <f t="shared" si="0"/>
        <v>152</v>
      </c>
      <c r="H35" s="45">
        <f t="shared" si="1"/>
        <v>126.66666666666667</v>
      </c>
      <c r="I35" s="47" t="s">
        <v>19</v>
      </c>
      <c r="J35" s="46" t="s">
        <v>232</v>
      </c>
    </row>
    <row r="36" spans="1:10" x14ac:dyDescent="0.25">
      <c r="A36" s="504"/>
      <c r="B36" s="40" t="s">
        <v>280</v>
      </c>
      <c r="C36" s="49" t="s">
        <v>281</v>
      </c>
      <c r="D36" s="42" t="s">
        <v>54</v>
      </c>
      <c r="E36" s="42">
        <v>1</v>
      </c>
      <c r="F36" s="42">
        <v>2</v>
      </c>
      <c r="G36" s="44">
        <f t="shared" si="0"/>
        <v>76</v>
      </c>
      <c r="H36" s="45">
        <f t="shared" si="1"/>
        <v>63.333333333333336</v>
      </c>
      <c r="I36" s="47" t="s">
        <v>19</v>
      </c>
      <c r="J36" s="46" t="s">
        <v>232</v>
      </c>
    </row>
    <row r="37" spans="1:10" x14ac:dyDescent="0.25">
      <c r="A37" s="504"/>
      <c r="B37" s="40" t="s">
        <v>282</v>
      </c>
      <c r="C37" s="49" t="s">
        <v>283</v>
      </c>
      <c r="D37" s="42" t="s">
        <v>54</v>
      </c>
      <c r="E37" s="43">
        <v>2</v>
      </c>
      <c r="F37" s="42">
        <v>2</v>
      </c>
      <c r="G37" s="44">
        <f t="shared" ref="G37:G57" si="2">F37*$F$2</f>
        <v>76</v>
      </c>
      <c r="H37" s="45">
        <f t="shared" ref="H37:H57" si="3">(G37)*$C$64/60</f>
        <v>63.333333333333336</v>
      </c>
      <c r="I37" s="47" t="s">
        <v>19</v>
      </c>
      <c r="J37" s="46" t="s">
        <v>232</v>
      </c>
    </row>
    <row r="38" spans="1:10" x14ac:dyDescent="0.25">
      <c r="A38" s="504" t="s">
        <v>284</v>
      </c>
      <c r="B38" s="40" t="s">
        <v>285</v>
      </c>
      <c r="C38" s="49" t="s">
        <v>286</v>
      </c>
      <c r="D38" s="42" t="s">
        <v>54</v>
      </c>
      <c r="E38" s="42">
        <v>1</v>
      </c>
      <c r="F38" s="42">
        <v>2</v>
      </c>
      <c r="G38" s="44">
        <f t="shared" si="2"/>
        <v>76</v>
      </c>
      <c r="H38" s="45">
        <f t="shared" si="3"/>
        <v>63.333333333333336</v>
      </c>
      <c r="I38" s="47" t="s">
        <v>19</v>
      </c>
      <c r="J38" s="46" t="s">
        <v>232</v>
      </c>
    </row>
    <row r="39" spans="1:10" x14ac:dyDescent="0.25">
      <c r="A39" s="504"/>
      <c r="B39" s="40" t="s">
        <v>287</v>
      </c>
      <c r="C39" s="49" t="s">
        <v>288</v>
      </c>
      <c r="D39" s="42" t="s">
        <v>54</v>
      </c>
      <c r="E39" s="42">
        <v>2</v>
      </c>
      <c r="F39" s="42">
        <v>4</v>
      </c>
      <c r="G39" s="44">
        <f t="shared" si="2"/>
        <v>152</v>
      </c>
      <c r="H39" s="45">
        <f t="shared" si="3"/>
        <v>126.66666666666667</v>
      </c>
      <c r="I39" s="47" t="s">
        <v>19</v>
      </c>
      <c r="J39" s="46" t="s">
        <v>232</v>
      </c>
    </row>
    <row r="40" spans="1:10" x14ac:dyDescent="0.25">
      <c r="A40" s="504"/>
      <c r="B40" s="40" t="s">
        <v>289</v>
      </c>
      <c r="C40" s="49" t="s">
        <v>290</v>
      </c>
      <c r="D40" s="42" t="s">
        <v>60</v>
      </c>
      <c r="E40" s="42">
        <v>1</v>
      </c>
      <c r="F40" s="42">
        <v>4</v>
      </c>
      <c r="G40" s="44">
        <f t="shared" si="2"/>
        <v>152</v>
      </c>
      <c r="H40" s="45">
        <f t="shared" si="3"/>
        <v>126.66666666666667</v>
      </c>
      <c r="I40" s="47" t="s">
        <v>19</v>
      </c>
      <c r="J40" s="46" t="s">
        <v>230</v>
      </c>
    </row>
    <row r="41" spans="1:10" x14ac:dyDescent="0.25">
      <c r="A41" s="504"/>
      <c r="B41" s="40" t="s">
        <v>249</v>
      </c>
      <c r="C41" s="41" t="s">
        <v>250</v>
      </c>
      <c r="D41" s="42" t="s">
        <v>60</v>
      </c>
      <c r="E41" s="43">
        <v>1</v>
      </c>
      <c r="F41" s="42">
        <v>4</v>
      </c>
      <c r="G41" s="44">
        <f t="shared" si="2"/>
        <v>152</v>
      </c>
      <c r="H41" s="45">
        <f t="shared" si="3"/>
        <v>126.66666666666667</v>
      </c>
      <c r="I41" s="47" t="s">
        <v>14</v>
      </c>
      <c r="J41" s="46" t="s">
        <v>230</v>
      </c>
    </row>
    <row r="42" spans="1:10" x14ac:dyDescent="0.25">
      <c r="A42" s="504"/>
      <c r="B42" s="40" t="s">
        <v>252</v>
      </c>
      <c r="C42" s="41" t="s">
        <v>253</v>
      </c>
      <c r="D42" s="42" t="s">
        <v>54</v>
      </c>
      <c r="E42" s="43">
        <v>1</v>
      </c>
      <c r="F42" s="42">
        <v>2</v>
      </c>
      <c r="G42" s="44">
        <f t="shared" si="2"/>
        <v>76</v>
      </c>
      <c r="H42" s="45">
        <f t="shared" si="3"/>
        <v>63.333333333333336</v>
      </c>
      <c r="I42" s="47" t="s">
        <v>12</v>
      </c>
      <c r="J42" s="46" t="s">
        <v>230</v>
      </c>
    </row>
    <row r="43" spans="1:10" x14ac:dyDescent="0.25">
      <c r="A43" s="504"/>
      <c r="B43" s="40" t="s">
        <v>254</v>
      </c>
      <c r="C43" s="41" t="s">
        <v>255</v>
      </c>
      <c r="D43" s="42" t="s">
        <v>54</v>
      </c>
      <c r="E43" s="43">
        <v>1</v>
      </c>
      <c r="F43" s="42">
        <v>2</v>
      </c>
      <c r="G43" s="44">
        <f t="shared" si="2"/>
        <v>76</v>
      </c>
      <c r="H43" s="45">
        <f t="shared" si="3"/>
        <v>63.333333333333336</v>
      </c>
      <c r="I43" s="47" t="s">
        <v>13</v>
      </c>
      <c r="J43" s="46" t="s">
        <v>230</v>
      </c>
    </row>
    <row r="44" spans="1:10" x14ac:dyDescent="0.25">
      <c r="A44" s="504"/>
      <c r="B44" s="40" t="s">
        <v>15</v>
      </c>
      <c r="C44" s="41" t="s">
        <v>256</v>
      </c>
      <c r="D44" s="42" t="s">
        <v>54</v>
      </c>
      <c r="E44" s="43">
        <v>1</v>
      </c>
      <c r="F44" s="42">
        <v>2</v>
      </c>
      <c r="G44" s="44">
        <f t="shared" si="2"/>
        <v>76</v>
      </c>
      <c r="H44" s="45">
        <f t="shared" si="3"/>
        <v>63.333333333333336</v>
      </c>
      <c r="I44" s="47" t="s">
        <v>15</v>
      </c>
      <c r="J44" s="46" t="s">
        <v>230</v>
      </c>
    </row>
    <row r="45" spans="1:10" x14ac:dyDescent="0.25">
      <c r="A45" s="504"/>
      <c r="B45" s="40" t="s">
        <v>21</v>
      </c>
      <c r="C45" s="41" t="s">
        <v>257</v>
      </c>
      <c r="D45" s="42" t="s">
        <v>60</v>
      </c>
      <c r="E45" s="43">
        <v>1</v>
      </c>
      <c r="F45" s="42">
        <v>4</v>
      </c>
      <c r="G45" s="44">
        <f t="shared" si="2"/>
        <v>152</v>
      </c>
      <c r="H45" s="45">
        <f t="shared" si="3"/>
        <v>126.66666666666667</v>
      </c>
      <c r="I45" s="47" t="s">
        <v>21</v>
      </c>
      <c r="J45" s="46" t="s">
        <v>230</v>
      </c>
    </row>
    <row r="46" spans="1:10" x14ac:dyDescent="0.25">
      <c r="A46" s="504"/>
      <c r="B46" s="40" t="s">
        <v>5</v>
      </c>
      <c r="C46" s="41" t="s">
        <v>258</v>
      </c>
      <c r="D46" s="42" t="s">
        <v>60</v>
      </c>
      <c r="E46" s="43">
        <v>1</v>
      </c>
      <c r="F46" s="42">
        <v>2</v>
      </c>
      <c r="G46" s="44">
        <f t="shared" si="2"/>
        <v>76</v>
      </c>
      <c r="H46" s="45">
        <f t="shared" si="3"/>
        <v>63.333333333333336</v>
      </c>
      <c r="I46" s="47" t="s">
        <v>5</v>
      </c>
      <c r="J46" s="46" t="s">
        <v>230</v>
      </c>
    </row>
    <row r="47" spans="1:10" x14ac:dyDescent="0.25">
      <c r="A47" s="504"/>
      <c r="B47" s="40" t="s">
        <v>6</v>
      </c>
      <c r="C47" s="41" t="s">
        <v>259</v>
      </c>
      <c r="D47" s="42" t="s">
        <v>60</v>
      </c>
      <c r="E47" s="43">
        <v>1</v>
      </c>
      <c r="F47" s="42">
        <v>2</v>
      </c>
      <c r="G47" s="44">
        <f t="shared" si="2"/>
        <v>76</v>
      </c>
      <c r="H47" s="45">
        <f t="shared" si="3"/>
        <v>63.333333333333336</v>
      </c>
      <c r="I47" s="47" t="s">
        <v>6</v>
      </c>
      <c r="J47" s="46" t="s">
        <v>230</v>
      </c>
    </row>
    <row r="48" spans="1:10" x14ac:dyDescent="0.25">
      <c r="A48" s="504"/>
      <c r="B48" s="40" t="s">
        <v>7</v>
      </c>
      <c r="C48" s="41" t="s">
        <v>260</v>
      </c>
      <c r="D48" s="42" t="s">
        <v>60</v>
      </c>
      <c r="E48" s="43">
        <v>1</v>
      </c>
      <c r="F48" s="42">
        <v>2</v>
      </c>
      <c r="G48" s="44">
        <f t="shared" si="2"/>
        <v>76</v>
      </c>
      <c r="H48" s="45">
        <f t="shared" si="3"/>
        <v>63.333333333333336</v>
      </c>
      <c r="I48" s="47" t="s">
        <v>7</v>
      </c>
      <c r="J48" s="46" t="s">
        <v>230</v>
      </c>
    </row>
    <row r="49" spans="1:10" x14ac:dyDescent="0.25">
      <c r="A49" s="504"/>
      <c r="B49" s="40" t="s">
        <v>9</v>
      </c>
      <c r="C49" s="41" t="s">
        <v>261</v>
      </c>
      <c r="D49" s="42" t="s">
        <v>60</v>
      </c>
      <c r="E49" s="43">
        <v>1</v>
      </c>
      <c r="F49" s="42">
        <v>2</v>
      </c>
      <c r="G49" s="44">
        <f t="shared" si="2"/>
        <v>76</v>
      </c>
      <c r="H49" s="45">
        <f t="shared" si="3"/>
        <v>63.333333333333336</v>
      </c>
      <c r="I49" s="47" t="s">
        <v>9</v>
      </c>
      <c r="J49" s="46" t="s">
        <v>230</v>
      </c>
    </row>
    <row r="50" spans="1:10" x14ac:dyDescent="0.25">
      <c r="A50" s="504"/>
      <c r="B50" s="40" t="s">
        <v>10</v>
      </c>
      <c r="C50" s="41" t="s">
        <v>262</v>
      </c>
      <c r="D50" s="42" t="s">
        <v>60</v>
      </c>
      <c r="E50" s="43">
        <v>1</v>
      </c>
      <c r="F50" s="42">
        <v>2</v>
      </c>
      <c r="G50" s="44">
        <f t="shared" si="2"/>
        <v>76</v>
      </c>
      <c r="H50" s="45">
        <f t="shared" si="3"/>
        <v>63.333333333333336</v>
      </c>
      <c r="I50" s="47" t="s">
        <v>10</v>
      </c>
      <c r="J50" s="46" t="s">
        <v>230</v>
      </c>
    </row>
    <row r="51" spans="1:10" x14ac:dyDescent="0.25">
      <c r="A51" s="504"/>
      <c r="B51" s="40" t="s">
        <v>8</v>
      </c>
      <c r="C51" s="41" t="s">
        <v>263</v>
      </c>
      <c r="D51" s="42" t="s">
        <v>60</v>
      </c>
      <c r="E51" s="43">
        <v>1</v>
      </c>
      <c r="F51" s="42">
        <v>2</v>
      </c>
      <c r="G51" s="44">
        <f t="shared" si="2"/>
        <v>76</v>
      </c>
      <c r="H51" s="45">
        <f t="shared" si="3"/>
        <v>63.333333333333336</v>
      </c>
      <c r="I51" s="47" t="s">
        <v>8</v>
      </c>
      <c r="J51" s="46" t="s">
        <v>230</v>
      </c>
    </row>
    <row r="52" spans="1:10" x14ac:dyDescent="0.25">
      <c r="A52" s="504"/>
      <c r="B52" s="40" t="s">
        <v>11</v>
      </c>
      <c r="C52" s="41" t="s">
        <v>264</v>
      </c>
      <c r="D52" s="42" t="s">
        <v>60</v>
      </c>
      <c r="E52" s="43">
        <v>1</v>
      </c>
      <c r="F52" s="42">
        <v>2</v>
      </c>
      <c r="G52" s="44">
        <f t="shared" si="2"/>
        <v>76</v>
      </c>
      <c r="H52" s="45">
        <f t="shared" si="3"/>
        <v>63.333333333333336</v>
      </c>
      <c r="I52" s="47" t="s">
        <v>11</v>
      </c>
      <c r="J52" s="46" t="s">
        <v>230</v>
      </c>
    </row>
    <row r="53" spans="1:10" x14ac:dyDescent="0.25">
      <c r="A53" s="504"/>
      <c r="B53" s="40" t="s">
        <v>291</v>
      </c>
      <c r="C53" s="49" t="s">
        <v>292</v>
      </c>
      <c r="D53" s="42" t="s">
        <v>54</v>
      </c>
      <c r="E53" s="42">
        <v>2</v>
      </c>
      <c r="F53" s="42">
        <v>2</v>
      </c>
      <c r="G53" s="44">
        <f t="shared" si="2"/>
        <v>76</v>
      </c>
      <c r="H53" s="45">
        <f t="shared" si="3"/>
        <v>63.333333333333336</v>
      </c>
      <c r="I53" s="47" t="s">
        <v>19</v>
      </c>
      <c r="J53" s="46" t="s">
        <v>231</v>
      </c>
    </row>
    <row r="54" spans="1:10" x14ac:dyDescent="0.25">
      <c r="A54" s="504"/>
      <c r="B54" s="40" t="s">
        <v>293</v>
      </c>
      <c r="C54" s="49" t="s">
        <v>294</v>
      </c>
      <c r="D54" s="42" t="s">
        <v>54</v>
      </c>
      <c r="E54" s="42">
        <v>1</v>
      </c>
      <c r="F54" s="42">
        <v>2</v>
      </c>
      <c r="G54" s="44">
        <f t="shared" si="2"/>
        <v>76</v>
      </c>
      <c r="H54" s="45">
        <f t="shared" si="3"/>
        <v>63.333333333333336</v>
      </c>
      <c r="I54" s="47" t="s">
        <v>19</v>
      </c>
      <c r="J54" s="46" t="s">
        <v>232</v>
      </c>
    </row>
    <row r="55" spans="1:10" ht="15.75" thickBot="1" x14ac:dyDescent="0.3">
      <c r="A55" s="504"/>
      <c r="B55" s="52" t="s">
        <v>295</v>
      </c>
      <c r="C55" s="49" t="s">
        <v>296</v>
      </c>
      <c r="D55" s="42" t="s">
        <v>54</v>
      </c>
      <c r="E55" s="42">
        <v>2</v>
      </c>
      <c r="F55" s="42">
        <v>2</v>
      </c>
      <c r="G55" s="44">
        <f t="shared" si="2"/>
        <v>76</v>
      </c>
      <c r="H55" s="45">
        <f t="shared" si="3"/>
        <v>63.333333333333336</v>
      </c>
      <c r="I55" s="47" t="s">
        <v>19</v>
      </c>
      <c r="J55" s="46" t="s">
        <v>232</v>
      </c>
    </row>
    <row r="56" spans="1:10" ht="15.75" thickBot="1" x14ac:dyDescent="0.3">
      <c r="A56" s="506" t="s">
        <v>297</v>
      </c>
      <c r="B56" s="507"/>
      <c r="C56" s="42" t="s">
        <v>298</v>
      </c>
      <c r="D56" s="42" t="s">
        <v>54</v>
      </c>
      <c r="E56" s="42">
        <v>1</v>
      </c>
      <c r="F56" s="42"/>
      <c r="G56" s="44">
        <f t="shared" si="2"/>
        <v>0</v>
      </c>
      <c r="H56" s="45">
        <f t="shared" si="3"/>
        <v>0</v>
      </c>
      <c r="I56" s="47" t="s">
        <v>16</v>
      </c>
      <c r="J56" s="46" t="s">
        <v>230</v>
      </c>
    </row>
    <row r="57" spans="1:10" ht="15.75" thickBot="1" x14ac:dyDescent="0.3">
      <c r="A57" s="506" t="s">
        <v>300</v>
      </c>
      <c r="B57" s="507"/>
      <c r="C57" s="42" t="s">
        <v>301</v>
      </c>
      <c r="D57" s="42" t="s">
        <v>54</v>
      </c>
      <c r="E57" s="42">
        <v>1</v>
      </c>
      <c r="F57" s="42"/>
      <c r="G57" s="44">
        <f t="shared" si="2"/>
        <v>0</v>
      </c>
      <c r="H57" s="45">
        <f t="shared" si="3"/>
        <v>0</v>
      </c>
      <c r="I57" s="47" t="s">
        <v>17</v>
      </c>
      <c r="J57" s="46" t="s">
        <v>230</v>
      </c>
    </row>
    <row r="58" spans="1:10" ht="16.5" thickBot="1" x14ac:dyDescent="0.3">
      <c r="A58" s="508" t="s">
        <v>302</v>
      </c>
      <c r="B58" s="509"/>
      <c r="C58" s="509"/>
      <c r="D58" s="509"/>
      <c r="E58" s="510"/>
      <c r="F58" s="53">
        <f>SUM(F5:F55)</f>
        <v>126</v>
      </c>
      <c r="G58" s="53">
        <f>SUM(G5:G57)</f>
        <v>4788</v>
      </c>
      <c r="H58" s="54"/>
      <c r="I58" s="36"/>
    </row>
    <row r="59" spans="1:10" ht="16.5" thickBot="1" x14ac:dyDescent="0.3">
      <c r="A59" s="508" t="s">
        <v>303</v>
      </c>
      <c r="B59" s="509"/>
      <c r="C59" s="509"/>
      <c r="D59" s="509"/>
      <c r="E59" s="510"/>
      <c r="F59" s="55" t="e">
        <f>(F58*#REF!*$C$64)/60</f>
        <v>#REF!</v>
      </c>
      <c r="G59" s="53" t="s">
        <v>304</v>
      </c>
      <c r="H59" s="55" t="e">
        <f>SUM(F59+#REF!+#REF!)</f>
        <v>#REF!</v>
      </c>
      <c r="I59" s="36"/>
    </row>
    <row r="60" spans="1:10" ht="16.5" thickBot="1" x14ac:dyDescent="0.3">
      <c r="A60" s="508" t="s">
        <v>305</v>
      </c>
      <c r="B60" s="509"/>
      <c r="C60" s="509"/>
      <c r="D60" s="509"/>
      <c r="E60" s="509"/>
      <c r="F60" s="509"/>
      <c r="G60" s="510"/>
      <c r="H60" s="56" t="e">
        <f>H59</f>
        <v>#REF!</v>
      </c>
      <c r="I60" s="57"/>
    </row>
    <row r="61" spans="1:10" ht="15.75" thickBot="1" x14ac:dyDescent="0.3">
      <c r="A61" s="506" t="s">
        <v>306</v>
      </c>
      <c r="B61" s="511"/>
      <c r="C61" s="511"/>
      <c r="D61" s="511"/>
      <c r="E61" s="511"/>
      <c r="F61" s="511"/>
      <c r="G61" s="512"/>
      <c r="H61" s="58">
        <v>360</v>
      </c>
      <c r="I61" s="59"/>
    </row>
    <row r="62" spans="1:10" ht="15.75" thickBot="1" x14ac:dyDescent="0.3">
      <c r="A62" s="506" t="s">
        <v>307</v>
      </c>
      <c r="B62" s="511"/>
      <c r="C62" s="511"/>
      <c r="D62" s="511"/>
      <c r="E62" s="511"/>
      <c r="F62" s="511"/>
      <c r="G62" s="512"/>
      <c r="H62" s="58">
        <v>80</v>
      </c>
      <c r="I62" s="59"/>
    </row>
    <row r="63" spans="1:10" ht="16.5" thickBot="1" x14ac:dyDescent="0.3">
      <c r="A63" s="508" t="s">
        <v>308</v>
      </c>
      <c r="B63" s="509"/>
      <c r="C63" s="509"/>
      <c r="D63" s="509"/>
      <c r="E63" s="509"/>
      <c r="F63" s="509"/>
      <c r="G63" s="510"/>
      <c r="H63" s="55" t="e">
        <f>ROUNDDOWN(SUM(H60:H62,H56:H57),0)</f>
        <v>#REF!</v>
      </c>
      <c r="I63" s="36"/>
    </row>
    <row r="64" spans="1:10" ht="15.75" x14ac:dyDescent="0.25">
      <c r="A64" s="505" t="s">
        <v>309</v>
      </c>
      <c r="B64" s="505"/>
      <c r="C64" s="38">
        <v>50</v>
      </c>
      <c r="D64" s="60" t="s">
        <v>310</v>
      </c>
      <c r="E64" s="60"/>
      <c r="F64" s="60"/>
      <c r="G64" s="60"/>
      <c r="H64" s="60"/>
      <c r="I64" s="36"/>
    </row>
  </sheetData>
  <mergeCells count="17">
    <mergeCell ref="A64:B64"/>
    <mergeCell ref="A56:B56"/>
    <mergeCell ref="A57:B57"/>
    <mergeCell ref="A58:E58"/>
    <mergeCell ref="A59:E59"/>
    <mergeCell ref="A60:G60"/>
    <mergeCell ref="A61:G61"/>
    <mergeCell ref="A5:A20"/>
    <mergeCell ref="A21:A37"/>
    <mergeCell ref="A38:A55"/>
    <mergeCell ref="A62:G62"/>
    <mergeCell ref="A63:G63"/>
    <mergeCell ref="A2:C2"/>
    <mergeCell ref="B3:B4"/>
    <mergeCell ref="C3:C4"/>
    <mergeCell ref="J3:J4"/>
    <mergeCell ref="I3:I4"/>
  </mergeCells>
  <dataValidations count="2">
    <dataValidation type="list" allowBlank="1" showInputMessage="1" showErrorMessage="1" sqref="J5:J57" xr:uid="{00000000-0002-0000-0300-000000000000}">
      <formula1>Ambientes</formula1>
    </dataValidation>
    <dataValidation type="list" allowBlank="1" showInputMessage="1" showErrorMessage="1" sqref="I5:I57" xr:uid="{00000000-0002-0000-03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3">
    <tabColor theme="2" tint="-0.499984740745262"/>
  </sheetPr>
  <dimension ref="A1:J60"/>
  <sheetViews>
    <sheetView topLeftCell="A28" workbookViewId="0">
      <selection activeCell="I40" sqref="I40"/>
    </sheetView>
  </sheetViews>
  <sheetFormatPr defaultRowHeight="15" x14ac:dyDescent="0.25"/>
  <cols>
    <col min="2" max="2" width="29.140625" customWidth="1"/>
    <col min="5" max="5" width="14.5703125" customWidth="1"/>
    <col min="6" max="6" width="15.7109375" customWidth="1"/>
    <col min="9" max="9" width="21.140625" customWidth="1"/>
    <col min="10" max="10" width="1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</row>
    <row r="2" spans="1:10" ht="15.75" x14ac:dyDescent="0.25">
      <c r="A2" s="513" t="s">
        <v>576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  <c r="J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112" t="s">
        <v>241</v>
      </c>
      <c r="G3" s="39" t="s">
        <v>242</v>
      </c>
      <c r="H3" s="39" t="s">
        <v>242</v>
      </c>
      <c r="I3" s="39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39"/>
      <c r="J4" s="514"/>
    </row>
    <row r="5" spans="1:10" ht="15" customHeight="1" x14ac:dyDescent="0.25">
      <c r="A5" s="515" t="s">
        <v>265</v>
      </c>
      <c r="B5" s="40" t="s">
        <v>577</v>
      </c>
      <c r="C5" s="41" t="s">
        <v>578</v>
      </c>
      <c r="D5" s="42" t="s">
        <v>54</v>
      </c>
      <c r="E5" s="43">
        <v>2</v>
      </c>
      <c r="F5" s="42">
        <v>4</v>
      </c>
      <c r="G5" s="44">
        <f>SUM(F5:F5)*F$2</f>
        <v>152</v>
      </c>
      <c r="H5" s="45">
        <f>(G5)*$C$60/60</f>
        <v>126.66666666666667</v>
      </c>
      <c r="I5" s="39" t="s">
        <v>1189</v>
      </c>
      <c r="J5" s="46" t="s">
        <v>231</v>
      </c>
    </row>
    <row r="6" spans="1:10" x14ac:dyDescent="0.25">
      <c r="A6" s="516"/>
      <c r="B6" s="40" t="s">
        <v>579</v>
      </c>
      <c r="C6" s="48" t="s">
        <v>580</v>
      </c>
      <c r="D6" s="42" t="s">
        <v>54</v>
      </c>
      <c r="E6" s="42">
        <v>2</v>
      </c>
      <c r="F6" s="42">
        <v>2</v>
      </c>
      <c r="G6" s="44">
        <f>SUM(F6:F6)*F$2</f>
        <v>76</v>
      </c>
      <c r="H6" s="45">
        <f>(G6)*$C$60/60</f>
        <v>63.333333333333336</v>
      </c>
      <c r="I6" s="39" t="s">
        <v>1216</v>
      </c>
      <c r="J6" s="46" t="s">
        <v>231</v>
      </c>
    </row>
    <row r="7" spans="1:10" x14ac:dyDescent="0.25">
      <c r="A7" s="516"/>
      <c r="B7" s="40" t="s">
        <v>581</v>
      </c>
      <c r="C7" s="48" t="s">
        <v>582</v>
      </c>
      <c r="D7" s="42" t="s">
        <v>54</v>
      </c>
      <c r="E7" s="42">
        <v>2</v>
      </c>
      <c r="F7" s="42">
        <v>2</v>
      </c>
      <c r="G7" s="44">
        <f>SUM(F7:F7)*F$2</f>
        <v>76</v>
      </c>
      <c r="H7" s="45">
        <f>(G7)*$C$60/60</f>
        <v>63.333333333333336</v>
      </c>
      <c r="I7" s="39" t="s">
        <v>1189</v>
      </c>
      <c r="J7" s="46" t="s">
        <v>231</v>
      </c>
    </row>
    <row r="8" spans="1:10" x14ac:dyDescent="0.25">
      <c r="A8" s="516"/>
      <c r="B8" s="40" t="s">
        <v>583</v>
      </c>
      <c r="C8" s="48" t="s">
        <v>584</v>
      </c>
      <c r="D8" s="42" t="s">
        <v>54</v>
      </c>
      <c r="E8" s="42">
        <v>2</v>
      </c>
      <c r="F8" s="42">
        <v>4</v>
      </c>
      <c r="G8" s="44">
        <f>SUM(F8:F8)*F$2</f>
        <v>152</v>
      </c>
      <c r="H8" s="45">
        <f>(G8)*$C$60/60</f>
        <v>126.66666666666667</v>
      </c>
      <c r="I8" s="39" t="s">
        <v>1216</v>
      </c>
      <c r="J8" s="46" t="s">
        <v>231</v>
      </c>
    </row>
    <row r="9" spans="1:10" ht="15" customHeight="1" x14ac:dyDescent="0.25">
      <c r="A9" s="516"/>
      <c r="B9" s="40" t="s">
        <v>249</v>
      </c>
      <c r="C9" s="41" t="s">
        <v>250</v>
      </c>
      <c r="D9" s="42" t="s">
        <v>60</v>
      </c>
      <c r="E9" s="43">
        <v>1</v>
      </c>
      <c r="F9" s="42">
        <v>4</v>
      </c>
      <c r="G9" s="44">
        <f t="shared" ref="G9:G54" si="0">SUM(F9:F9)*F$2</f>
        <v>152</v>
      </c>
      <c r="H9" s="45">
        <f t="shared" ref="H9:H54" si="1">(G9)*$C$60/60</f>
        <v>126.66666666666667</v>
      </c>
      <c r="I9" s="47" t="s">
        <v>14</v>
      </c>
      <c r="J9" s="46" t="s">
        <v>251</v>
      </c>
    </row>
    <row r="10" spans="1:10" x14ac:dyDescent="0.25">
      <c r="A10" s="516"/>
      <c r="B10" s="40" t="s">
        <v>252</v>
      </c>
      <c r="C10" s="41" t="s">
        <v>253</v>
      </c>
      <c r="D10" s="42" t="s">
        <v>54</v>
      </c>
      <c r="E10" s="43">
        <v>1</v>
      </c>
      <c r="F10" s="42">
        <v>2</v>
      </c>
      <c r="G10" s="44">
        <f t="shared" si="0"/>
        <v>76</v>
      </c>
      <c r="H10" s="45">
        <f t="shared" si="1"/>
        <v>63.333333333333336</v>
      </c>
      <c r="I10" s="47" t="s">
        <v>12</v>
      </c>
      <c r="J10" s="46" t="s">
        <v>251</v>
      </c>
    </row>
    <row r="11" spans="1:10" x14ac:dyDescent="0.25">
      <c r="A11" s="516"/>
      <c r="B11" s="40" t="s">
        <v>254</v>
      </c>
      <c r="C11" s="41" t="s">
        <v>255</v>
      </c>
      <c r="D11" s="42" t="s">
        <v>54</v>
      </c>
      <c r="E11" s="43">
        <v>1</v>
      </c>
      <c r="F11" s="42">
        <v>2</v>
      </c>
      <c r="G11" s="44">
        <f t="shared" si="0"/>
        <v>76</v>
      </c>
      <c r="H11" s="45">
        <f t="shared" si="1"/>
        <v>63.333333333333336</v>
      </c>
      <c r="I11" s="47" t="s">
        <v>13</v>
      </c>
      <c r="J11" s="46" t="s">
        <v>251</v>
      </c>
    </row>
    <row r="12" spans="1:10" x14ac:dyDescent="0.25">
      <c r="A12" s="516"/>
      <c r="B12" s="40" t="s">
        <v>15</v>
      </c>
      <c r="C12" s="41" t="s">
        <v>256</v>
      </c>
      <c r="D12" s="42" t="s">
        <v>54</v>
      </c>
      <c r="E12" s="43">
        <v>1</v>
      </c>
      <c r="F12" s="42">
        <v>2</v>
      </c>
      <c r="G12" s="44">
        <f t="shared" si="0"/>
        <v>76</v>
      </c>
      <c r="H12" s="45">
        <f t="shared" si="1"/>
        <v>63.333333333333336</v>
      </c>
      <c r="I12" s="47" t="s">
        <v>15</v>
      </c>
      <c r="J12" s="46" t="s">
        <v>251</v>
      </c>
    </row>
    <row r="13" spans="1:10" x14ac:dyDescent="0.25">
      <c r="A13" s="516"/>
      <c r="B13" s="40" t="s">
        <v>21</v>
      </c>
      <c r="C13" s="41" t="s">
        <v>257</v>
      </c>
      <c r="D13" s="42" t="s">
        <v>60</v>
      </c>
      <c r="E13" s="43">
        <v>1</v>
      </c>
      <c r="F13" s="42">
        <v>4</v>
      </c>
      <c r="G13" s="44">
        <f t="shared" si="0"/>
        <v>152</v>
      </c>
      <c r="H13" s="45">
        <f t="shared" si="1"/>
        <v>126.66666666666667</v>
      </c>
      <c r="I13" s="47" t="s">
        <v>21</v>
      </c>
      <c r="J13" s="46" t="s">
        <v>251</v>
      </c>
    </row>
    <row r="14" spans="1:10" x14ac:dyDescent="0.25">
      <c r="A14" s="516"/>
      <c r="B14" s="40" t="s">
        <v>5</v>
      </c>
      <c r="C14" s="41" t="s">
        <v>258</v>
      </c>
      <c r="D14" s="42" t="s">
        <v>60</v>
      </c>
      <c r="E14" s="43">
        <v>1</v>
      </c>
      <c r="F14" s="42">
        <v>2</v>
      </c>
      <c r="G14" s="44">
        <f t="shared" si="0"/>
        <v>76</v>
      </c>
      <c r="H14" s="45">
        <f t="shared" si="1"/>
        <v>63.333333333333336</v>
      </c>
      <c r="I14" s="47" t="s">
        <v>5</v>
      </c>
      <c r="J14" s="46" t="s">
        <v>251</v>
      </c>
    </row>
    <row r="15" spans="1:10" x14ac:dyDescent="0.25">
      <c r="A15" s="516"/>
      <c r="B15" s="40" t="s">
        <v>6</v>
      </c>
      <c r="C15" s="41" t="s">
        <v>259</v>
      </c>
      <c r="D15" s="42" t="s">
        <v>60</v>
      </c>
      <c r="E15" s="43">
        <v>1</v>
      </c>
      <c r="F15" s="42">
        <v>2</v>
      </c>
      <c r="G15" s="44">
        <f t="shared" si="0"/>
        <v>76</v>
      </c>
      <c r="H15" s="45">
        <f t="shared" si="1"/>
        <v>63.333333333333336</v>
      </c>
      <c r="I15" s="47" t="s">
        <v>6</v>
      </c>
      <c r="J15" s="46" t="s">
        <v>251</v>
      </c>
    </row>
    <row r="16" spans="1:10" x14ac:dyDescent="0.25">
      <c r="A16" s="516"/>
      <c r="B16" s="40" t="s">
        <v>7</v>
      </c>
      <c r="C16" s="41" t="s">
        <v>260</v>
      </c>
      <c r="D16" s="42" t="s">
        <v>60</v>
      </c>
      <c r="E16" s="43">
        <v>1</v>
      </c>
      <c r="F16" s="42">
        <v>2</v>
      </c>
      <c r="G16" s="44">
        <f t="shared" si="0"/>
        <v>76</v>
      </c>
      <c r="H16" s="45">
        <f t="shared" si="1"/>
        <v>63.333333333333336</v>
      </c>
      <c r="I16" s="47" t="s">
        <v>7</v>
      </c>
      <c r="J16" s="46" t="s">
        <v>251</v>
      </c>
    </row>
    <row r="17" spans="1:10" x14ac:dyDescent="0.25">
      <c r="A17" s="516"/>
      <c r="B17" s="40" t="s">
        <v>9</v>
      </c>
      <c r="C17" s="41" t="s">
        <v>261</v>
      </c>
      <c r="D17" s="42" t="s">
        <v>60</v>
      </c>
      <c r="E17" s="43">
        <v>1</v>
      </c>
      <c r="F17" s="42">
        <v>2</v>
      </c>
      <c r="G17" s="44">
        <f t="shared" si="0"/>
        <v>76</v>
      </c>
      <c r="H17" s="45">
        <f t="shared" si="1"/>
        <v>63.333333333333336</v>
      </c>
      <c r="I17" s="47" t="s">
        <v>9</v>
      </c>
      <c r="J17" s="46" t="s">
        <v>251</v>
      </c>
    </row>
    <row r="18" spans="1:10" x14ac:dyDescent="0.25">
      <c r="A18" s="516"/>
      <c r="B18" s="40" t="s">
        <v>10</v>
      </c>
      <c r="C18" s="41" t="s">
        <v>262</v>
      </c>
      <c r="D18" s="42" t="s">
        <v>60</v>
      </c>
      <c r="E18" s="43">
        <v>1</v>
      </c>
      <c r="F18" s="42">
        <v>2</v>
      </c>
      <c r="G18" s="44">
        <f t="shared" si="0"/>
        <v>76</v>
      </c>
      <c r="H18" s="45">
        <f t="shared" si="1"/>
        <v>63.333333333333336</v>
      </c>
      <c r="I18" s="47" t="s">
        <v>10</v>
      </c>
      <c r="J18" s="46" t="s">
        <v>251</v>
      </c>
    </row>
    <row r="19" spans="1:10" x14ac:dyDescent="0.25">
      <c r="A19" s="516"/>
      <c r="B19" s="40" t="s">
        <v>8</v>
      </c>
      <c r="C19" s="41" t="s">
        <v>263</v>
      </c>
      <c r="D19" s="42" t="s">
        <v>60</v>
      </c>
      <c r="E19" s="43">
        <v>1</v>
      </c>
      <c r="F19" s="42">
        <v>2</v>
      </c>
      <c r="G19" s="44">
        <f t="shared" si="0"/>
        <v>76</v>
      </c>
      <c r="H19" s="45">
        <f t="shared" si="1"/>
        <v>63.333333333333336</v>
      </c>
      <c r="I19" s="47" t="s">
        <v>8</v>
      </c>
      <c r="J19" s="46" t="s">
        <v>251</v>
      </c>
    </row>
    <row r="20" spans="1:10" x14ac:dyDescent="0.25">
      <c r="A20" s="517"/>
      <c r="B20" s="40" t="s">
        <v>11</v>
      </c>
      <c r="C20" s="41" t="s">
        <v>264</v>
      </c>
      <c r="D20" s="42" t="s">
        <v>60</v>
      </c>
      <c r="E20" s="43">
        <v>1</v>
      </c>
      <c r="F20" s="42">
        <v>2</v>
      </c>
      <c r="G20" s="44">
        <f t="shared" si="0"/>
        <v>76</v>
      </c>
      <c r="H20" s="45">
        <f t="shared" si="1"/>
        <v>63.333333333333336</v>
      </c>
      <c r="I20" s="47" t="s">
        <v>11</v>
      </c>
      <c r="J20" s="46" t="s">
        <v>251</v>
      </c>
    </row>
    <row r="21" spans="1:10" ht="15" customHeight="1" x14ac:dyDescent="0.25">
      <c r="A21" s="518" t="s">
        <v>274</v>
      </c>
      <c r="B21" s="40" t="s">
        <v>585</v>
      </c>
      <c r="C21" s="49" t="s">
        <v>586</v>
      </c>
      <c r="D21" s="42" t="s">
        <v>54</v>
      </c>
      <c r="E21" s="42">
        <v>2</v>
      </c>
      <c r="F21" s="42">
        <v>4</v>
      </c>
      <c r="G21" s="44">
        <f t="shared" si="0"/>
        <v>152</v>
      </c>
      <c r="H21" s="45">
        <f t="shared" si="1"/>
        <v>126.66666666666667</v>
      </c>
      <c r="I21" s="47" t="s">
        <v>1189</v>
      </c>
      <c r="J21" s="46" t="s">
        <v>231</v>
      </c>
    </row>
    <row r="22" spans="1:10" x14ac:dyDescent="0.25">
      <c r="A22" s="519"/>
      <c r="B22" s="40" t="s">
        <v>587</v>
      </c>
      <c r="C22" s="49" t="s">
        <v>588</v>
      </c>
      <c r="D22" s="42" t="s">
        <v>54</v>
      </c>
      <c r="E22" s="42">
        <v>2</v>
      </c>
      <c r="F22" s="42">
        <v>4</v>
      </c>
      <c r="G22" s="44">
        <f t="shared" si="0"/>
        <v>152</v>
      </c>
      <c r="H22" s="45">
        <f t="shared" si="1"/>
        <v>126.66666666666667</v>
      </c>
      <c r="I22" s="47" t="s">
        <v>1216</v>
      </c>
      <c r="J22" s="46" t="s">
        <v>231</v>
      </c>
    </row>
    <row r="23" spans="1:10" x14ac:dyDescent="0.25">
      <c r="A23" s="519"/>
      <c r="B23" s="40" t="s">
        <v>589</v>
      </c>
      <c r="C23" s="49" t="s">
        <v>590</v>
      </c>
      <c r="D23" s="42" t="s">
        <v>54</v>
      </c>
      <c r="E23" s="42">
        <v>2</v>
      </c>
      <c r="F23" s="42">
        <v>4</v>
      </c>
      <c r="G23" s="44">
        <f t="shared" si="0"/>
        <v>152</v>
      </c>
      <c r="H23" s="45">
        <f t="shared" si="1"/>
        <v>126.66666666666667</v>
      </c>
      <c r="I23" s="47" t="s">
        <v>1189</v>
      </c>
      <c r="J23" s="46" t="s">
        <v>231</v>
      </c>
    </row>
    <row r="24" spans="1:10" x14ac:dyDescent="0.25">
      <c r="A24" s="519"/>
      <c r="B24" s="40" t="s">
        <v>591</v>
      </c>
      <c r="C24" s="49" t="s">
        <v>592</v>
      </c>
      <c r="D24" s="42" t="s">
        <v>54</v>
      </c>
      <c r="E24" s="42">
        <v>2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1189</v>
      </c>
      <c r="J24" s="46" t="s">
        <v>231</v>
      </c>
    </row>
    <row r="25" spans="1:10" x14ac:dyDescent="0.25">
      <c r="A25" s="519"/>
      <c r="B25" s="40" t="s">
        <v>249</v>
      </c>
      <c r="C25" s="41" t="s">
        <v>250</v>
      </c>
      <c r="D25" s="42" t="s">
        <v>60</v>
      </c>
      <c r="E25" s="43">
        <v>1</v>
      </c>
      <c r="F25" s="42">
        <v>4</v>
      </c>
      <c r="G25" s="44">
        <f>SUM(F25:F25)*F$2</f>
        <v>152</v>
      </c>
      <c r="H25" s="45">
        <f>(G25)*$C$60/60</f>
        <v>126.66666666666667</v>
      </c>
      <c r="I25" s="47" t="s">
        <v>14</v>
      </c>
      <c r="J25" s="46" t="s">
        <v>251</v>
      </c>
    </row>
    <row r="26" spans="1:10" x14ac:dyDescent="0.25">
      <c r="A26" s="519"/>
      <c r="B26" s="40" t="s">
        <v>252</v>
      </c>
      <c r="C26" s="41" t="s">
        <v>253</v>
      </c>
      <c r="D26" s="42" t="s">
        <v>54</v>
      </c>
      <c r="E26" s="43">
        <v>1</v>
      </c>
      <c r="F26" s="42">
        <v>2</v>
      </c>
      <c r="G26" s="44">
        <f t="shared" si="0"/>
        <v>76</v>
      </c>
      <c r="H26" s="45">
        <f t="shared" si="1"/>
        <v>63.333333333333336</v>
      </c>
      <c r="I26" s="47" t="s">
        <v>12</v>
      </c>
      <c r="J26" s="46" t="s">
        <v>251</v>
      </c>
    </row>
    <row r="27" spans="1:10" x14ac:dyDescent="0.25">
      <c r="A27" s="519"/>
      <c r="B27" s="40" t="s">
        <v>254</v>
      </c>
      <c r="C27" s="41" t="s">
        <v>255</v>
      </c>
      <c r="D27" s="42" t="s">
        <v>54</v>
      </c>
      <c r="E27" s="43">
        <v>1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13</v>
      </c>
      <c r="J27" s="46" t="s">
        <v>251</v>
      </c>
    </row>
    <row r="28" spans="1:10" x14ac:dyDescent="0.25">
      <c r="A28" s="519"/>
      <c r="B28" s="40" t="s">
        <v>15</v>
      </c>
      <c r="C28" s="41" t="s">
        <v>256</v>
      </c>
      <c r="D28" s="42" t="s">
        <v>54</v>
      </c>
      <c r="E28" s="43">
        <v>1</v>
      </c>
      <c r="F28" s="42">
        <v>2</v>
      </c>
      <c r="G28" s="44">
        <f t="shared" si="0"/>
        <v>76</v>
      </c>
      <c r="H28" s="45">
        <f t="shared" si="1"/>
        <v>63.333333333333336</v>
      </c>
      <c r="I28" s="47" t="s">
        <v>15</v>
      </c>
      <c r="J28" s="46" t="s">
        <v>251</v>
      </c>
    </row>
    <row r="29" spans="1:10" x14ac:dyDescent="0.25">
      <c r="A29" s="519"/>
      <c r="B29" s="40" t="s">
        <v>21</v>
      </c>
      <c r="C29" s="41" t="s">
        <v>257</v>
      </c>
      <c r="D29" s="42" t="s">
        <v>60</v>
      </c>
      <c r="E29" s="43">
        <v>1</v>
      </c>
      <c r="F29" s="42">
        <v>4</v>
      </c>
      <c r="G29" s="44">
        <f t="shared" si="0"/>
        <v>152</v>
      </c>
      <c r="H29" s="45">
        <f t="shared" si="1"/>
        <v>126.66666666666667</v>
      </c>
      <c r="I29" s="47" t="s">
        <v>21</v>
      </c>
      <c r="J29" s="46" t="s">
        <v>251</v>
      </c>
    </row>
    <row r="30" spans="1:10" x14ac:dyDescent="0.25">
      <c r="A30" s="519"/>
      <c r="B30" s="40" t="s">
        <v>5</v>
      </c>
      <c r="C30" s="41" t="s">
        <v>258</v>
      </c>
      <c r="D30" s="42" t="s">
        <v>60</v>
      </c>
      <c r="E30" s="43">
        <v>1</v>
      </c>
      <c r="F30" s="42">
        <v>2</v>
      </c>
      <c r="G30" s="44">
        <f t="shared" si="0"/>
        <v>76</v>
      </c>
      <c r="H30" s="45">
        <f t="shared" si="1"/>
        <v>63.333333333333336</v>
      </c>
      <c r="I30" s="47" t="s">
        <v>5</v>
      </c>
      <c r="J30" s="46" t="s">
        <v>251</v>
      </c>
    </row>
    <row r="31" spans="1:10" x14ac:dyDescent="0.25">
      <c r="A31" s="519"/>
      <c r="B31" s="40" t="s">
        <v>6</v>
      </c>
      <c r="C31" s="41" t="s">
        <v>259</v>
      </c>
      <c r="D31" s="42" t="s">
        <v>60</v>
      </c>
      <c r="E31" s="43">
        <v>1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6</v>
      </c>
      <c r="J31" s="46" t="s">
        <v>251</v>
      </c>
    </row>
    <row r="32" spans="1:10" x14ac:dyDescent="0.25">
      <c r="A32" s="519"/>
      <c r="B32" s="40" t="s">
        <v>7</v>
      </c>
      <c r="C32" s="41" t="s">
        <v>260</v>
      </c>
      <c r="D32" s="42" t="s">
        <v>60</v>
      </c>
      <c r="E32" s="43">
        <v>1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7</v>
      </c>
      <c r="J32" s="46" t="s">
        <v>251</v>
      </c>
    </row>
    <row r="33" spans="1:10" x14ac:dyDescent="0.25">
      <c r="A33" s="519"/>
      <c r="B33" s="40" t="s">
        <v>9</v>
      </c>
      <c r="C33" s="41" t="s">
        <v>261</v>
      </c>
      <c r="D33" s="42" t="s">
        <v>60</v>
      </c>
      <c r="E33" s="43">
        <v>1</v>
      </c>
      <c r="F33" s="42">
        <v>2</v>
      </c>
      <c r="G33" s="44">
        <f t="shared" si="0"/>
        <v>76</v>
      </c>
      <c r="H33" s="45">
        <f t="shared" si="1"/>
        <v>63.333333333333336</v>
      </c>
      <c r="I33" s="47" t="s">
        <v>9</v>
      </c>
      <c r="J33" s="46" t="s">
        <v>251</v>
      </c>
    </row>
    <row r="34" spans="1:10" x14ac:dyDescent="0.25">
      <c r="A34" s="519"/>
      <c r="B34" s="40" t="s">
        <v>10</v>
      </c>
      <c r="C34" s="41" t="s">
        <v>262</v>
      </c>
      <c r="D34" s="42" t="s">
        <v>60</v>
      </c>
      <c r="E34" s="43">
        <v>1</v>
      </c>
      <c r="F34" s="42">
        <v>2</v>
      </c>
      <c r="G34" s="44">
        <f t="shared" si="0"/>
        <v>76</v>
      </c>
      <c r="H34" s="45">
        <f t="shared" si="1"/>
        <v>63.333333333333336</v>
      </c>
      <c r="I34" s="47" t="s">
        <v>10</v>
      </c>
      <c r="J34" s="46" t="s">
        <v>251</v>
      </c>
    </row>
    <row r="35" spans="1:10" x14ac:dyDescent="0.25">
      <c r="A35" s="519"/>
      <c r="B35" s="40" t="s">
        <v>8</v>
      </c>
      <c r="C35" s="41" t="s">
        <v>263</v>
      </c>
      <c r="D35" s="42" t="s">
        <v>60</v>
      </c>
      <c r="E35" s="43">
        <v>1</v>
      </c>
      <c r="F35" s="42">
        <v>2</v>
      </c>
      <c r="G35" s="44">
        <f t="shared" si="0"/>
        <v>76</v>
      </c>
      <c r="H35" s="45">
        <f t="shared" si="1"/>
        <v>63.333333333333336</v>
      </c>
      <c r="I35" s="47" t="s">
        <v>8</v>
      </c>
      <c r="J35" s="46" t="s">
        <v>251</v>
      </c>
    </row>
    <row r="36" spans="1:10" x14ac:dyDescent="0.25">
      <c r="A36" s="520"/>
      <c r="B36" s="40" t="s">
        <v>11</v>
      </c>
      <c r="C36" s="41" t="s">
        <v>264</v>
      </c>
      <c r="D36" s="42" t="s">
        <v>60</v>
      </c>
      <c r="E36" s="43">
        <v>1</v>
      </c>
      <c r="F36" s="42">
        <v>2</v>
      </c>
      <c r="G36" s="44">
        <f t="shared" si="0"/>
        <v>76</v>
      </c>
      <c r="H36" s="45">
        <f t="shared" si="1"/>
        <v>63.333333333333336</v>
      </c>
      <c r="I36" s="47" t="s">
        <v>11</v>
      </c>
      <c r="J36" s="46" t="s">
        <v>251</v>
      </c>
    </row>
    <row r="37" spans="1:10" ht="15" customHeight="1" x14ac:dyDescent="0.25">
      <c r="A37" s="518" t="s">
        <v>284</v>
      </c>
      <c r="B37" s="40" t="s">
        <v>593</v>
      </c>
      <c r="C37" s="49" t="s">
        <v>594</v>
      </c>
      <c r="D37" s="42" t="s">
        <v>54</v>
      </c>
      <c r="E37" s="42">
        <v>2</v>
      </c>
      <c r="F37" s="42">
        <v>4</v>
      </c>
      <c r="G37" s="44">
        <f t="shared" si="0"/>
        <v>152</v>
      </c>
      <c r="H37" s="45">
        <f t="shared" si="1"/>
        <v>126.66666666666667</v>
      </c>
      <c r="I37" s="47" t="s">
        <v>1189</v>
      </c>
      <c r="J37" s="46" t="s">
        <v>231</v>
      </c>
    </row>
    <row r="38" spans="1:10" x14ac:dyDescent="0.25">
      <c r="A38" s="519"/>
      <c r="B38" s="40" t="s">
        <v>595</v>
      </c>
      <c r="C38" s="49" t="s">
        <v>596</v>
      </c>
      <c r="D38" s="42" t="s">
        <v>60</v>
      </c>
      <c r="E38" s="42">
        <v>1</v>
      </c>
      <c r="F38" s="42">
        <v>2</v>
      </c>
      <c r="G38" s="44">
        <f t="shared" si="0"/>
        <v>76</v>
      </c>
      <c r="H38" s="45">
        <f t="shared" si="1"/>
        <v>63.333333333333336</v>
      </c>
      <c r="I38" s="47" t="s">
        <v>315</v>
      </c>
      <c r="J38" s="46" t="s">
        <v>251</v>
      </c>
    </row>
    <row r="39" spans="1:10" x14ac:dyDescent="0.25">
      <c r="A39" s="519"/>
      <c r="B39" s="40" t="s">
        <v>597</v>
      </c>
      <c r="C39" s="49" t="s">
        <v>598</v>
      </c>
      <c r="D39" s="42" t="s">
        <v>54</v>
      </c>
      <c r="E39" s="42">
        <v>2</v>
      </c>
      <c r="F39" s="42">
        <v>2</v>
      </c>
      <c r="G39" s="44">
        <f t="shared" si="0"/>
        <v>76</v>
      </c>
      <c r="H39" s="45">
        <f t="shared" si="1"/>
        <v>63.333333333333336</v>
      </c>
      <c r="I39" s="47" t="s">
        <v>1189</v>
      </c>
      <c r="J39" s="46" t="s">
        <v>231</v>
      </c>
    </row>
    <row r="40" spans="1:10" x14ac:dyDescent="0.25">
      <c r="A40" s="519"/>
      <c r="B40" s="40" t="s">
        <v>249</v>
      </c>
      <c r="C40" s="41" t="s">
        <v>250</v>
      </c>
      <c r="D40" s="42" t="s">
        <v>60</v>
      </c>
      <c r="E40" s="43">
        <v>1</v>
      </c>
      <c r="F40" s="42">
        <v>4</v>
      </c>
      <c r="G40" s="44">
        <f>SUM(F40:F40)*F$2</f>
        <v>152</v>
      </c>
      <c r="H40" s="45">
        <f>(G40)*$C$60/60</f>
        <v>126.66666666666667</v>
      </c>
      <c r="I40" s="47" t="s">
        <v>14</v>
      </c>
      <c r="J40" s="46" t="s">
        <v>251</v>
      </c>
    </row>
    <row r="41" spans="1:10" x14ac:dyDescent="0.25">
      <c r="A41" s="519"/>
      <c r="B41" s="52" t="s">
        <v>295</v>
      </c>
      <c r="C41" s="49" t="s">
        <v>296</v>
      </c>
      <c r="D41" s="42" t="s">
        <v>54</v>
      </c>
      <c r="E41" s="42">
        <v>2</v>
      </c>
      <c r="F41" s="42">
        <v>4</v>
      </c>
      <c r="G41" s="44">
        <f t="shared" si="0"/>
        <v>152</v>
      </c>
      <c r="H41" s="45">
        <f t="shared" si="1"/>
        <v>126.66666666666667</v>
      </c>
      <c r="I41" s="47" t="s">
        <v>18</v>
      </c>
      <c r="J41" s="46" t="s">
        <v>231</v>
      </c>
    </row>
    <row r="42" spans="1:10" x14ac:dyDescent="0.25">
      <c r="A42" s="519"/>
      <c r="B42" s="40" t="s">
        <v>252</v>
      </c>
      <c r="C42" s="41" t="s">
        <v>253</v>
      </c>
      <c r="D42" s="42" t="s">
        <v>54</v>
      </c>
      <c r="E42" s="43">
        <v>1</v>
      </c>
      <c r="F42" s="42">
        <v>2</v>
      </c>
      <c r="G42" s="44">
        <f t="shared" si="0"/>
        <v>76</v>
      </c>
      <c r="H42" s="45">
        <f t="shared" si="1"/>
        <v>63.333333333333336</v>
      </c>
      <c r="I42" s="47" t="s">
        <v>12</v>
      </c>
      <c r="J42" s="46" t="s">
        <v>251</v>
      </c>
    </row>
    <row r="43" spans="1:10" x14ac:dyDescent="0.25">
      <c r="A43" s="519"/>
      <c r="B43" s="40" t="s">
        <v>254</v>
      </c>
      <c r="C43" s="41" t="s">
        <v>255</v>
      </c>
      <c r="D43" s="42" t="s">
        <v>54</v>
      </c>
      <c r="E43" s="43">
        <v>1</v>
      </c>
      <c r="F43" s="42">
        <v>2</v>
      </c>
      <c r="G43" s="44">
        <f t="shared" si="0"/>
        <v>76</v>
      </c>
      <c r="H43" s="45">
        <f t="shared" si="1"/>
        <v>63.333333333333336</v>
      </c>
      <c r="I43" s="47" t="s">
        <v>13</v>
      </c>
      <c r="J43" s="46" t="s">
        <v>251</v>
      </c>
    </row>
    <row r="44" spans="1:10" x14ac:dyDescent="0.25">
      <c r="A44" s="519"/>
      <c r="B44" s="40" t="s">
        <v>15</v>
      </c>
      <c r="C44" s="41" t="s">
        <v>256</v>
      </c>
      <c r="D44" s="42" t="s">
        <v>54</v>
      </c>
      <c r="E44" s="43">
        <v>1</v>
      </c>
      <c r="F44" s="42">
        <v>2</v>
      </c>
      <c r="G44" s="44">
        <f t="shared" si="0"/>
        <v>76</v>
      </c>
      <c r="H44" s="45">
        <f t="shared" si="1"/>
        <v>63.333333333333336</v>
      </c>
      <c r="I44" s="47" t="s">
        <v>15</v>
      </c>
      <c r="J44" s="46" t="s">
        <v>251</v>
      </c>
    </row>
    <row r="45" spans="1:10" x14ac:dyDescent="0.25">
      <c r="A45" s="519"/>
      <c r="B45" s="40" t="s">
        <v>21</v>
      </c>
      <c r="C45" s="41" t="s">
        <v>257</v>
      </c>
      <c r="D45" s="42" t="s">
        <v>60</v>
      </c>
      <c r="E45" s="43">
        <v>1</v>
      </c>
      <c r="F45" s="42">
        <v>4</v>
      </c>
      <c r="G45" s="44">
        <f t="shared" si="0"/>
        <v>152</v>
      </c>
      <c r="H45" s="45">
        <f t="shared" si="1"/>
        <v>126.66666666666667</v>
      </c>
      <c r="I45" s="47" t="s">
        <v>21</v>
      </c>
      <c r="J45" s="46" t="s">
        <v>251</v>
      </c>
    </row>
    <row r="46" spans="1:10" x14ac:dyDescent="0.25">
      <c r="A46" s="519"/>
      <c r="B46" s="40" t="s">
        <v>5</v>
      </c>
      <c r="C46" s="41" t="s">
        <v>258</v>
      </c>
      <c r="D46" s="42" t="s">
        <v>60</v>
      </c>
      <c r="E46" s="43">
        <v>1</v>
      </c>
      <c r="F46" s="42">
        <v>2</v>
      </c>
      <c r="G46" s="44">
        <f t="shared" si="0"/>
        <v>76</v>
      </c>
      <c r="H46" s="45">
        <f t="shared" si="1"/>
        <v>63.333333333333336</v>
      </c>
      <c r="I46" s="47" t="s">
        <v>5</v>
      </c>
      <c r="J46" s="46" t="s">
        <v>251</v>
      </c>
    </row>
    <row r="47" spans="1:10" x14ac:dyDescent="0.25">
      <c r="A47" s="519"/>
      <c r="B47" s="40" t="s">
        <v>6</v>
      </c>
      <c r="C47" s="41" t="s">
        <v>259</v>
      </c>
      <c r="D47" s="42" t="s">
        <v>60</v>
      </c>
      <c r="E47" s="43">
        <v>1</v>
      </c>
      <c r="F47" s="42">
        <v>2</v>
      </c>
      <c r="G47" s="44">
        <f t="shared" si="0"/>
        <v>76</v>
      </c>
      <c r="H47" s="45">
        <f t="shared" si="1"/>
        <v>63.333333333333336</v>
      </c>
      <c r="I47" s="47" t="s">
        <v>6</v>
      </c>
      <c r="J47" s="46" t="s">
        <v>251</v>
      </c>
    </row>
    <row r="48" spans="1:10" x14ac:dyDescent="0.25">
      <c r="A48" s="519"/>
      <c r="B48" s="40" t="s">
        <v>7</v>
      </c>
      <c r="C48" s="41" t="s">
        <v>260</v>
      </c>
      <c r="D48" s="42" t="s">
        <v>60</v>
      </c>
      <c r="E48" s="43">
        <v>1</v>
      </c>
      <c r="F48" s="42">
        <v>2</v>
      </c>
      <c r="G48" s="44">
        <f t="shared" si="0"/>
        <v>76</v>
      </c>
      <c r="H48" s="45">
        <f t="shared" si="1"/>
        <v>63.333333333333336</v>
      </c>
      <c r="I48" s="47" t="s">
        <v>7</v>
      </c>
      <c r="J48" s="46" t="s">
        <v>251</v>
      </c>
    </row>
    <row r="49" spans="1:10" x14ac:dyDescent="0.25">
      <c r="A49" s="519"/>
      <c r="B49" s="40" t="s">
        <v>9</v>
      </c>
      <c r="C49" s="41" t="s">
        <v>261</v>
      </c>
      <c r="D49" s="42" t="s">
        <v>60</v>
      </c>
      <c r="E49" s="43">
        <v>1</v>
      </c>
      <c r="F49" s="42">
        <v>2</v>
      </c>
      <c r="G49" s="44">
        <f t="shared" si="0"/>
        <v>76</v>
      </c>
      <c r="H49" s="45">
        <f t="shared" si="1"/>
        <v>63.333333333333336</v>
      </c>
      <c r="I49" s="47" t="s">
        <v>9</v>
      </c>
      <c r="J49" s="46" t="s">
        <v>251</v>
      </c>
    </row>
    <row r="50" spans="1:10" x14ac:dyDescent="0.25">
      <c r="A50" s="519"/>
      <c r="B50" s="40" t="s">
        <v>10</v>
      </c>
      <c r="C50" s="41" t="s">
        <v>262</v>
      </c>
      <c r="D50" s="42" t="s">
        <v>60</v>
      </c>
      <c r="E50" s="43">
        <v>1</v>
      </c>
      <c r="F50" s="42">
        <v>2</v>
      </c>
      <c r="G50" s="44">
        <f t="shared" si="0"/>
        <v>76</v>
      </c>
      <c r="H50" s="45">
        <f t="shared" si="1"/>
        <v>63.333333333333336</v>
      </c>
      <c r="I50" s="47" t="s">
        <v>10</v>
      </c>
      <c r="J50" s="46" t="s">
        <v>251</v>
      </c>
    </row>
    <row r="51" spans="1:10" x14ac:dyDescent="0.25">
      <c r="A51" s="519"/>
      <c r="B51" s="40" t="s">
        <v>8</v>
      </c>
      <c r="C51" s="41" t="s">
        <v>263</v>
      </c>
      <c r="D51" s="42" t="s">
        <v>60</v>
      </c>
      <c r="E51" s="43">
        <v>1</v>
      </c>
      <c r="F51" s="42">
        <v>2</v>
      </c>
      <c r="G51" s="44">
        <f t="shared" si="0"/>
        <v>76</v>
      </c>
      <c r="H51" s="45">
        <f t="shared" si="1"/>
        <v>63.333333333333336</v>
      </c>
      <c r="I51" s="47" t="s">
        <v>8</v>
      </c>
      <c r="J51" s="46" t="s">
        <v>251</v>
      </c>
    </row>
    <row r="52" spans="1:10" ht="15.75" thickBot="1" x14ac:dyDescent="0.3">
      <c r="A52" s="521"/>
      <c r="B52" s="40" t="s">
        <v>11</v>
      </c>
      <c r="C52" s="41" t="s">
        <v>264</v>
      </c>
      <c r="D52" s="42" t="s">
        <v>60</v>
      </c>
      <c r="E52" s="43">
        <v>1</v>
      </c>
      <c r="F52" s="42">
        <v>2</v>
      </c>
      <c r="G52" s="44">
        <f t="shared" si="0"/>
        <v>76</v>
      </c>
      <c r="H52" s="45">
        <f t="shared" si="1"/>
        <v>63.333333333333336</v>
      </c>
      <c r="I52" s="47" t="s">
        <v>11</v>
      </c>
      <c r="J52" s="46" t="s">
        <v>251</v>
      </c>
    </row>
    <row r="53" spans="1:10" ht="15.75" thickBot="1" x14ac:dyDescent="0.3">
      <c r="A53" s="506" t="s">
        <v>297</v>
      </c>
      <c r="B53" s="507"/>
      <c r="C53" s="42" t="s">
        <v>298</v>
      </c>
      <c r="D53" s="42" t="s">
        <v>54</v>
      </c>
      <c r="E53" s="42">
        <v>1</v>
      </c>
      <c r="F53" s="42">
        <v>2</v>
      </c>
      <c r="G53" s="44">
        <f t="shared" si="0"/>
        <v>76</v>
      </c>
      <c r="H53" s="45">
        <f t="shared" si="1"/>
        <v>63.333333333333336</v>
      </c>
      <c r="I53" s="47" t="s">
        <v>299</v>
      </c>
      <c r="J53" s="46" t="s">
        <v>251</v>
      </c>
    </row>
    <row r="54" spans="1:10" ht="15.75" thickBot="1" x14ac:dyDescent="0.3">
      <c r="A54" s="506" t="s">
        <v>300</v>
      </c>
      <c r="B54" s="507"/>
      <c r="C54" s="42" t="s">
        <v>301</v>
      </c>
      <c r="D54" s="42" t="s">
        <v>54</v>
      </c>
      <c r="E54" s="42">
        <v>1</v>
      </c>
      <c r="F54" s="42">
        <v>2</v>
      </c>
      <c r="G54" s="44">
        <f t="shared" si="0"/>
        <v>76</v>
      </c>
      <c r="H54" s="45">
        <f t="shared" si="1"/>
        <v>63.333333333333336</v>
      </c>
      <c r="I54" s="47" t="s">
        <v>17</v>
      </c>
      <c r="J54" s="46" t="s">
        <v>251</v>
      </c>
    </row>
    <row r="55" spans="1:10" ht="16.5" thickBot="1" x14ac:dyDescent="0.3">
      <c r="A55" s="508" t="s">
        <v>302</v>
      </c>
      <c r="B55" s="509"/>
      <c r="C55" s="509"/>
      <c r="D55" s="509"/>
      <c r="E55" s="510"/>
      <c r="F55" s="53">
        <f>SUM(F9:F24)</f>
        <v>42</v>
      </c>
      <c r="G55" s="53">
        <f>SUM(G9:G41)</f>
        <v>3268</v>
      </c>
      <c r="H55" s="54"/>
      <c r="I55" s="36"/>
      <c r="J55" s="36"/>
    </row>
    <row r="56" spans="1:10" ht="16.5" thickBot="1" x14ac:dyDescent="0.3">
      <c r="A56" s="508" t="s">
        <v>303</v>
      </c>
      <c r="B56" s="509"/>
      <c r="C56" s="509"/>
      <c r="D56" s="509"/>
      <c r="E56" s="510"/>
      <c r="F56" s="55">
        <f>(F55*$F$2*$C$60)/60</f>
        <v>1330</v>
      </c>
      <c r="G56" s="53" t="s">
        <v>304</v>
      </c>
      <c r="H56" s="55" t="e">
        <f>SUM(F56+#REF!+#REF!)</f>
        <v>#REF!</v>
      </c>
      <c r="I56" s="36"/>
      <c r="J56" s="36"/>
    </row>
    <row r="57" spans="1:10" ht="16.5" thickBot="1" x14ac:dyDescent="0.3">
      <c r="A57" s="508" t="s">
        <v>305</v>
      </c>
      <c r="B57" s="509"/>
      <c r="C57" s="509"/>
      <c r="D57" s="509"/>
      <c r="E57" s="509"/>
      <c r="F57" s="509"/>
      <c r="G57" s="510"/>
      <c r="H57" s="56" t="e">
        <f>H56</f>
        <v>#REF!</v>
      </c>
      <c r="I57" s="57" t="e">
        <f>H57/4</f>
        <v>#REF!</v>
      </c>
      <c r="J57" s="57"/>
    </row>
    <row r="58" spans="1:10" ht="15.75" thickBot="1" x14ac:dyDescent="0.3">
      <c r="A58" s="506" t="s">
        <v>306</v>
      </c>
      <c r="B58" s="511"/>
      <c r="C58" s="511"/>
      <c r="D58" s="511"/>
      <c r="E58" s="511"/>
      <c r="F58" s="511"/>
      <c r="G58" s="512"/>
      <c r="H58" s="58">
        <v>360</v>
      </c>
      <c r="I58" s="59"/>
      <c r="J58" s="59"/>
    </row>
    <row r="59" spans="1:10" ht="16.5" thickBot="1" x14ac:dyDescent="0.3">
      <c r="A59" s="508" t="s">
        <v>308</v>
      </c>
      <c r="B59" s="509"/>
      <c r="C59" s="509"/>
      <c r="D59" s="509"/>
      <c r="E59" s="509"/>
      <c r="F59" s="509"/>
      <c r="G59" s="510"/>
      <c r="H59" s="55" t="e">
        <f>ROUNDDOWN(SUM(H57:H58,H53:H54),0)</f>
        <v>#REF!</v>
      </c>
      <c r="I59" s="36"/>
      <c r="J59" s="36"/>
    </row>
    <row r="60" spans="1:10" ht="15.75" x14ac:dyDescent="0.25">
      <c r="A60" s="505" t="s">
        <v>309</v>
      </c>
      <c r="B60" s="505"/>
      <c r="C60" s="38">
        <v>50</v>
      </c>
      <c r="D60" s="60" t="s">
        <v>310</v>
      </c>
      <c r="E60" s="60"/>
      <c r="F60" s="60"/>
      <c r="G60" s="60"/>
      <c r="H60" s="60"/>
      <c r="I60" s="36"/>
      <c r="J60" s="36"/>
    </row>
  </sheetData>
  <mergeCells count="15">
    <mergeCell ref="A60:B60"/>
    <mergeCell ref="A5:A20"/>
    <mergeCell ref="A21:A36"/>
    <mergeCell ref="A37:A52"/>
    <mergeCell ref="A53:B53"/>
    <mergeCell ref="A54:B54"/>
    <mergeCell ref="A55:E55"/>
    <mergeCell ref="A56:E56"/>
    <mergeCell ref="A57:G57"/>
    <mergeCell ref="A58:G58"/>
    <mergeCell ref="J3:J4"/>
    <mergeCell ref="A2:C2"/>
    <mergeCell ref="B3:B4"/>
    <mergeCell ref="C3:C4"/>
    <mergeCell ref="A59:G59"/>
  </mergeCells>
  <dataValidations count="2">
    <dataValidation type="list" allowBlank="1" showInputMessage="1" showErrorMessage="1" sqref="I1:I1048576" xr:uid="{00000000-0002-0000-0400-000000000000}">
      <formula1>Áreas</formula1>
    </dataValidation>
    <dataValidation type="list" allowBlank="1" showInputMessage="1" showErrorMessage="1" sqref="J1:J1048576" xr:uid="{00000000-0002-0000-04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8">
    <tabColor theme="2" tint="-0.499984740745262"/>
  </sheetPr>
  <dimension ref="A1:J64"/>
  <sheetViews>
    <sheetView workbookViewId="0">
      <selection activeCell="B43" sqref="A43:XFD43"/>
    </sheetView>
  </sheetViews>
  <sheetFormatPr defaultRowHeight="15" x14ac:dyDescent="0.25"/>
  <cols>
    <col min="2" max="2" width="53.7109375" bestFit="1" customWidth="1"/>
    <col min="5" max="5" width="9.140625" style="96"/>
    <col min="9" max="9" width="14.42578125" bestFit="1" customWidth="1"/>
    <col min="10" max="10" width="35.140625" bestFit="1" customWidth="1"/>
  </cols>
  <sheetData>
    <row r="1" spans="1:10" ht="15.75" x14ac:dyDescent="0.25">
      <c r="A1" s="97" t="s">
        <v>317</v>
      </c>
      <c r="B1" s="97"/>
      <c r="C1" s="97"/>
      <c r="D1" s="37" t="s">
        <v>237</v>
      </c>
      <c r="E1" s="93"/>
      <c r="F1" s="38">
        <v>38</v>
      </c>
      <c r="G1" s="38"/>
      <c r="H1" s="38"/>
      <c r="I1" s="36"/>
    </row>
    <row r="2" spans="1:10" x14ac:dyDescent="0.25">
      <c r="A2" s="65"/>
      <c r="B2" s="514" t="s">
        <v>44</v>
      </c>
      <c r="C2" s="514" t="s">
        <v>238</v>
      </c>
      <c r="D2" s="39" t="s">
        <v>239</v>
      </c>
      <c r="E2" s="94" t="s">
        <v>240</v>
      </c>
      <c r="F2" s="39" t="s">
        <v>241</v>
      </c>
      <c r="G2" s="39" t="s">
        <v>242</v>
      </c>
      <c r="H2" s="39" t="s">
        <v>242</v>
      </c>
      <c r="I2" s="514" t="s">
        <v>243</v>
      </c>
      <c r="J2" s="514" t="s">
        <v>224</v>
      </c>
    </row>
    <row r="3" spans="1:10" x14ac:dyDescent="0.25">
      <c r="A3" s="65"/>
      <c r="B3" s="514"/>
      <c r="C3" s="514"/>
      <c r="D3" s="39" t="s">
        <v>244</v>
      </c>
      <c r="E3" s="94" t="s">
        <v>245</v>
      </c>
      <c r="F3" s="39" t="s">
        <v>246</v>
      </c>
      <c r="G3" s="39" t="s">
        <v>247</v>
      </c>
      <c r="H3" s="39" t="s">
        <v>248</v>
      </c>
      <c r="I3" s="514"/>
      <c r="J3" s="514"/>
    </row>
    <row r="4" spans="1:10" x14ac:dyDescent="0.25">
      <c r="A4" s="504" t="s">
        <v>265</v>
      </c>
      <c r="B4" s="40" t="s">
        <v>58</v>
      </c>
      <c r="C4" s="41" t="s">
        <v>448</v>
      </c>
      <c r="D4" s="42" t="s">
        <v>54</v>
      </c>
      <c r="E4" s="51">
        <v>2</v>
      </c>
      <c r="F4" s="42">
        <v>4</v>
      </c>
      <c r="G4" s="44">
        <f t="shared" ref="G4:G56" si="0">SUM(F4:F4)*$F$1</f>
        <v>152</v>
      </c>
      <c r="H4" s="45">
        <f t="shared" ref="H4:H35" si="1">(G4)*$C$64/60</f>
        <v>126.66666666666667</v>
      </c>
      <c r="I4" s="47" t="s">
        <v>20</v>
      </c>
      <c r="J4" s="46" t="s">
        <v>230</v>
      </c>
    </row>
    <row r="5" spans="1:10" x14ac:dyDescent="0.25">
      <c r="A5" s="504"/>
      <c r="B5" s="40" t="s">
        <v>71</v>
      </c>
      <c r="C5" s="48" t="s">
        <v>449</v>
      </c>
      <c r="D5" s="42" t="s">
        <v>54</v>
      </c>
      <c r="E5" s="50">
        <v>2</v>
      </c>
      <c r="F5" s="42">
        <v>2</v>
      </c>
      <c r="G5" s="44">
        <f t="shared" si="0"/>
        <v>76</v>
      </c>
      <c r="H5" s="45">
        <f t="shared" si="1"/>
        <v>63.333333333333336</v>
      </c>
      <c r="I5" s="47" t="s">
        <v>20</v>
      </c>
      <c r="J5" s="46" t="s">
        <v>232</v>
      </c>
    </row>
    <row r="6" spans="1:10" x14ac:dyDescent="0.25">
      <c r="A6" s="504"/>
      <c r="B6" s="40" t="s">
        <v>55</v>
      </c>
      <c r="C6" s="48" t="s">
        <v>450</v>
      </c>
      <c r="D6" s="42" t="s">
        <v>54</v>
      </c>
      <c r="E6" s="50">
        <v>2</v>
      </c>
      <c r="F6" s="42">
        <v>2</v>
      </c>
      <c r="G6" s="44">
        <f t="shared" si="0"/>
        <v>76</v>
      </c>
      <c r="H6" s="45">
        <f t="shared" si="1"/>
        <v>63.333333333333336</v>
      </c>
      <c r="I6" s="47" t="s">
        <v>20</v>
      </c>
      <c r="J6" s="46" t="s">
        <v>230</v>
      </c>
    </row>
    <row r="7" spans="1:10" x14ac:dyDescent="0.25">
      <c r="A7" s="504"/>
      <c r="B7" s="40" t="s">
        <v>249</v>
      </c>
      <c r="C7" s="41" t="s">
        <v>250</v>
      </c>
      <c r="D7" s="42" t="s">
        <v>60</v>
      </c>
      <c r="E7" s="51">
        <v>1</v>
      </c>
      <c r="F7" s="42">
        <v>4</v>
      </c>
      <c r="G7" s="44">
        <f t="shared" si="0"/>
        <v>152</v>
      </c>
      <c r="H7" s="45">
        <f t="shared" si="1"/>
        <v>126.66666666666667</v>
      </c>
      <c r="I7" s="47" t="s">
        <v>14</v>
      </c>
      <c r="J7" s="46" t="s">
        <v>230</v>
      </c>
    </row>
    <row r="8" spans="1:10" x14ac:dyDescent="0.25">
      <c r="A8" s="504"/>
      <c r="B8" s="40" t="s">
        <v>252</v>
      </c>
      <c r="C8" s="41" t="s">
        <v>253</v>
      </c>
      <c r="D8" s="42" t="s">
        <v>54</v>
      </c>
      <c r="E8" s="51">
        <v>1</v>
      </c>
      <c r="F8" s="42">
        <v>2</v>
      </c>
      <c r="G8" s="44">
        <f t="shared" si="0"/>
        <v>76</v>
      </c>
      <c r="H8" s="45">
        <f t="shared" si="1"/>
        <v>63.333333333333336</v>
      </c>
      <c r="I8" s="47" t="s">
        <v>12</v>
      </c>
      <c r="J8" s="46" t="s">
        <v>230</v>
      </c>
    </row>
    <row r="9" spans="1:10" x14ac:dyDescent="0.25">
      <c r="A9" s="504"/>
      <c r="B9" s="40" t="s">
        <v>254</v>
      </c>
      <c r="C9" s="41" t="s">
        <v>255</v>
      </c>
      <c r="D9" s="42" t="s">
        <v>54</v>
      </c>
      <c r="E9" s="51">
        <v>1</v>
      </c>
      <c r="F9" s="42">
        <v>2</v>
      </c>
      <c r="G9" s="44">
        <f t="shared" si="0"/>
        <v>76</v>
      </c>
      <c r="H9" s="45">
        <f t="shared" si="1"/>
        <v>63.333333333333336</v>
      </c>
      <c r="I9" s="47" t="s">
        <v>13</v>
      </c>
      <c r="J9" s="46" t="s">
        <v>230</v>
      </c>
    </row>
    <row r="10" spans="1:10" x14ac:dyDescent="0.25">
      <c r="A10" s="504"/>
      <c r="B10" s="40" t="s">
        <v>15</v>
      </c>
      <c r="C10" s="41" t="s">
        <v>256</v>
      </c>
      <c r="D10" s="42" t="s">
        <v>54</v>
      </c>
      <c r="E10" s="51">
        <v>1</v>
      </c>
      <c r="F10" s="42">
        <v>2</v>
      </c>
      <c r="G10" s="44">
        <f t="shared" si="0"/>
        <v>76</v>
      </c>
      <c r="H10" s="45">
        <f t="shared" si="1"/>
        <v>63.333333333333336</v>
      </c>
      <c r="I10" s="47" t="s">
        <v>15</v>
      </c>
      <c r="J10" s="46" t="s">
        <v>230</v>
      </c>
    </row>
    <row r="11" spans="1:10" x14ac:dyDescent="0.25">
      <c r="A11" s="504"/>
      <c r="B11" s="40" t="s">
        <v>21</v>
      </c>
      <c r="C11" s="41" t="s">
        <v>257</v>
      </c>
      <c r="D11" s="42" t="s">
        <v>60</v>
      </c>
      <c r="E11" s="51">
        <v>1</v>
      </c>
      <c r="F11" s="42">
        <v>4</v>
      </c>
      <c r="G11" s="44">
        <f t="shared" si="0"/>
        <v>152</v>
      </c>
      <c r="H11" s="45">
        <f t="shared" si="1"/>
        <v>126.66666666666667</v>
      </c>
      <c r="I11" s="47" t="s">
        <v>21</v>
      </c>
      <c r="J11" s="46" t="s">
        <v>230</v>
      </c>
    </row>
    <row r="12" spans="1:10" x14ac:dyDescent="0.25">
      <c r="A12" s="504"/>
      <c r="B12" s="40" t="s">
        <v>5</v>
      </c>
      <c r="C12" s="41" t="s">
        <v>258</v>
      </c>
      <c r="D12" s="42" t="s">
        <v>60</v>
      </c>
      <c r="E12" s="51">
        <v>1</v>
      </c>
      <c r="F12" s="42">
        <v>2</v>
      </c>
      <c r="G12" s="44">
        <f t="shared" si="0"/>
        <v>76</v>
      </c>
      <c r="H12" s="45">
        <f t="shared" si="1"/>
        <v>63.333333333333336</v>
      </c>
      <c r="I12" s="47" t="s">
        <v>5</v>
      </c>
      <c r="J12" s="46" t="s">
        <v>230</v>
      </c>
    </row>
    <row r="13" spans="1:10" x14ac:dyDescent="0.25">
      <c r="A13" s="504"/>
      <c r="B13" s="40" t="s">
        <v>6</v>
      </c>
      <c r="C13" s="41" t="s">
        <v>259</v>
      </c>
      <c r="D13" s="42" t="s">
        <v>60</v>
      </c>
      <c r="E13" s="51">
        <v>1</v>
      </c>
      <c r="F13" s="42">
        <v>2</v>
      </c>
      <c r="G13" s="44">
        <f t="shared" si="0"/>
        <v>76</v>
      </c>
      <c r="H13" s="45">
        <f t="shared" si="1"/>
        <v>63.333333333333336</v>
      </c>
      <c r="I13" s="47" t="s">
        <v>6</v>
      </c>
      <c r="J13" s="46" t="s">
        <v>230</v>
      </c>
    </row>
    <row r="14" spans="1:10" x14ac:dyDescent="0.25">
      <c r="A14" s="504"/>
      <c r="B14" s="40" t="s">
        <v>7</v>
      </c>
      <c r="C14" s="41" t="s">
        <v>260</v>
      </c>
      <c r="D14" s="42" t="s">
        <v>60</v>
      </c>
      <c r="E14" s="51">
        <v>1</v>
      </c>
      <c r="F14" s="42">
        <v>2</v>
      </c>
      <c r="G14" s="44">
        <f t="shared" si="0"/>
        <v>76</v>
      </c>
      <c r="H14" s="45">
        <f t="shared" si="1"/>
        <v>63.333333333333336</v>
      </c>
      <c r="I14" s="47" t="s">
        <v>7</v>
      </c>
      <c r="J14" s="46" t="s">
        <v>230</v>
      </c>
    </row>
    <row r="15" spans="1:10" x14ac:dyDescent="0.25">
      <c r="A15" s="504"/>
      <c r="B15" s="40" t="s">
        <v>9</v>
      </c>
      <c r="C15" s="41" t="s">
        <v>261</v>
      </c>
      <c r="D15" s="42" t="s">
        <v>60</v>
      </c>
      <c r="E15" s="51">
        <v>1</v>
      </c>
      <c r="F15" s="42">
        <v>2</v>
      </c>
      <c r="G15" s="44">
        <f t="shared" si="0"/>
        <v>76</v>
      </c>
      <c r="H15" s="45">
        <f t="shared" si="1"/>
        <v>63.333333333333336</v>
      </c>
      <c r="I15" s="47" t="s">
        <v>9</v>
      </c>
      <c r="J15" s="46" t="s">
        <v>230</v>
      </c>
    </row>
    <row r="16" spans="1:10" x14ac:dyDescent="0.25">
      <c r="A16" s="504"/>
      <c r="B16" s="40" t="s">
        <v>10</v>
      </c>
      <c r="C16" s="41" t="s">
        <v>262</v>
      </c>
      <c r="D16" s="42" t="s">
        <v>60</v>
      </c>
      <c r="E16" s="51">
        <v>1</v>
      </c>
      <c r="F16" s="42">
        <v>2</v>
      </c>
      <c r="G16" s="44">
        <f t="shared" si="0"/>
        <v>76</v>
      </c>
      <c r="H16" s="45">
        <f t="shared" si="1"/>
        <v>63.333333333333336</v>
      </c>
      <c r="I16" s="47" t="s">
        <v>10</v>
      </c>
      <c r="J16" s="46" t="s">
        <v>230</v>
      </c>
    </row>
    <row r="17" spans="1:10" x14ac:dyDescent="0.25">
      <c r="A17" s="504"/>
      <c r="B17" s="40" t="s">
        <v>8</v>
      </c>
      <c r="C17" s="41" t="s">
        <v>263</v>
      </c>
      <c r="D17" s="42" t="s">
        <v>60</v>
      </c>
      <c r="E17" s="51">
        <v>1</v>
      </c>
      <c r="F17" s="42">
        <v>2</v>
      </c>
      <c r="G17" s="44">
        <f t="shared" si="0"/>
        <v>76</v>
      </c>
      <c r="H17" s="45">
        <f t="shared" si="1"/>
        <v>63.333333333333336</v>
      </c>
      <c r="I17" s="47" t="s">
        <v>8</v>
      </c>
      <c r="J17" s="46" t="s">
        <v>230</v>
      </c>
    </row>
    <row r="18" spans="1:10" x14ac:dyDescent="0.25">
      <c r="A18" s="504"/>
      <c r="B18" s="40" t="s">
        <v>11</v>
      </c>
      <c r="C18" s="41" t="s">
        <v>264</v>
      </c>
      <c r="D18" s="42" t="s">
        <v>60</v>
      </c>
      <c r="E18" s="51">
        <v>1</v>
      </c>
      <c r="F18" s="42">
        <v>2</v>
      </c>
      <c r="G18" s="44">
        <f t="shared" si="0"/>
        <v>76</v>
      </c>
      <c r="H18" s="45">
        <f t="shared" si="1"/>
        <v>63.333333333333336</v>
      </c>
      <c r="I18" s="47" t="s">
        <v>11</v>
      </c>
      <c r="J18" s="46" t="s">
        <v>231</v>
      </c>
    </row>
    <row r="19" spans="1:10" x14ac:dyDescent="0.25">
      <c r="A19" s="504" t="s">
        <v>274</v>
      </c>
      <c r="B19" s="40" t="s">
        <v>451</v>
      </c>
      <c r="C19" s="49" t="s">
        <v>452</v>
      </c>
      <c r="D19" s="42" t="s">
        <v>54</v>
      </c>
      <c r="E19" s="50">
        <v>2</v>
      </c>
      <c r="F19" s="42">
        <v>2</v>
      </c>
      <c r="G19" s="44">
        <f t="shared" si="0"/>
        <v>76</v>
      </c>
      <c r="H19" s="45">
        <f t="shared" si="1"/>
        <v>63.333333333333336</v>
      </c>
      <c r="I19" s="47" t="s">
        <v>20</v>
      </c>
      <c r="J19" s="46" t="s">
        <v>230</v>
      </c>
    </row>
    <row r="20" spans="1:10" x14ac:dyDescent="0.25">
      <c r="A20" s="504"/>
      <c r="B20" s="40" t="s">
        <v>453</v>
      </c>
      <c r="C20" s="49" t="s">
        <v>454</v>
      </c>
      <c r="D20" s="42" t="s">
        <v>54</v>
      </c>
      <c r="E20" s="50">
        <v>2</v>
      </c>
      <c r="F20" s="42">
        <v>2</v>
      </c>
      <c r="G20" s="44">
        <f t="shared" si="0"/>
        <v>76</v>
      </c>
      <c r="H20" s="45">
        <f t="shared" si="1"/>
        <v>63.333333333333336</v>
      </c>
      <c r="I20" s="47" t="s">
        <v>20</v>
      </c>
      <c r="J20" s="46" t="s">
        <v>232</v>
      </c>
    </row>
    <row r="21" spans="1:10" x14ac:dyDescent="0.25">
      <c r="A21" s="504"/>
      <c r="B21" s="40" t="s">
        <v>87</v>
      </c>
      <c r="C21" s="49" t="s">
        <v>455</v>
      </c>
      <c r="D21" s="42" t="s">
        <v>54</v>
      </c>
      <c r="E21" s="50">
        <v>2</v>
      </c>
      <c r="F21" s="42">
        <v>4</v>
      </c>
      <c r="G21" s="44">
        <f t="shared" si="0"/>
        <v>152</v>
      </c>
      <c r="H21" s="45">
        <f t="shared" si="1"/>
        <v>126.66666666666667</v>
      </c>
      <c r="I21" s="47" t="s">
        <v>20</v>
      </c>
      <c r="J21" s="46" t="s">
        <v>232</v>
      </c>
    </row>
    <row r="22" spans="1:10" x14ac:dyDescent="0.25">
      <c r="A22" s="504"/>
      <c r="B22" s="40" t="s">
        <v>147</v>
      </c>
      <c r="C22" s="49" t="s">
        <v>456</v>
      </c>
      <c r="D22" s="42" t="s">
        <v>54</v>
      </c>
      <c r="E22" s="50">
        <v>2</v>
      </c>
      <c r="F22" s="42">
        <v>4</v>
      </c>
      <c r="G22" s="44">
        <f t="shared" si="0"/>
        <v>152</v>
      </c>
      <c r="H22" s="45">
        <f t="shared" si="1"/>
        <v>126.66666666666667</v>
      </c>
      <c r="I22" s="47" t="s">
        <v>20</v>
      </c>
      <c r="J22" s="46" t="s">
        <v>230</v>
      </c>
    </row>
    <row r="23" spans="1:10" x14ac:dyDescent="0.25">
      <c r="A23" s="504"/>
      <c r="B23" s="40" t="s">
        <v>457</v>
      </c>
      <c r="C23" s="49" t="s">
        <v>458</v>
      </c>
      <c r="D23" s="42" t="s">
        <v>54</v>
      </c>
      <c r="E23" s="51">
        <v>2</v>
      </c>
      <c r="F23" s="42">
        <v>2</v>
      </c>
      <c r="G23" s="44">
        <f t="shared" si="0"/>
        <v>76</v>
      </c>
      <c r="H23" s="45">
        <f t="shared" si="1"/>
        <v>63.333333333333336</v>
      </c>
      <c r="I23" s="47" t="s">
        <v>20</v>
      </c>
      <c r="J23" s="46" t="s">
        <v>230</v>
      </c>
    </row>
    <row r="24" spans="1:10" x14ac:dyDescent="0.25">
      <c r="A24" s="504"/>
      <c r="B24" s="40" t="s">
        <v>459</v>
      </c>
      <c r="C24" s="49" t="s">
        <v>460</v>
      </c>
      <c r="D24" s="42" t="s">
        <v>54</v>
      </c>
      <c r="E24" s="51">
        <v>2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20</v>
      </c>
      <c r="J24" s="46" t="s">
        <v>230</v>
      </c>
    </row>
    <row r="25" spans="1:10" x14ac:dyDescent="0.25">
      <c r="A25" s="504"/>
      <c r="B25" s="40" t="s">
        <v>249</v>
      </c>
      <c r="C25" s="41" t="s">
        <v>250</v>
      </c>
      <c r="D25" s="42" t="s">
        <v>60</v>
      </c>
      <c r="E25" s="51">
        <v>1</v>
      </c>
      <c r="F25" s="42">
        <v>4</v>
      </c>
      <c r="G25" s="44">
        <f t="shared" si="0"/>
        <v>152</v>
      </c>
      <c r="H25" s="45">
        <f t="shared" si="1"/>
        <v>126.66666666666667</v>
      </c>
      <c r="I25" s="47" t="s">
        <v>14</v>
      </c>
      <c r="J25" s="46" t="s">
        <v>230</v>
      </c>
    </row>
    <row r="26" spans="1:10" x14ac:dyDescent="0.25">
      <c r="A26" s="504"/>
      <c r="B26" s="40" t="s">
        <v>252</v>
      </c>
      <c r="C26" s="41" t="s">
        <v>253</v>
      </c>
      <c r="D26" s="42" t="s">
        <v>54</v>
      </c>
      <c r="E26" s="51">
        <v>1</v>
      </c>
      <c r="F26" s="42">
        <v>2</v>
      </c>
      <c r="G26" s="44">
        <f t="shared" si="0"/>
        <v>76</v>
      </c>
      <c r="H26" s="45">
        <f t="shared" si="1"/>
        <v>63.333333333333336</v>
      </c>
      <c r="I26" s="47" t="s">
        <v>12</v>
      </c>
      <c r="J26" s="46" t="s">
        <v>230</v>
      </c>
    </row>
    <row r="27" spans="1:10" x14ac:dyDescent="0.25">
      <c r="A27" s="504"/>
      <c r="B27" s="40" t="s">
        <v>254</v>
      </c>
      <c r="C27" s="41" t="s">
        <v>255</v>
      </c>
      <c r="D27" s="42" t="s">
        <v>54</v>
      </c>
      <c r="E27" s="51">
        <v>1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13</v>
      </c>
      <c r="J27" s="46" t="s">
        <v>230</v>
      </c>
    </row>
    <row r="28" spans="1:10" x14ac:dyDescent="0.25">
      <c r="A28" s="504"/>
      <c r="B28" s="40" t="s">
        <v>15</v>
      </c>
      <c r="C28" s="41" t="s">
        <v>256</v>
      </c>
      <c r="D28" s="42" t="s">
        <v>54</v>
      </c>
      <c r="E28" s="51">
        <v>1</v>
      </c>
      <c r="F28" s="42">
        <v>2</v>
      </c>
      <c r="G28" s="44">
        <f t="shared" si="0"/>
        <v>76</v>
      </c>
      <c r="H28" s="45">
        <f t="shared" si="1"/>
        <v>63.333333333333336</v>
      </c>
      <c r="I28" s="47" t="s">
        <v>15</v>
      </c>
      <c r="J28" s="46" t="s">
        <v>230</v>
      </c>
    </row>
    <row r="29" spans="1:10" x14ac:dyDescent="0.25">
      <c r="A29" s="504"/>
      <c r="B29" s="40" t="s">
        <v>21</v>
      </c>
      <c r="C29" s="41" t="s">
        <v>257</v>
      </c>
      <c r="D29" s="42" t="s">
        <v>60</v>
      </c>
      <c r="E29" s="51">
        <v>1</v>
      </c>
      <c r="F29" s="42">
        <v>4</v>
      </c>
      <c r="G29" s="44">
        <f t="shared" si="0"/>
        <v>152</v>
      </c>
      <c r="H29" s="45">
        <f t="shared" si="1"/>
        <v>126.66666666666667</v>
      </c>
      <c r="I29" s="47" t="s">
        <v>21</v>
      </c>
      <c r="J29" s="46" t="s">
        <v>230</v>
      </c>
    </row>
    <row r="30" spans="1:10" x14ac:dyDescent="0.25">
      <c r="A30" s="504"/>
      <c r="B30" s="40" t="s">
        <v>5</v>
      </c>
      <c r="C30" s="41" t="s">
        <v>258</v>
      </c>
      <c r="D30" s="42" t="s">
        <v>60</v>
      </c>
      <c r="E30" s="51">
        <v>1</v>
      </c>
      <c r="F30" s="42">
        <v>2</v>
      </c>
      <c r="G30" s="44">
        <f t="shared" si="0"/>
        <v>76</v>
      </c>
      <c r="H30" s="45">
        <f t="shared" si="1"/>
        <v>63.333333333333336</v>
      </c>
      <c r="I30" s="47" t="s">
        <v>5</v>
      </c>
      <c r="J30" s="46" t="s">
        <v>230</v>
      </c>
    </row>
    <row r="31" spans="1:10" x14ac:dyDescent="0.25">
      <c r="A31" s="504"/>
      <c r="B31" s="40" t="s">
        <v>6</v>
      </c>
      <c r="C31" s="41" t="s">
        <v>259</v>
      </c>
      <c r="D31" s="42" t="s">
        <v>60</v>
      </c>
      <c r="E31" s="51">
        <v>1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6</v>
      </c>
      <c r="J31" s="46" t="s">
        <v>230</v>
      </c>
    </row>
    <row r="32" spans="1:10" x14ac:dyDescent="0.25">
      <c r="A32" s="504"/>
      <c r="B32" s="40" t="s">
        <v>7</v>
      </c>
      <c r="C32" s="41" t="s">
        <v>260</v>
      </c>
      <c r="D32" s="42" t="s">
        <v>60</v>
      </c>
      <c r="E32" s="51">
        <v>1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7</v>
      </c>
      <c r="J32" s="46" t="s">
        <v>230</v>
      </c>
    </row>
    <row r="33" spans="1:10" x14ac:dyDescent="0.25">
      <c r="A33" s="504"/>
      <c r="B33" s="40" t="s">
        <v>9</v>
      </c>
      <c r="C33" s="41" t="s">
        <v>261</v>
      </c>
      <c r="D33" s="42" t="s">
        <v>60</v>
      </c>
      <c r="E33" s="51">
        <v>1</v>
      </c>
      <c r="F33" s="42">
        <v>2</v>
      </c>
      <c r="G33" s="44">
        <f t="shared" si="0"/>
        <v>76</v>
      </c>
      <c r="H33" s="45">
        <f t="shared" si="1"/>
        <v>63.333333333333336</v>
      </c>
      <c r="I33" s="47" t="s">
        <v>9</v>
      </c>
      <c r="J33" s="46" t="s">
        <v>230</v>
      </c>
    </row>
    <row r="34" spans="1:10" x14ac:dyDescent="0.25">
      <c r="A34" s="504"/>
      <c r="B34" s="40" t="s">
        <v>10</v>
      </c>
      <c r="C34" s="41" t="s">
        <v>262</v>
      </c>
      <c r="D34" s="42" t="s">
        <v>60</v>
      </c>
      <c r="E34" s="51">
        <v>1</v>
      </c>
      <c r="F34" s="42">
        <v>2</v>
      </c>
      <c r="G34" s="44">
        <f t="shared" si="0"/>
        <v>76</v>
      </c>
      <c r="H34" s="45">
        <f t="shared" si="1"/>
        <v>63.333333333333336</v>
      </c>
      <c r="I34" s="47" t="s">
        <v>10</v>
      </c>
      <c r="J34" s="46" t="s">
        <v>232</v>
      </c>
    </row>
    <row r="35" spans="1:10" x14ac:dyDescent="0.25">
      <c r="A35" s="504"/>
      <c r="B35" s="40" t="s">
        <v>8</v>
      </c>
      <c r="C35" s="41" t="s">
        <v>263</v>
      </c>
      <c r="D35" s="42" t="s">
        <v>60</v>
      </c>
      <c r="E35" s="51">
        <v>1</v>
      </c>
      <c r="F35" s="42">
        <v>2</v>
      </c>
      <c r="G35" s="44">
        <f t="shared" si="0"/>
        <v>76</v>
      </c>
      <c r="H35" s="45">
        <f t="shared" si="1"/>
        <v>63.333333333333336</v>
      </c>
      <c r="I35" s="47" t="s">
        <v>8</v>
      </c>
      <c r="J35" s="46" t="s">
        <v>232</v>
      </c>
    </row>
    <row r="36" spans="1:10" x14ac:dyDescent="0.25">
      <c r="A36" s="504"/>
      <c r="B36" s="40" t="s">
        <v>11</v>
      </c>
      <c r="C36" s="41" t="s">
        <v>264</v>
      </c>
      <c r="D36" s="42" t="s">
        <v>60</v>
      </c>
      <c r="E36" s="51">
        <v>1</v>
      </c>
      <c r="F36" s="42">
        <v>2</v>
      </c>
      <c r="G36" s="44">
        <f t="shared" si="0"/>
        <v>76</v>
      </c>
      <c r="H36" s="45">
        <f t="shared" ref="H36:H58" si="2">(G36)*$C$64/60</f>
        <v>63.333333333333336</v>
      </c>
      <c r="I36" s="47" t="s">
        <v>11</v>
      </c>
      <c r="J36" s="46" t="s">
        <v>232</v>
      </c>
    </row>
    <row r="37" spans="1:10" x14ac:dyDescent="0.25">
      <c r="A37" s="504" t="s">
        <v>284</v>
      </c>
      <c r="B37" s="40" t="s">
        <v>461</v>
      </c>
      <c r="C37" s="49" t="s">
        <v>462</v>
      </c>
      <c r="D37" s="42" t="s">
        <v>57</v>
      </c>
      <c r="E37" s="50">
        <v>2</v>
      </c>
      <c r="F37" s="42">
        <v>2</v>
      </c>
      <c r="G37" s="44">
        <f t="shared" si="0"/>
        <v>76</v>
      </c>
      <c r="H37" s="45">
        <f t="shared" si="2"/>
        <v>63.333333333333336</v>
      </c>
      <c r="I37" s="47" t="s">
        <v>20</v>
      </c>
      <c r="J37" s="46" t="s">
        <v>231</v>
      </c>
    </row>
    <row r="38" spans="1:10" x14ac:dyDescent="0.25">
      <c r="A38" s="504"/>
      <c r="B38" s="40" t="s">
        <v>93</v>
      </c>
      <c r="C38" s="49" t="s">
        <v>463</v>
      </c>
      <c r="D38" s="42" t="s">
        <v>54</v>
      </c>
      <c r="E38" s="50">
        <v>2</v>
      </c>
      <c r="F38" s="42">
        <v>2</v>
      </c>
      <c r="G38" s="44">
        <f t="shared" si="0"/>
        <v>76</v>
      </c>
      <c r="H38" s="45">
        <f t="shared" si="2"/>
        <v>63.333333333333336</v>
      </c>
      <c r="I38" s="47" t="s">
        <v>20</v>
      </c>
      <c r="J38" s="46" t="s">
        <v>232</v>
      </c>
    </row>
    <row r="39" spans="1:10" x14ac:dyDescent="0.25">
      <c r="A39" s="504"/>
      <c r="B39" s="40" t="s">
        <v>154</v>
      </c>
      <c r="C39" s="49" t="s">
        <v>464</v>
      </c>
      <c r="D39" s="42" t="s">
        <v>54</v>
      </c>
      <c r="E39" s="50">
        <v>2</v>
      </c>
      <c r="F39" s="42">
        <v>2</v>
      </c>
      <c r="G39" s="44">
        <f t="shared" si="0"/>
        <v>76</v>
      </c>
      <c r="H39" s="45">
        <f t="shared" si="2"/>
        <v>63.333333333333336</v>
      </c>
      <c r="I39" s="47" t="s">
        <v>20</v>
      </c>
      <c r="J39" s="46" t="s">
        <v>230</v>
      </c>
    </row>
    <row r="40" spans="1:10" x14ac:dyDescent="0.25">
      <c r="A40" s="504"/>
      <c r="B40" s="40" t="s">
        <v>324</v>
      </c>
      <c r="C40" s="49" t="s">
        <v>465</v>
      </c>
      <c r="D40" s="42" t="s">
        <v>54</v>
      </c>
      <c r="E40" s="50">
        <v>2</v>
      </c>
      <c r="F40" s="42">
        <v>2</v>
      </c>
      <c r="G40" s="44">
        <f t="shared" si="0"/>
        <v>76</v>
      </c>
      <c r="H40" s="45">
        <f t="shared" si="2"/>
        <v>63.333333333333336</v>
      </c>
      <c r="I40" s="47" t="s">
        <v>20</v>
      </c>
      <c r="J40" s="46" t="s">
        <v>230</v>
      </c>
    </row>
    <row r="41" spans="1:10" x14ac:dyDescent="0.25">
      <c r="A41" s="504"/>
      <c r="B41" s="40" t="s">
        <v>466</v>
      </c>
      <c r="C41" s="49" t="s">
        <v>467</v>
      </c>
      <c r="D41" s="42" t="s">
        <v>54</v>
      </c>
      <c r="E41" s="50">
        <v>2</v>
      </c>
      <c r="F41" s="42">
        <v>4</v>
      </c>
      <c r="G41" s="44">
        <f t="shared" si="0"/>
        <v>152</v>
      </c>
      <c r="H41" s="45">
        <f t="shared" si="2"/>
        <v>126.66666666666667</v>
      </c>
      <c r="I41" s="47" t="s">
        <v>20</v>
      </c>
      <c r="J41" s="46" t="s">
        <v>230</v>
      </c>
    </row>
    <row r="42" spans="1:10" x14ac:dyDescent="0.25">
      <c r="A42" s="504"/>
      <c r="B42" s="40" t="s">
        <v>175</v>
      </c>
      <c r="C42" s="49" t="s">
        <v>468</v>
      </c>
      <c r="D42" s="42" t="s">
        <v>57</v>
      </c>
      <c r="E42" s="50">
        <v>2</v>
      </c>
      <c r="F42" s="42">
        <v>2</v>
      </c>
      <c r="G42" s="44">
        <f t="shared" si="0"/>
        <v>76</v>
      </c>
      <c r="H42" s="45">
        <f t="shared" si="2"/>
        <v>63.333333333333336</v>
      </c>
      <c r="I42" s="47" t="s">
        <v>20</v>
      </c>
      <c r="J42" s="46" t="s">
        <v>230</v>
      </c>
    </row>
    <row r="43" spans="1:10" x14ac:dyDescent="0.25">
      <c r="A43" s="504"/>
      <c r="B43" s="52" t="s">
        <v>295</v>
      </c>
      <c r="C43" s="49" t="s">
        <v>296</v>
      </c>
      <c r="D43" s="42" t="s">
        <v>57</v>
      </c>
      <c r="E43" s="50">
        <v>2</v>
      </c>
      <c r="F43" s="42">
        <v>2</v>
      </c>
      <c r="G43" s="44">
        <f t="shared" si="0"/>
        <v>76</v>
      </c>
      <c r="H43" s="45">
        <f t="shared" si="2"/>
        <v>63.333333333333336</v>
      </c>
      <c r="I43" s="47" t="s">
        <v>20</v>
      </c>
      <c r="J43" s="46" t="s">
        <v>230</v>
      </c>
    </row>
    <row r="44" spans="1:10" x14ac:dyDescent="0.25">
      <c r="A44" s="504"/>
      <c r="B44" s="40" t="s">
        <v>249</v>
      </c>
      <c r="C44" s="41" t="s">
        <v>250</v>
      </c>
      <c r="D44" s="42" t="s">
        <v>60</v>
      </c>
      <c r="E44" s="51">
        <v>1</v>
      </c>
      <c r="F44" s="42">
        <v>4</v>
      </c>
      <c r="G44" s="44">
        <f t="shared" si="0"/>
        <v>152</v>
      </c>
      <c r="H44" s="45">
        <f t="shared" si="2"/>
        <v>126.66666666666667</v>
      </c>
      <c r="I44" s="47" t="s">
        <v>14</v>
      </c>
      <c r="J44" s="46" t="s">
        <v>230</v>
      </c>
    </row>
    <row r="45" spans="1:10" x14ac:dyDescent="0.25">
      <c r="A45" s="504"/>
      <c r="B45" s="40" t="s">
        <v>252</v>
      </c>
      <c r="C45" s="41" t="s">
        <v>253</v>
      </c>
      <c r="D45" s="42" t="s">
        <v>54</v>
      </c>
      <c r="E45" s="51">
        <v>1</v>
      </c>
      <c r="F45" s="42">
        <v>2</v>
      </c>
      <c r="G45" s="44">
        <f t="shared" si="0"/>
        <v>76</v>
      </c>
      <c r="H45" s="45">
        <f t="shared" si="2"/>
        <v>63.333333333333336</v>
      </c>
      <c r="I45" s="47" t="s">
        <v>12</v>
      </c>
      <c r="J45" s="46" t="s">
        <v>230</v>
      </c>
    </row>
    <row r="46" spans="1:10" x14ac:dyDescent="0.25">
      <c r="A46" s="504"/>
      <c r="B46" s="40" t="s">
        <v>254</v>
      </c>
      <c r="C46" s="41" t="s">
        <v>255</v>
      </c>
      <c r="D46" s="42" t="s">
        <v>54</v>
      </c>
      <c r="E46" s="51">
        <v>1</v>
      </c>
      <c r="F46" s="42">
        <v>2</v>
      </c>
      <c r="G46" s="44">
        <f t="shared" si="0"/>
        <v>76</v>
      </c>
      <c r="H46" s="45">
        <f t="shared" si="2"/>
        <v>63.333333333333336</v>
      </c>
      <c r="I46" s="47" t="s">
        <v>13</v>
      </c>
      <c r="J46" s="46" t="s">
        <v>230</v>
      </c>
    </row>
    <row r="47" spans="1:10" x14ac:dyDescent="0.25">
      <c r="A47" s="504"/>
      <c r="B47" s="40" t="s">
        <v>15</v>
      </c>
      <c r="C47" s="41" t="s">
        <v>256</v>
      </c>
      <c r="D47" s="42" t="s">
        <v>54</v>
      </c>
      <c r="E47" s="51">
        <v>1</v>
      </c>
      <c r="F47" s="42">
        <v>2</v>
      </c>
      <c r="G47" s="44">
        <f t="shared" si="0"/>
        <v>76</v>
      </c>
      <c r="H47" s="45">
        <f t="shared" si="2"/>
        <v>63.333333333333336</v>
      </c>
      <c r="I47" s="47" t="s">
        <v>15</v>
      </c>
      <c r="J47" s="46" t="s">
        <v>230</v>
      </c>
    </row>
    <row r="48" spans="1:10" x14ac:dyDescent="0.25">
      <c r="A48" s="504"/>
      <c r="B48" s="40" t="s">
        <v>21</v>
      </c>
      <c r="C48" s="41" t="s">
        <v>257</v>
      </c>
      <c r="D48" s="42" t="s">
        <v>60</v>
      </c>
      <c r="E48" s="51">
        <v>1</v>
      </c>
      <c r="F48" s="42">
        <v>4</v>
      </c>
      <c r="G48" s="44">
        <f t="shared" si="0"/>
        <v>152</v>
      </c>
      <c r="H48" s="45">
        <f t="shared" si="2"/>
        <v>126.66666666666667</v>
      </c>
      <c r="I48" s="47" t="s">
        <v>21</v>
      </c>
      <c r="J48" s="46" t="s">
        <v>230</v>
      </c>
    </row>
    <row r="49" spans="1:10" x14ac:dyDescent="0.25">
      <c r="A49" s="504"/>
      <c r="B49" s="40" t="s">
        <v>5</v>
      </c>
      <c r="C49" s="41" t="s">
        <v>258</v>
      </c>
      <c r="D49" s="42" t="s">
        <v>60</v>
      </c>
      <c r="E49" s="51">
        <v>1</v>
      </c>
      <c r="F49" s="42">
        <v>2</v>
      </c>
      <c r="G49" s="44">
        <f t="shared" si="0"/>
        <v>76</v>
      </c>
      <c r="H49" s="45">
        <f t="shared" si="2"/>
        <v>63.333333333333336</v>
      </c>
      <c r="I49" s="47" t="s">
        <v>5</v>
      </c>
      <c r="J49" s="46" t="s">
        <v>230</v>
      </c>
    </row>
    <row r="50" spans="1:10" x14ac:dyDescent="0.25">
      <c r="A50" s="504"/>
      <c r="B50" s="40" t="s">
        <v>6</v>
      </c>
      <c r="C50" s="41" t="s">
        <v>259</v>
      </c>
      <c r="D50" s="42" t="s">
        <v>60</v>
      </c>
      <c r="E50" s="51">
        <v>1</v>
      </c>
      <c r="F50" s="42">
        <v>2</v>
      </c>
      <c r="G50" s="44">
        <f t="shared" si="0"/>
        <v>76</v>
      </c>
      <c r="H50" s="45">
        <f t="shared" si="2"/>
        <v>63.333333333333336</v>
      </c>
      <c r="I50" s="47" t="s">
        <v>6</v>
      </c>
      <c r="J50" s="46" t="s">
        <v>230</v>
      </c>
    </row>
    <row r="51" spans="1:10" x14ac:dyDescent="0.25">
      <c r="A51" s="504"/>
      <c r="B51" s="40" t="s">
        <v>7</v>
      </c>
      <c r="C51" s="41" t="s">
        <v>260</v>
      </c>
      <c r="D51" s="42" t="s">
        <v>60</v>
      </c>
      <c r="E51" s="51">
        <v>1</v>
      </c>
      <c r="F51" s="42">
        <v>2</v>
      </c>
      <c r="G51" s="44">
        <f t="shared" si="0"/>
        <v>76</v>
      </c>
      <c r="H51" s="45">
        <f t="shared" si="2"/>
        <v>63.333333333333336</v>
      </c>
      <c r="I51" s="47" t="s">
        <v>7</v>
      </c>
      <c r="J51" s="46" t="s">
        <v>230</v>
      </c>
    </row>
    <row r="52" spans="1:10" x14ac:dyDescent="0.25">
      <c r="A52" s="504"/>
      <c r="B52" s="40" t="s">
        <v>9</v>
      </c>
      <c r="C52" s="41" t="s">
        <v>261</v>
      </c>
      <c r="D52" s="42" t="s">
        <v>60</v>
      </c>
      <c r="E52" s="51">
        <v>1</v>
      </c>
      <c r="F52" s="42">
        <v>2</v>
      </c>
      <c r="G52" s="44">
        <f t="shared" si="0"/>
        <v>76</v>
      </c>
      <c r="H52" s="45">
        <f t="shared" si="2"/>
        <v>63.333333333333336</v>
      </c>
      <c r="I52" s="47" t="s">
        <v>9</v>
      </c>
      <c r="J52" s="46" t="s">
        <v>231</v>
      </c>
    </row>
    <row r="53" spans="1:10" x14ac:dyDescent="0.25">
      <c r="A53" s="504"/>
      <c r="B53" s="40" t="s">
        <v>10</v>
      </c>
      <c r="C53" s="41" t="s">
        <v>262</v>
      </c>
      <c r="D53" s="42" t="s">
        <v>60</v>
      </c>
      <c r="E53" s="51">
        <v>1</v>
      </c>
      <c r="F53" s="42">
        <v>2</v>
      </c>
      <c r="G53" s="44">
        <f t="shared" si="0"/>
        <v>76</v>
      </c>
      <c r="H53" s="45">
        <f t="shared" si="2"/>
        <v>63.333333333333336</v>
      </c>
      <c r="I53" s="47" t="s">
        <v>10</v>
      </c>
      <c r="J53" s="46" t="s">
        <v>232</v>
      </c>
    </row>
    <row r="54" spans="1:10" x14ac:dyDescent="0.25">
      <c r="A54" s="504"/>
      <c r="B54" s="40" t="s">
        <v>8</v>
      </c>
      <c r="C54" s="41" t="s">
        <v>263</v>
      </c>
      <c r="D54" s="42" t="s">
        <v>60</v>
      </c>
      <c r="E54" s="51">
        <v>1</v>
      </c>
      <c r="F54" s="42">
        <v>2</v>
      </c>
      <c r="G54" s="44">
        <f t="shared" si="0"/>
        <v>76</v>
      </c>
      <c r="H54" s="45">
        <f t="shared" si="2"/>
        <v>63.333333333333336</v>
      </c>
      <c r="I54" s="47" t="s">
        <v>8</v>
      </c>
      <c r="J54" s="46" t="s">
        <v>232</v>
      </c>
    </row>
    <row r="55" spans="1:10" ht="15.75" thickBot="1" x14ac:dyDescent="0.3">
      <c r="A55" s="504"/>
      <c r="B55" s="40" t="s">
        <v>11</v>
      </c>
      <c r="C55" s="41" t="s">
        <v>264</v>
      </c>
      <c r="D55" s="42" t="s">
        <v>60</v>
      </c>
      <c r="E55" s="51">
        <v>1</v>
      </c>
      <c r="F55" s="42">
        <v>2</v>
      </c>
      <c r="G55" s="44">
        <f t="shared" si="0"/>
        <v>76</v>
      </c>
      <c r="H55" s="45">
        <f t="shared" si="2"/>
        <v>63.333333333333336</v>
      </c>
      <c r="I55" s="47" t="s">
        <v>11</v>
      </c>
      <c r="J55" s="46" t="s">
        <v>230</v>
      </c>
    </row>
    <row r="56" spans="1:10" ht="15.75" thickBot="1" x14ac:dyDescent="0.3">
      <c r="A56" s="506" t="s">
        <v>297</v>
      </c>
      <c r="B56" s="506"/>
      <c r="C56" s="42" t="s">
        <v>298</v>
      </c>
      <c r="D56" s="42" t="s">
        <v>54</v>
      </c>
      <c r="E56" s="50">
        <v>1</v>
      </c>
      <c r="F56" s="42"/>
      <c r="G56" s="44">
        <f t="shared" si="0"/>
        <v>0</v>
      </c>
      <c r="H56" s="45">
        <f t="shared" si="2"/>
        <v>0</v>
      </c>
      <c r="I56" s="47" t="s">
        <v>17</v>
      </c>
      <c r="J56" s="46" t="s">
        <v>230</v>
      </c>
    </row>
    <row r="57" spans="1:10" ht="15.75" thickBot="1" x14ac:dyDescent="0.3">
      <c r="A57" s="506" t="s">
        <v>300</v>
      </c>
      <c r="B57" s="506"/>
      <c r="C57" s="42" t="s">
        <v>301</v>
      </c>
      <c r="D57" s="42" t="s">
        <v>54</v>
      </c>
      <c r="E57" s="50">
        <v>1</v>
      </c>
      <c r="F57" s="42"/>
      <c r="G57" s="44">
        <f>SUM(F57:F57)*$F$1</f>
        <v>0</v>
      </c>
      <c r="H57" s="45">
        <f t="shared" si="2"/>
        <v>0</v>
      </c>
      <c r="I57" s="36"/>
    </row>
    <row r="58" spans="1:10" ht="15.75" thickBot="1" x14ac:dyDescent="0.3">
      <c r="A58" s="506" t="s">
        <v>469</v>
      </c>
      <c r="B58" s="506"/>
      <c r="C58" s="42" t="s">
        <v>470</v>
      </c>
      <c r="D58" s="42" t="s">
        <v>60</v>
      </c>
      <c r="E58" s="50">
        <v>1</v>
      </c>
      <c r="F58" s="42"/>
      <c r="G58" s="44">
        <f>SUM(F58:F58)*$F$1</f>
        <v>0</v>
      </c>
      <c r="H58" s="45">
        <f t="shared" si="2"/>
        <v>0</v>
      </c>
      <c r="I58" s="36"/>
    </row>
    <row r="59" spans="1:10" ht="16.5" thickBot="1" x14ac:dyDescent="0.3">
      <c r="A59" s="508" t="s">
        <v>302</v>
      </c>
      <c r="B59" s="508"/>
      <c r="C59" s="508"/>
      <c r="D59" s="508"/>
      <c r="E59" s="508"/>
      <c r="F59" s="53">
        <f>SUM(F4:F43)</f>
        <v>96</v>
      </c>
      <c r="G59" s="44"/>
      <c r="H59" s="54"/>
      <c r="I59" s="57"/>
    </row>
    <row r="60" spans="1:10" ht="16.5" thickBot="1" x14ac:dyDescent="0.3">
      <c r="A60" s="508" t="s">
        <v>303</v>
      </c>
      <c r="B60" s="508"/>
      <c r="C60" s="508"/>
      <c r="D60" s="508"/>
      <c r="E60" s="508"/>
      <c r="F60" s="55" t="e">
        <f>(F59*#REF!*$C$65)/60</f>
        <v>#REF!</v>
      </c>
      <c r="G60" s="44"/>
      <c r="H60" s="55" t="e">
        <f>SUM(F60+#REF!+#REF!)</f>
        <v>#REF!</v>
      </c>
      <c r="I60" s="59"/>
    </row>
    <row r="61" spans="1:10" ht="16.5" thickBot="1" x14ac:dyDescent="0.3">
      <c r="A61" s="508" t="s">
        <v>305</v>
      </c>
      <c r="B61" s="508"/>
      <c r="C61" s="508"/>
      <c r="D61" s="508"/>
      <c r="E61" s="508"/>
      <c r="F61" s="508"/>
      <c r="G61" s="508"/>
      <c r="H61" s="56" t="e">
        <f>H60</f>
        <v>#REF!</v>
      </c>
      <c r="I61" s="59"/>
    </row>
    <row r="62" spans="1:10" ht="15.75" thickBot="1" x14ac:dyDescent="0.3">
      <c r="A62" s="522" t="s">
        <v>306</v>
      </c>
      <c r="B62" s="522"/>
      <c r="C62" s="522"/>
      <c r="D62" s="522"/>
      <c r="E62" s="522"/>
      <c r="F62" s="522"/>
      <c r="G62" s="522"/>
      <c r="H62" s="58">
        <v>360</v>
      </c>
      <c r="I62" s="36"/>
    </row>
    <row r="63" spans="1:10" ht="16.5" thickBot="1" x14ac:dyDescent="0.3">
      <c r="A63" s="523" t="s">
        <v>308</v>
      </c>
      <c r="B63" s="523"/>
      <c r="C63" s="523"/>
      <c r="D63" s="523"/>
      <c r="E63" s="523"/>
      <c r="F63" s="523"/>
      <c r="G63" s="523"/>
      <c r="H63" s="55" t="e">
        <f>ROUNDDOWN(SUM(H61:H62,H56:H58),0)</f>
        <v>#REF!</v>
      </c>
      <c r="I63" s="36"/>
    </row>
    <row r="64" spans="1:10" ht="15.75" x14ac:dyDescent="0.25">
      <c r="A64" s="513" t="s">
        <v>309</v>
      </c>
      <c r="B64" s="513"/>
      <c r="C64" s="38">
        <v>50</v>
      </c>
      <c r="D64" s="60" t="s">
        <v>310</v>
      </c>
      <c r="E64" s="95"/>
      <c r="F64" s="60"/>
      <c r="G64" s="60"/>
      <c r="H64" s="60"/>
    </row>
  </sheetData>
  <mergeCells count="16">
    <mergeCell ref="I2:I3"/>
    <mergeCell ref="J2:J3"/>
    <mergeCell ref="A56:B56"/>
    <mergeCell ref="A57:B57"/>
    <mergeCell ref="A64:B64"/>
    <mergeCell ref="A58:B58"/>
    <mergeCell ref="A59:E59"/>
    <mergeCell ref="A60:E60"/>
    <mergeCell ref="A61:G61"/>
    <mergeCell ref="A62:G62"/>
    <mergeCell ref="A63:G63"/>
    <mergeCell ref="B2:B3"/>
    <mergeCell ref="C2:C3"/>
    <mergeCell ref="A4:A18"/>
    <mergeCell ref="A19:A36"/>
    <mergeCell ref="A37:A55"/>
  </mergeCells>
  <dataValidations count="2">
    <dataValidation type="list" allowBlank="1" showInputMessage="1" showErrorMessage="1" sqref="I4:I56" xr:uid="{00000000-0002-0000-0500-000000000000}">
      <formula1>Áreas</formula1>
    </dataValidation>
    <dataValidation type="list" allowBlank="1" showInputMessage="1" showErrorMessage="1" sqref="J4:J56" xr:uid="{00000000-0002-0000-05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44C7-FBCC-48F2-8BC5-CE537B71E93C}">
  <sheetPr codeName="Planilha52">
    <tabColor theme="7"/>
    <pageSetUpPr fitToPage="1"/>
  </sheetPr>
  <dimension ref="A1:X73"/>
  <sheetViews>
    <sheetView topLeftCell="A18" zoomScaleNormal="100" workbookViewId="0">
      <selection activeCell="I36" sqref="I36"/>
    </sheetView>
  </sheetViews>
  <sheetFormatPr defaultColWidth="9.140625" defaultRowHeight="15" x14ac:dyDescent="0.25"/>
  <cols>
    <col min="2" max="2" width="49.5703125" customWidth="1"/>
    <col min="3" max="3" width="11.5703125" customWidth="1"/>
    <col min="9" max="9" width="14.42578125" bestFit="1" customWidth="1"/>
    <col min="10" max="10" width="15" bestFit="1" customWidth="1"/>
  </cols>
  <sheetData>
    <row r="1" spans="1:24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</row>
    <row r="2" spans="1:24" ht="15.75" x14ac:dyDescent="0.25">
      <c r="A2" s="513" t="s">
        <v>327</v>
      </c>
      <c r="B2" s="513"/>
      <c r="C2" s="513"/>
      <c r="D2" s="37" t="s">
        <v>237</v>
      </c>
      <c r="E2" s="38"/>
      <c r="F2" s="38"/>
      <c r="G2" s="38">
        <v>20</v>
      </c>
      <c r="H2" s="38"/>
      <c r="I2" s="38"/>
      <c r="J2" s="38"/>
      <c r="K2" s="38"/>
      <c r="L2" s="38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</row>
    <row r="3" spans="1:24" ht="15" customHeight="1" x14ac:dyDescent="0.25">
      <c r="A3" s="65"/>
      <c r="B3" s="514" t="s">
        <v>44</v>
      </c>
      <c r="C3" s="514" t="s">
        <v>238</v>
      </c>
      <c r="D3" s="524" t="s">
        <v>46</v>
      </c>
      <c r="E3" s="524" t="s">
        <v>328</v>
      </c>
      <c r="F3" s="87" t="s">
        <v>241</v>
      </c>
      <c r="G3" s="86" t="s">
        <v>329</v>
      </c>
      <c r="H3" s="86" t="s">
        <v>330</v>
      </c>
      <c r="I3" s="39" t="s">
        <v>243</v>
      </c>
      <c r="J3" s="39" t="s">
        <v>224</v>
      </c>
    </row>
    <row r="4" spans="1:24" ht="15.75" thickBot="1" x14ac:dyDescent="0.3">
      <c r="A4" s="65"/>
      <c r="B4" s="514"/>
      <c r="C4" s="514"/>
      <c r="D4" s="514"/>
      <c r="E4" s="514"/>
      <c r="F4" s="39" t="s">
        <v>246</v>
      </c>
      <c r="G4" s="86"/>
      <c r="H4" s="86"/>
      <c r="I4" s="39"/>
      <c r="J4" s="39"/>
    </row>
    <row r="5" spans="1:24" ht="15.75" thickBot="1" x14ac:dyDescent="0.3">
      <c r="A5" s="504" t="s">
        <v>318</v>
      </c>
      <c r="B5" s="40" t="s">
        <v>331</v>
      </c>
      <c r="C5" s="41" t="s">
        <v>332</v>
      </c>
      <c r="D5" s="42" t="s">
        <v>54</v>
      </c>
      <c r="E5" s="43">
        <v>1</v>
      </c>
      <c r="F5" s="492">
        <v>5</v>
      </c>
      <c r="G5" s="44">
        <f t="shared" ref="G5:G62" si="0">SUM(F5:F5)*$G$2</f>
        <v>100</v>
      </c>
      <c r="H5" s="431">
        <f t="shared" ref="H5:H32" si="1">(G5)*$C$69/60</f>
        <v>83.333333333333329</v>
      </c>
      <c r="I5" s="47" t="s">
        <v>21</v>
      </c>
      <c r="J5" s="46" t="s">
        <v>230</v>
      </c>
      <c r="L5">
        <f>H5*E5</f>
        <v>83.333333333333329</v>
      </c>
    </row>
    <row r="6" spans="1:24" ht="15.75" thickBot="1" x14ac:dyDescent="0.3">
      <c r="A6" s="504"/>
      <c r="B6" s="40" t="s">
        <v>333</v>
      </c>
      <c r="C6" s="41" t="s">
        <v>334</v>
      </c>
      <c r="D6" s="42" t="s">
        <v>54</v>
      </c>
      <c r="E6" s="43">
        <v>1</v>
      </c>
      <c r="F6" s="493">
        <v>4</v>
      </c>
      <c r="G6" s="44">
        <f t="shared" si="0"/>
        <v>80</v>
      </c>
      <c r="H6" s="431">
        <f t="shared" si="1"/>
        <v>66.666666666666671</v>
      </c>
      <c r="I6" s="47" t="s">
        <v>21</v>
      </c>
      <c r="J6" s="46" t="s">
        <v>251</v>
      </c>
      <c r="L6">
        <f t="shared" ref="L6:L61" si="2">H6*E6</f>
        <v>66.666666666666671</v>
      </c>
    </row>
    <row r="7" spans="1:24" ht="15.75" thickBot="1" x14ac:dyDescent="0.3">
      <c r="A7" s="504"/>
      <c r="B7" s="40" t="s">
        <v>337</v>
      </c>
      <c r="C7" s="41" t="s">
        <v>338</v>
      </c>
      <c r="D7" s="42" t="s">
        <v>54</v>
      </c>
      <c r="E7" s="43">
        <v>1</v>
      </c>
      <c r="F7" s="493">
        <v>2</v>
      </c>
      <c r="G7" s="44">
        <f t="shared" si="0"/>
        <v>40</v>
      </c>
      <c r="H7" s="431">
        <f t="shared" si="1"/>
        <v>33.333333333333336</v>
      </c>
      <c r="I7" s="47" t="s">
        <v>21</v>
      </c>
      <c r="J7" s="46" t="s">
        <v>251</v>
      </c>
      <c r="L7">
        <f t="shared" si="2"/>
        <v>33.333333333333336</v>
      </c>
    </row>
    <row r="8" spans="1:24" ht="15.75" thickBot="1" x14ac:dyDescent="0.3">
      <c r="A8" s="504"/>
      <c r="B8" s="40" t="s">
        <v>367</v>
      </c>
      <c r="C8" s="41" t="s">
        <v>340</v>
      </c>
      <c r="D8" s="42" t="s">
        <v>60</v>
      </c>
      <c r="E8" s="43">
        <v>1</v>
      </c>
      <c r="F8" s="493">
        <v>2</v>
      </c>
      <c r="G8" s="44">
        <f t="shared" si="0"/>
        <v>40</v>
      </c>
      <c r="H8" s="431">
        <f t="shared" si="1"/>
        <v>33.333333333333336</v>
      </c>
      <c r="I8" s="47" t="s">
        <v>21</v>
      </c>
      <c r="J8" s="46" t="s">
        <v>251</v>
      </c>
      <c r="L8">
        <f t="shared" si="2"/>
        <v>33.333333333333336</v>
      </c>
    </row>
    <row r="9" spans="1:24" ht="15.75" thickBot="1" x14ac:dyDescent="0.3">
      <c r="A9" s="504"/>
      <c r="B9" s="40" t="s">
        <v>341</v>
      </c>
      <c r="C9" s="41" t="s">
        <v>342</v>
      </c>
      <c r="D9" s="42" t="s">
        <v>60</v>
      </c>
      <c r="E9" s="43">
        <v>1</v>
      </c>
      <c r="F9" s="493">
        <v>3</v>
      </c>
      <c r="G9" s="44">
        <f t="shared" si="0"/>
        <v>60</v>
      </c>
      <c r="H9" s="431">
        <f t="shared" si="1"/>
        <v>50</v>
      </c>
      <c r="I9" s="47" t="s">
        <v>1632</v>
      </c>
      <c r="J9" s="46" t="s">
        <v>251</v>
      </c>
      <c r="L9">
        <f t="shared" si="2"/>
        <v>50</v>
      </c>
    </row>
    <row r="10" spans="1:24" ht="15.75" thickBot="1" x14ac:dyDescent="0.3">
      <c r="A10" s="504"/>
      <c r="B10" s="40" t="s">
        <v>339</v>
      </c>
      <c r="C10" s="48" t="s">
        <v>1639</v>
      </c>
      <c r="D10" s="42" t="s">
        <v>60</v>
      </c>
      <c r="E10" s="42">
        <v>1</v>
      </c>
      <c r="F10" s="493">
        <v>4</v>
      </c>
      <c r="G10" s="44">
        <f>SUM(F10:F10)*$G$2</f>
        <v>80</v>
      </c>
      <c r="H10" s="431">
        <f t="shared" si="1"/>
        <v>66.666666666666671</v>
      </c>
      <c r="I10" s="47" t="s">
        <v>225</v>
      </c>
      <c r="J10" s="46" t="s">
        <v>230</v>
      </c>
    </row>
    <row r="11" spans="1:24" ht="15.75" thickBot="1" x14ac:dyDescent="0.3">
      <c r="A11" s="504"/>
      <c r="B11" s="40" t="s">
        <v>343</v>
      </c>
      <c r="C11" s="41" t="s">
        <v>344</v>
      </c>
      <c r="D11" s="42" t="s">
        <v>60</v>
      </c>
      <c r="E11" s="43">
        <v>1</v>
      </c>
      <c r="F11" s="494">
        <v>2</v>
      </c>
      <c r="G11" s="44">
        <f t="shared" si="0"/>
        <v>40</v>
      </c>
      <c r="H11" s="431">
        <f t="shared" si="1"/>
        <v>33.333333333333336</v>
      </c>
      <c r="I11" s="47" t="s">
        <v>14</v>
      </c>
      <c r="J11" s="46" t="s">
        <v>251</v>
      </c>
      <c r="L11">
        <f t="shared" si="2"/>
        <v>33.333333333333336</v>
      </c>
    </row>
    <row r="12" spans="1:24" ht="15.75" thickBot="1" x14ac:dyDescent="0.3">
      <c r="A12" s="527" t="s">
        <v>321</v>
      </c>
      <c r="B12" s="81" t="s">
        <v>1633</v>
      </c>
      <c r="C12" s="41" t="s">
        <v>1634</v>
      </c>
      <c r="D12" s="42" t="s">
        <v>60</v>
      </c>
      <c r="E12" s="43">
        <v>1</v>
      </c>
      <c r="F12" s="492">
        <v>4</v>
      </c>
      <c r="G12" s="44">
        <f t="shared" si="0"/>
        <v>80</v>
      </c>
      <c r="H12" s="431">
        <f t="shared" si="1"/>
        <v>66.666666666666671</v>
      </c>
      <c r="I12" s="47" t="s">
        <v>21</v>
      </c>
      <c r="J12" s="46" t="s">
        <v>251</v>
      </c>
      <c r="L12">
        <f t="shared" si="2"/>
        <v>66.666666666666671</v>
      </c>
    </row>
    <row r="13" spans="1:24" ht="15.75" thickBot="1" x14ac:dyDescent="0.3">
      <c r="A13" s="527"/>
      <c r="B13" s="81" t="s">
        <v>1635</v>
      </c>
      <c r="C13" s="41" t="s">
        <v>1636</v>
      </c>
      <c r="D13" s="42" t="s">
        <v>60</v>
      </c>
      <c r="E13" s="43">
        <v>1</v>
      </c>
      <c r="F13" s="493">
        <v>2</v>
      </c>
      <c r="G13" s="44">
        <f t="shared" si="0"/>
        <v>40</v>
      </c>
      <c r="H13" s="431">
        <f t="shared" si="1"/>
        <v>33.333333333333336</v>
      </c>
      <c r="I13" s="47" t="s">
        <v>21</v>
      </c>
      <c r="J13" s="46" t="s">
        <v>251</v>
      </c>
      <c r="L13">
        <f t="shared" si="2"/>
        <v>33.333333333333336</v>
      </c>
    </row>
    <row r="14" spans="1:24" ht="15.75" thickBot="1" x14ac:dyDescent="0.3">
      <c r="A14" s="527"/>
      <c r="B14" s="81" t="s">
        <v>347</v>
      </c>
      <c r="C14" s="41" t="s">
        <v>336</v>
      </c>
      <c r="D14" s="42" t="s">
        <v>54</v>
      </c>
      <c r="E14" s="43">
        <v>1</v>
      </c>
      <c r="F14" s="493">
        <v>2</v>
      </c>
      <c r="G14" s="44">
        <f t="shared" si="0"/>
        <v>40</v>
      </c>
      <c r="H14" s="431">
        <f t="shared" si="1"/>
        <v>33.333333333333336</v>
      </c>
      <c r="I14" s="47" t="s">
        <v>21</v>
      </c>
      <c r="J14" s="46" t="s">
        <v>230</v>
      </c>
    </row>
    <row r="15" spans="1:24" ht="15.75" thickBot="1" x14ac:dyDescent="0.3">
      <c r="A15" s="527"/>
      <c r="B15" s="81" t="s">
        <v>351</v>
      </c>
      <c r="C15" s="41" t="s">
        <v>1637</v>
      </c>
      <c r="D15" s="42" t="s">
        <v>60</v>
      </c>
      <c r="E15" s="43">
        <v>1</v>
      </c>
      <c r="F15" s="493">
        <v>2</v>
      </c>
      <c r="G15" s="44">
        <f t="shared" si="0"/>
        <v>40</v>
      </c>
      <c r="H15" s="431">
        <f t="shared" si="1"/>
        <v>33.333333333333336</v>
      </c>
      <c r="I15" s="47" t="s">
        <v>21</v>
      </c>
      <c r="J15" s="46" t="s">
        <v>251</v>
      </c>
      <c r="L15">
        <f t="shared" si="2"/>
        <v>33.333333333333336</v>
      </c>
    </row>
    <row r="16" spans="1:24" ht="15.75" thickBot="1" x14ac:dyDescent="0.3">
      <c r="A16" s="527"/>
      <c r="B16" s="489" t="s">
        <v>357</v>
      </c>
      <c r="C16" s="48" t="s">
        <v>1639</v>
      </c>
      <c r="D16" s="42" t="s">
        <v>60</v>
      </c>
      <c r="E16" s="43">
        <v>1</v>
      </c>
      <c r="F16" s="493">
        <v>2</v>
      </c>
      <c r="G16" s="44">
        <f t="shared" si="0"/>
        <v>40</v>
      </c>
      <c r="H16" s="431">
        <f t="shared" si="1"/>
        <v>33.333333333333336</v>
      </c>
      <c r="I16" s="47" t="s">
        <v>225</v>
      </c>
      <c r="J16" s="46"/>
    </row>
    <row r="17" spans="1:12" ht="15.75" thickBot="1" x14ac:dyDescent="0.3">
      <c r="A17" s="527"/>
      <c r="B17" s="40" t="s">
        <v>1640</v>
      </c>
      <c r="C17" s="41" t="s">
        <v>1638</v>
      </c>
      <c r="D17" s="42" t="s">
        <v>60</v>
      </c>
      <c r="E17" s="43">
        <v>1</v>
      </c>
      <c r="F17" s="493">
        <v>4</v>
      </c>
      <c r="G17" s="44">
        <f t="shared" si="0"/>
        <v>80</v>
      </c>
      <c r="H17" s="431">
        <f t="shared" si="1"/>
        <v>66.666666666666671</v>
      </c>
      <c r="I17" s="47" t="s">
        <v>225</v>
      </c>
      <c r="J17" s="46" t="s">
        <v>251</v>
      </c>
      <c r="L17">
        <f t="shared" si="2"/>
        <v>66.666666666666671</v>
      </c>
    </row>
    <row r="18" spans="1:12" ht="15.75" thickBot="1" x14ac:dyDescent="0.3">
      <c r="A18" s="527"/>
      <c r="B18" s="490" t="s">
        <v>1694</v>
      </c>
      <c r="C18" s="48" t="s">
        <v>1641</v>
      </c>
      <c r="D18" s="42" t="s">
        <v>60</v>
      </c>
      <c r="E18" s="42">
        <v>1</v>
      </c>
      <c r="F18" s="493">
        <v>2</v>
      </c>
      <c r="G18" s="44">
        <f t="shared" si="0"/>
        <v>40</v>
      </c>
      <c r="H18" s="431">
        <f t="shared" si="1"/>
        <v>33.333333333333336</v>
      </c>
      <c r="I18" s="47" t="s">
        <v>225</v>
      </c>
      <c r="J18" s="46" t="s">
        <v>251</v>
      </c>
      <c r="L18">
        <f t="shared" si="2"/>
        <v>33.333333333333336</v>
      </c>
    </row>
    <row r="19" spans="1:12" ht="15.75" thickBot="1" x14ac:dyDescent="0.3">
      <c r="A19" s="527"/>
      <c r="B19" s="490" t="s">
        <v>1695</v>
      </c>
      <c r="C19" s="49" t="s">
        <v>1642</v>
      </c>
      <c r="D19" s="42" t="s">
        <v>60</v>
      </c>
      <c r="E19" s="42">
        <v>1</v>
      </c>
      <c r="F19" s="493">
        <v>2</v>
      </c>
      <c r="G19" s="44">
        <f t="shared" si="0"/>
        <v>40</v>
      </c>
      <c r="H19" s="431">
        <f t="shared" si="1"/>
        <v>33.333333333333336</v>
      </c>
      <c r="I19" s="47" t="s">
        <v>8</v>
      </c>
      <c r="J19" s="46" t="s">
        <v>251</v>
      </c>
      <c r="L19">
        <f t="shared" si="2"/>
        <v>33.333333333333336</v>
      </c>
    </row>
    <row r="20" spans="1:12" ht="15.75" thickBot="1" x14ac:dyDescent="0.3">
      <c r="A20" s="527"/>
      <c r="B20" s="40" t="s">
        <v>355</v>
      </c>
      <c r="C20" s="49" t="s">
        <v>1643</v>
      </c>
      <c r="D20" s="42" t="s">
        <v>60</v>
      </c>
      <c r="E20" s="42">
        <v>1</v>
      </c>
      <c r="F20" s="42">
        <v>2</v>
      </c>
      <c r="G20" s="44">
        <f t="shared" si="0"/>
        <v>40</v>
      </c>
      <c r="H20" s="431">
        <f t="shared" si="1"/>
        <v>33.333333333333336</v>
      </c>
      <c r="I20" s="47" t="s">
        <v>14</v>
      </c>
      <c r="J20" s="46" t="s">
        <v>251</v>
      </c>
      <c r="L20">
        <f t="shared" si="2"/>
        <v>33.333333333333336</v>
      </c>
    </row>
    <row r="21" spans="1:12" ht="15.75" thickBot="1" x14ac:dyDescent="0.3">
      <c r="A21" s="527" t="s">
        <v>323</v>
      </c>
      <c r="B21" s="81" t="s">
        <v>361</v>
      </c>
      <c r="C21" s="49" t="s">
        <v>1644</v>
      </c>
      <c r="D21" s="42" t="s">
        <v>60</v>
      </c>
      <c r="E21" s="42">
        <v>1</v>
      </c>
      <c r="F21" s="492">
        <v>4</v>
      </c>
      <c r="G21" s="44">
        <f t="shared" si="0"/>
        <v>80</v>
      </c>
      <c r="H21" s="431">
        <f t="shared" si="1"/>
        <v>66.666666666666671</v>
      </c>
      <c r="I21" s="47" t="s">
        <v>21</v>
      </c>
      <c r="J21" s="46" t="s">
        <v>251</v>
      </c>
      <c r="L21">
        <f t="shared" si="2"/>
        <v>66.666666666666671</v>
      </c>
    </row>
    <row r="22" spans="1:12" ht="15.75" thickBot="1" x14ac:dyDescent="0.3">
      <c r="A22" s="527"/>
      <c r="B22" s="81" t="s">
        <v>345</v>
      </c>
      <c r="C22" s="49" t="s">
        <v>1645</v>
      </c>
      <c r="D22" s="42" t="s">
        <v>60</v>
      </c>
      <c r="E22" s="42">
        <v>1</v>
      </c>
      <c r="F22" s="493">
        <v>2</v>
      </c>
      <c r="G22" s="44">
        <f t="shared" si="0"/>
        <v>40</v>
      </c>
      <c r="H22" s="431">
        <f t="shared" si="1"/>
        <v>33.333333333333336</v>
      </c>
      <c r="I22" s="47" t="s">
        <v>21</v>
      </c>
      <c r="J22" s="46" t="s">
        <v>251</v>
      </c>
      <c r="L22">
        <f t="shared" si="2"/>
        <v>33.333333333333336</v>
      </c>
    </row>
    <row r="23" spans="1:12" ht="15.75" thickBot="1" x14ac:dyDescent="0.3">
      <c r="A23" s="527"/>
      <c r="B23" s="81" t="s">
        <v>1646</v>
      </c>
      <c r="C23" s="41" t="s">
        <v>1647</v>
      </c>
      <c r="D23" s="42" t="s">
        <v>54</v>
      </c>
      <c r="E23" s="43">
        <v>1</v>
      </c>
      <c r="F23" s="493">
        <v>4</v>
      </c>
      <c r="G23" s="44">
        <f t="shared" si="0"/>
        <v>80</v>
      </c>
      <c r="H23" s="431">
        <f t="shared" si="1"/>
        <v>66.666666666666671</v>
      </c>
      <c r="I23" s="47" t="s">
        <v>21</v>
      </c>
      <c r="J23" s="46" t="s">
        <v>230</v>
      </c>
    </row>
    <row r="24" spans="1:12" ht="15.75" thickBot="1" x14ac:dyDescent="0.3">
      <c r="A24" s="527"/>
      <c r="B24" s="81" t="s">
        <v>379</v>
      </c>
      <c r="C24" s="49" t="s">
        <v>1654</v>
      </c>
      <c r="D24" s="42" t="s">
        <v>60</v>
      </c>
      <c r="E24" s="42">
        <v>1</v>
      </c>
      <c r="F24" s="493">
        <v>5</v>
      </c>
      <c r="G24" s="44">
        <f t="shared" si="0"/>
        <v>100</v>
      </c>
      <c r="H24" s="431">
        <f t="shared" si="1"/>
        <v>83.333333333333329</v>
      </c>
      <c r="I24" s="47" t="s">
        <v>21</v>
      </c>
      <c r="J24" s="46" t="s">
        <v>230</v>
      </c>
    </row>
    <row r="25" spans="1:12" ht="15.75" thickBot="1" x14ac:dyDescent="0.3">
      <c r="A25" s="527"/>
      <c r="B25" s="82" t="s">
        <v>369</v>
      </c>
      <c r="C25" s="41" t="s">
        <v>1648</v>
      </c>
      <c r="D25" s="42" t="s">
        <v>60</v>
      </c>
      <c r="E25" s="43">
        <v>1</v>
      </c>
      <c r="F25" s="493">
        <v>4</v>
      </c>
      <c r="G25" s="44">
        <f t="shared" si="0"/>
        <v>80</v>
      </c>
      <c r="H25" s="431">
        <f t="shared" si="1"/>
        <v>66.666666666666671</v>
      </c>
      <c r="I25" s="47" t="s">
        <v>225</v>
      </c>
      <c r="J25" s="46" t="s">
        <v>251</v>
      </c>
      <c r="L25">
        <f t="shared" si="2"/>
        <v>66.666666666666671</v>
      </c>
    </row>
    <row r="26" spans="1:12" ht="15.75" thickBot="1" x14ac:dyDescent="0.3">
      <c r="A26" s="527"/>
      <c r="B26" s="82" t="s">
        <v>359</v>
      </c>
      <c r="C26" s="49" t="s">
        <v>1649</v>
      </c>
      <c r="D26" s="42" t="s">
        <v>60</v>
      </c>
      <c r="E26" s="42">
        <v>1</v>
      </c>
      <c r="F26" s="493">
        <v>2</v>
      </c>
      <c r="G26" s="44">
        <f t="shared" si="0"/>
        <v>40</v>
      </c>
      <c r="H26" s="431">
        <f t="shared" si="1"/>
        <v>33.333333333333336</v>
      </c>
      <c r="I26" s="47" t="s">
        <v>225</v>
      </c>
      <c r="J26" s="46" t="s">
        <v>251</v>
      </c>
      <c r="L26">
        <f t="shared" si="2"/>
        <v>33.333333333333336</v>
      </c>
    </row>
    <row r="27" spans="1:12" ht="15.75" thickBot="1" x14ac:dyDescent="0.3">
      <c r="A27" s="527" t="s">
        <v>311</v>
      </c>
      <c r="B27" s="40" t="s">
        <v>373</v>
      </c>
      <c r="C27" s="49" t="s">
        <v>1651</v>
      </c>
      <c r="D27" s="42" t="s">
        <v>60</v>
      </c>
      <c r="E27" s="42">
        <v>1</v>
      </c>
      <c r="F27" s="492">
        <v>4</v>
      </c>
      <c r="G27" s="44">
        <f t="shared" si="0"/>
        <v>80</v>
      </c>
      <c r="H27" s="431">
        <f t="shared" si="1"/>
        <v>66.666666666666671</v>
      </c>
      <c r="I27" s="47" t="s">
        <v>21</v>
      </c>
      <c r="J27" s="46" t="s">
        <v>251</v>
      </c>
      <c r="L27">
        <f t="shared" si="2"/>
        <v>66.666666666666671</v>
      </c>
    </row>
    <row r="28" spans="1:12" ht="15.75" thickBot="1" x14ac:dyDescent="0.3">
      <c r="A28" s="527"/>
      <c r="B28" s="40" t="s">
        <v>375</v>
      </c>
      <c r="C28" s="49" t="s">
        <v>1652</v>
      </c>
      <c r="D28" s="42" t="s">
        <v>60</v>
      </c>
      <c r="E28" s="42">
        <v>1</v>
      </c>
      <c r="F28" s="493">
        <v>4</v>
      </c>
      <c r="G28" s="44">
        <f t="shared" si="0"/>
        <v>80</v>
      </c>
      <c r="H28" s="431">
        <f t="shared" si="1"/>
        <v>66.666666666666671</v>
      </c>
      <c r="I28" s="47" t="s">
        <v>21</v>
      </c>
      <c r="J28" s="46" t="s">
        <v>251</v>
      </c>
      <c r="L28">
        <f t="shared" si="2"/>
        <v>66.666666666666671</v>
      </c>
    </row>
    <row r="29" spans="1:12" ht="15.75" thickBot="1" x14ac:dyDescent="0.3">
      <c r="A29" s="527"/>
      <c r="B29" s="40" t="s">
        <v>1653</v>
      </c>
      <c r="C29" s="49" t="s">
        <v>1420</v>
      </c>
      <c r="D29" s="42" t="s">
        <v>60</v>
      </c>
      <c r="E29" s="42">
        <v>1</v>
      </c>
      <c r="F29" s="493">
        <v>2</v>
      </c>
      <c r="G29" s="44">
        <f t="shared" si="0"/>
        <v>40</v>
      </c>
      <c r="H29" s="431">
        <f t="shared" si="1"/>
        <v>33.333333333333336</v>
      </c>
      <c r="I29" s="47" t="s">
        <v>21</v>
      </c>
      <c r="J29" s="46" t="s">
        <v>251</v>
      </c>
      <c r="L29">
        <f t="shared" si="2"/>
        <v>33.333333333333336</v>
      </c>
    </row>
    <row r="30" spans="1:12" ht="15.75" thickBot="1" x14ac:dyDescent="0.3">
      <c r="A30" s="527"/>
      <c r="B30" s="81" t="s">
        <v>390</v>
      </c>
      <c r="C30" s="49" t="s">
        <v>1662</v>
      </c>
      <c r="D30" s="42" t="s">
        <v>60</v>
      </c>
      <c r="E30" s="42">
        <v>1</v>
      </c>
      <c r="F30" s="493">
        <v>4</v>
      </c>
      <c r="G30" s="44">
        <f t="shared" ref="G30" si="3">SUM(F30:F30)*$G$2</f>
        <v>80</v>
      </c>
      <c r="H30" s="431">
        <f t="shared" si="1"/>
        <v>66.666666666666671</v>
      </c>
      <c r="I30" s="47" t="s">
        <v>21</v>
      </c>
      <c r="J30" s="46" t="s">
        <v>251</v>
      </c>
      <c r="L30" s="341">
        <f t="shared" ref="L30" si="4">H30*E30</f>
        <v>66.666666666666671</v>
      </c>
    </row>
    <row r="31" spans="1:12" ht="15.75" thickBot="1" x14ac:dyDescent="0.3">
      <c r="A31" s="527"/>
      <c r="B31" s="40" t="s">
        <v>1655</v>
      </c>
      <c r="C31" s="83" t="s">
        <v>1656</v>
      </c>
      <c r="D31" s="42" t="s">
        <v>60</v>
      </c>
      <c r="E31" s="42">
        <v>1</v>
      </c>
      <c r="F31" s="493">
        <v>2</v>
      </c>
      <c r="G31" s="44">
        <f t="shared" si="0"/>
        <v>40</v>
      </c>
      <c r="H31" s="431">
        <f t="shared" si="1"/>
        <v>33.333333333333336</v>
      </c>
      <c r="I31" s="47" t="s">
        <v>21</v>
      </c>
      <c r="J31" s="46" t="s">
        <v>251</v>
      </c>
      <c r="L31">
        <f t="shared" si="2"/>
        <v>33.333333333333336</v>
      </c>
    </row>
    <row r="32" spans="1:12" ht="15.75" thickBot="1" x14ac:dyDescent="0.3">
      <c r="A32" s="528"/>
      <c r="B32" s="491" t="s">
        <v>394</v>
      </c>
      <c r="C32" s="49" t="s">
        <v>1650</v>
      </c>
      <c r="D32" s="42" t="s">
        <v>60</v>
      </c>
      <c r="E32" s="42">
        <v>1</v>
      </c>
      <c r="F32" s="493">
        <v>3</v>
      </c>
      <c r="G32" s="44">
        <f t="shared" si="0"/>
        <v>60</v>
      </c>
      <c r="H32" s="431">
        <f t="shared" si="1"/>
        <v>50</v>
      </c>
      <c r="I32" s="335" t="s">
        <v>6</v>
      </c>
      <c r="J32" s="336" t="s">
        <v>230</v>
      </c>
    </row>
    <row r="33" spans="1:14" ht="15.75" thickBot="1" x14ac:dyDescent="0.3">
      <c r="A33" s="528"/>
      <c r="B33" s="330" t="s">
        <v>1657</v>
      </c>
      <c r="C33" s="331" t="s">
        <v>1658</v>
      </c>
      <c r="D33" s="332" t="s">
        <v>60</v>
      </c>
      <c r="E33" s="332">
        <v>1</v>
      </c>
      <c r="F33" s="493">
        <v>2</v>
      </c>
      <c r="G33" s="44">
        <f t="shared" si="0"/>
        <v>40</v>
      </c>
      <c r="H33" s="431">
        <f t="shared" ref="H33" si="5">(G33)*$C$69/60</f>
        <v>33.333333333333336</v>
      </c>
      <c r="I33" s="335" t="s">
        <v>225</v>
      </c>
      <c r="J33" s="336" t="s">
        <v>230</v>
      </c>
    </row>
    <row r="34" spans="1:14" ht="15.75" thickBot="1" x14ac:dyDescent="0.3">
      <c r="A34" s="525" t="s">
        <v>385</v>
      </c>
      <c r="B34" s="294" t="s">
        <v>386</v>
      </c>
      <c r="C34" s="337" t="s">
        <v>1661</v>
      </c>
      <c r="D34" s="296" t="s">
        <v>60</v>
      </c>
      <c r="E34" s="296">
        <v>1</v>
      </c>
      <c r="F34" s="492">
        <v>4</v>
      </c>
      <c r="G34" s="44">
        <f t="shared" si="0"/>
        <v>80</v>
      </c>
      <c r="H34" s="482">
        <f>(G34)*$C$69/60</f>
        <v>66.666666666666671</v>
      </c>
      <c r="I34" s="300" t="s">
        <v>21</v>
      </c>
      <c r="J34" s="338" t="s">
        <v>251</v>
      </c>
      <c r="K34" s="339"/>
      <c r="L34" s="340">
        <f t="shared" si="2"/>
        <v>66.666666666666671</v>
      </c>
    </row>
    <row r="35" spans="1:14" ht="15.75" thickBot="1" x14ac:dyDescent="0.3">
      <c r="A35" s="529"/>
      <c r="B35" s="330" t="s">
        <v>383</v>
      </c>
      <c r="C35" s="331" t="s">
        <v>1659</v>
      </c>
      <c r="D35" s="332" t="s">
        <v>60</v>
      </c>
      <c r="E35" s="332">
        <v>1</v>
      </c>
      <c r="F35" s="493">
        <v>2</v>
      </c>
      <c r="G35" s="44">
        <f t="shared" ref="G35:G36" si="6">SUM(F35:F35)*$G$2</f>
        <v>40</v>
      </c>
      <c r="H35" s="431">
        <f>(G35)*$C$69/60</f>
        <v>33.333333333333336</v>
      </c>
      <c r="I35" s="335" t="s">
        <v>299</v>
      </c>
      <c r="J35" s="336" t="s">
        <v>230</v>
      </c>
    </row>
    <row r="36" spans="1:14" ht="15.75" thickBot="1" x14ac:dyDescent="0.3">
      <c r="A36" s="529"/>
      <c r="B36" t="s">
        <v>419</v>
      </c>
      <c r="C36" s="331" t="s">
        <v>1660</v>
      </c>
      <c r="D36" s="332" t="s">
        <v>60</v>
      </c>
      <c r="E36" s="332">
        <v>1</v>
      </c>
      <c r="F36" s="493">
        <v>2</v>
      </c>
      <c r="G36" s="44">
        <f t="shared" si="6"/>
        <v>40</v>
      </c>
      <c r="H36" s="431">
        <f>(G36)*$C$69/60</f>
        <v>33.333333333333336</v>
      </c>
      <c r="I36" s="335" t="s">
        <v>5</v>
      </c>
      <c r="J36" s="336" t="s">
        <v>251</v>
      </c>
      <c r="L36">
        <f t="shared" ref="L36" si="7">H36*E36</f>
        <v>33.333333333333336</v>
      </c>
    </row>
    <row r="37" spans="1:14" ht="15.75" thickBot="1" x14ac:dyDescent="0.3">
      <c r="A37" s="526"/>
      <c r="B37" s="40" t="s">
        <v>392</v>
      </c>
      <c r="C37" s="49" t="s">
        <v>1663</v>
      </c>
      <c r="D37" s="42" t="s">
        <v>57</v>
      </c>
      <c r="E37" s="42">
        <v>1</v>
      </c>
      <c r="F37" s="493">
        <v>4</v>
      </c>
      <c r="G37" s="44">
        <f t="shared" si="0"/>
        <v>80</v>
      </c>
      <c r="H37" s="431">
        <f>(G37)*$C$69/60</f>
        <v>66.666666666666671</v>
      </c>
      <c r="I37" s="47" t="s">
        <v>21</v>
      </c>
      <c r="J37" s="46" t="s">
        <v>251</v>
      </c>
      <c r="L37" s="341">
        <f t="shared" si="2"/>
        <v>66.666666666666671</v>
      </c>
    </row>
    <row r="38" spans="1:14" ht="15.75" thickBot="1" x14ac:dyDescent="0.3">
      <c r="A38" s="526"/>
      <c r="B38" s="40" t="s">
        <v>1664</v>
      </c>
      <c r="C38" s="49" t="s">
        <v>1438</v>
      </c>
      <c r="D38" s="42" t="s">
        <v>60</v>
      </c>
      <c r="E38" s="42">
        <v>1</v>
      </c>
      <c r="F38" s="493">
        <v>2</v>
      </c>
      <c r="G38" s="44">
        <f t="shared" si="0"/>
        <v>40</v>
      </c>
      <c r="H38" s="431">
        <f t="shared" ref="H38:H62" si="8">(G38)*$C$69/60</f>
        <v>33.333333333333336</v>
      </c>
      <c r="I38" s="47" t="s">
        <v>21</v>
      </c>
      <c r="J38" s="46" t="s">
        <v>251</v>
      </c>
      <c r="L38" s="341">
        <f t="shared" si="2"/>
        <v>33.333333333333336</v>
      </c>
    </row>
    <row r="39" spans="1:14" ht="15.75" thickBot="1" x14ac:dyDescent="0.3">
      <c r="A39" s="526"/>
      <c r="B39" s="491" t="s">
        <v>405</v>
      </c>
      <c r="C39" s="49" t="s">
        <v>1665</v>
      </c>
      <c r="D39" s="42" t="s">
        <v>60</v>
      </c>
      <c r="E39" s="42">
        <v>1</v>
      </c>
      <c r="F39" s="493">
        <v>3</v>
      </c>
      <c r="G39" s="44">
        <f t="shared" si="0"/>
        <v>60</v>
      </c>
      <c r="H39" s="431">
        <f t="shared" si="8"/>
        <v>50</v>
      </c>
      <c r="I39" s="47" t="s">
        <v>6</v>
      </c>
      <c r="J39" s="46" t="s">
        <v>230</v>
      </c>
      <c r="L39" s="341"/>
    </row>
    <row r="40" spans="1:14" ht="15.75" thickBot="1" x14ac:dyDescent="0.3">
      <c r="A40" s="526"/>
      <c r="B40" s="40" t="s">
        <v>1666</v>
      </c>
      <c r="C40" s="49" t="s">
        <v>1667</v>
      </c>
      <c r="D40" s="42" t="s">
        <v>60</v>
      </c>
      <c r="E40" s="84">
        <v>1</v>
      </c>
      <c r="F40" s="493">
        <v>2</v>
      </c>
      <c r="G40" s="44">
        <f t="shared" si="0"/>
        <v>40</v>
      </c>
      <c r="H40" s="431">
        <f t="shared" si="8"/>
        <v>33.333333333333336</v>
      </c>
      <c r="I40" s="47" t="s">
        <v>225</v>
      </c>
      <c r="J40" s="46" t="s">
        <v>233</v>
      </c>
      <c r="L40" s="341">
        <f t="shared" si="2"/>
        <v>33.333333333333336</v>
      </c>
    </row>
    <row r="41" spans="1:14" ht="15.75" thickBot="1" x14ac:dyDescent="0.3">
      <c r="A41" s="530"/>
      <c r="B41" s="302" t="s">
        <v>396</v>
      </c>
      <c r="C41" s="342" t="s">
        <v>1668</v>
      </c>
      <c r="D41" s="304" t="s">
        <v>60</v>
      </c>
      <c r="E41" s="304">
        <v>1</v>
      </c>
      <c r="F41" s="493">
        <v>2</v>
      </c>
      <c r="G41" s="44">
        <f t="shared" si="0"/>
        <v>40</v>
      </c>
      <c r="H41" s="431">
        <f t="shared" si="8"/>
        <v>33.333333333333336</v>
      </c>
      <c r="I41" s="308" t="s">
        <v>15</v>
      </c>
      <c r="J41" s="343" t="s">
        <v>251</v>
      </c>
      <c r="K41" s="344"/>
      <c r="L41" s="345">
        <f t="shared" si="2"/>
        <v>33.333333333333336</v>
      </c>
    </row>
    <row r="42" spans="1:14" ht="15.75" thickBot="1" x14ac:dyDescent="0.3">
      <c r="A42" s="525" t="s">
        <v>398</v>
      </c>
      <c r="B42" s="346" t="s">
        <v>399</v>
      </c>
      <c r="C42" s="337" t="s">
        <v>1669</v>
      </c>
      <c r="D42" s="296" t="s">
        <v>60</v>
      </c>
      <c r="E42" s="296">
        <v>1</v>
      </c>
      <c r="F42" s="492">
        <v>4</v>
      </c>
      <c r="G42" s="44">
        <f t="shared" si="0"/>
        <v>80</v>
      </c>
      <c r="H42" s="482">
        <f t="shared" si="8"/>
        <v>66.666666666666671</v>
      </c>
      <c r="I42" s="300" t="s">
        <v>21</v>
      </c>
      <c r="J42" s="338" t="s">
        <v>251</v>
      </c>
      <c r="K42" s="339"/>
      <c r="L42" s="340">
        <f t="shared" si="2"/>
        <v>66.666666666666671</v>
      </c>
    </row>
    <row r="43" spans="1:14" ht="15.75" thickBot="1" x14ac:dyDescent="0.3">
      <c r="A43" s="526"/>
      <c r="B43" s="81" t="s">
        <v>401</v>
      </c>
      <c r="C43" s="49" t="s">
        <v>1670</v>
      </c>
      <c r="D43" s="42" t="s">
        <v>60</v>
      </c>
      <c r="E43" s="42">
        <v>1</v>
      </c>
      <c r="F43" s="493">
        <v>4</v>
      </c>
      <c r="G43" s="44">
        <f t="shared" si="0"/>
        <v>80</v>
      </c>
      <c r="H43" s="431">
        <f t="shared" si="8"/>
        <v>66.666666666666671</v>
      </c>
      <c r="I43" s="47" t="s">
        <v>21</v>
      </c>
      <c r="J43" s="46" t="s">
        <v>251</v>
      </c>
      <c r="L43" s="341">
        <f t="shared" si="2"/>
        <v>66.666666666666671</v>
      </c>
    </row>
    <row r="44" spans="1:14" ht="15.75" thickBot="1" x14ac:dyDescent="0.3">
      <c r="A44" s="526"/>
      <c r="B44" s="489" t="s">
        <v>403</v>
      </c>
      <c r="C44" s="49" t="s">
        <v>1671</v>
      </c>
      <c r="D44" s="42" t="s">
        <v>54</v>
      </c>
      <c r="E44" s="42">
        <v>1</v>
      </c>
      <c r="F44" s="493">
        <v>5</v>
      </c>
      <c r="G44" s="44">
        <f t="shared" si="0"/>
        <v>100</v>
      </c>
      <c r="H44" s="431">
        <f t="shared" si="8"/>
        <v>83.333333333333329</v>
      </c>
      <c r="I44" s="47" t="s">
        <v>21</v>
      </c>
      <c r="J44" s="46" t="s">
        <v>251</v>
      </c>
      <c r="L44" s="341">
        <f t="shared" si="2"/>
        <v>83.333333333333329</v>
      </c>
    </row>
    <row r="45" spans="1:14" ht="15.75" thickBot="1" x14ac:dyDescent="0.3">
      <c r="A45" s="526"/>
      <c r="B45" s="81" t="s">
        <v>434</v>
      </c>
      <c r="C45" s="49" t="s">
        <v>1672</v>
      </c>
      <c r="D45" s="42" t="s">
        <v>54</v>
      </c>
      <c r="E45" s="84">
        <v>1</v>
      </c>
      <c r="F45" s="493">
        <v>2</v>
      </c>
      <c r="G45" s="44">
        <f t="shared" si="0"/>
        <v>40</v>
      </c>
      <c r="H45" s="431">
        <f t="shared" si="8"/>
        <v>33.333333333333336</v>
      </c>
      <c r="I45" s="47" t="s">
        <v>5</v>
      </c>
      <c r="J45" s="46" t="s">
        <v>233</v>
      </c>
      <c r="L45" s="341">
        <f t="shared" si="2"/>
        <v>33.333333333333336</v>
      </c>
    </row>
    <row r="46" spans="1:14" ht="15.75" thickBot="1" x14ac:dyDescent="0.3">
      <c r="A46" s="526"/>
      <c r="B46" s="81" t="s">
        <v>423</v>
      </c>
      <c r="C46" s="49" t="s">
        <v>1673</v>
      </c>
      <c r="D46" s="42" t="s">
        <v>60</v>
      </c>
      <c r="E46" s="42">
        <v>1</v>
      </c>
      <c r="F46" s="493">
        <v>2</v>
      </c>
      <c r="G46" s="44">
        <f t="shared" si="0"/>
        <v>40</v>
      </c>
      <c r="H46" s="431">
        <f t="shared" si="8"/>
        <v>33.333333333333336</v>
      </c>
      <c r="I46" s="47" t="s">
        <v>6</v>
      </c>
      <c r="J46" s="46" t="s">
        <v>231</v>
      </c>
      <c r="L46" s="341">
        <f t="shared" si="2"/>
        <v>33.333333333333336</v>
      </c>
    </row>
    <row r="47" spans="1:14" ht="19.899999999999999" customHeight="1" thickBot="1" x14ac:dyDescent="0.3">
      <c r="A47" s="531"/>
      <c r="B47" s="487" t="s">
        <v>409</v>
      </c>
      <c r="C47" s="488" t="s">
        <v>1674</v>
      </c>
      <c r="D47" s="332" t="s">
        <v>60</v>
      </c>
      <c r="E47" s="332">
        <v>1</v>
      </c>
      <c r="F47" s="493">
        <v>2</v>
      </c>
      <c r="G47" s="44">
        <f t="shared" si="0"/>
        <v>40</v>
      </c>
      <c r="H47" s="431">
        <f t="shared" si="8"/>
        <v>33.333333333333336</v>
      </c>
      <c r="I47" s="335" t="s">
        <v>15</v>
      </c>
      <c r="J47" s="336" t="s">
        <v>230</v>
      </c>
      <c r="L47" s="341"/>
    </row>
    <row r="48" spans="1:14" ht="15.75" thickBot="1" x14ac:dyDescent="0.3">
      <c r="A48" s="531"/>
      <c r="B48" s="302" t="s">
        <v>1675</v>
      </c>
      <c r="C48" s="342" t="s">
        <v>1691</v>
      </c>
      <c r="D48" s="304" t="s">
        <v>54</v>
      </c>
      <c r="E48" s="304">
        <v>1</v>
      </c>
      <c r="F48" s="493">
        <v>3</v>
      </c>
      <c r="G48" s="44">
        <f t="shared" si="0"/>
        <v>60</v>
      </c>
      <c r="H48" s="484">
        <f t="shared" si="8"/>
        <v>50</v>
      </c>
      <c r="I48" s="335" t="s">
        <v>21</v>
      </c>
      <c r="J48" s="336" t="s">
        <v>230</v>
      </c>
      <c r="L48" s="341"/>
      <c r="N48">
        <f>SUM(F42:F48)</f>
        <v>22</v>
      </c>
    </row>
    <row r="49" spans="1:17" ht="15.75" thickBot="1" x14ac:dyDescent="0.3">
      <c r="A49" s="525" t="s">
        <v>411</v>
      </c>
      <c r="B49" s="294" t="s">
        <v>412</v>
      </c>
      <c r="C49" s="347" t="s">
        <v>1676</v>
      </c>
      <c r="D49" s="296" t="s">
        <v>60</v>
      </c>
      <c r="E49" s="296">
        <v>1</v>
      </c>
      <c r="F49" s="492">
        <v>4</v>
      </c>
      <c r="G49" s="44">
        <f t="shared" si="0"/>
        <v>80</v>
      </c>
      <c r="H49" s="482">
        <f t="shared" si="8"/>
        <v>66.666666666666671</v>
      </c>
      <c r="I49" s="300" t="s">
        <v>21</v>
      </c>
      <c r="J49" s="338" t="s">
        <v>251</v>
      </c>
      <c r="K49" s="339"/>
      <c r="L49" s="340">
        <f t="shared" si="2"/>
        <v>66.666666666666671</v>
      </c>
    </row>
    <row r="50" spans="1:17" ht="15.75" thickBot="1" x14ac:dyDescent="0.3">
      <c r="A50" s="526"/>
      <c r="B50" s="40" t="s">
        <v>377</v>
      </c>
      <c r="C50" s="83" t="s">
        <v>1677</v>
      </c>
      <c r="D50" s="42" t="s">
        <v>60</v>
      </c>
      <c r="E50" s="42">
        <v>1</v>
      </c>
      <c r="F50" s="493">
        <v>4</v>
      </c>
      <c r="G50" s="44">
        <f t="shared" si="0"/>
        <v>80</v>
      </c>
      <c r="H50" s="431">
        <f t="shared" si="8"/>
        <v>66.666666666666671</v>
      </c>
      <c r="I50" s="47" t="s">
        <v>21</v>
      </c>
      <c r="J50" s="46" t="s">
        <v>251</v>
      </c>
      <c r="L50" s="341">
        <f t="shared" si="2"/>
        <v>66.666666666666671</v>
      </c>
    </row>
    <row r="51" spans="1:17" ht="15.75" thickBot="1" x14ac:dyDescent="0.3">
      <c r="A51" s="526"/>
      <c r="B51" s="40" t="s">
        <v>426</v>
      </c>
      <c r="C51" s="83" t="s">
        <v>1685</v>
      </c>
      <c r="D51" s="42" t="s">
        <v>60</v>
      </c>
      <c r="E51" s="42">
        <v>1</v>
      </c>
      <c r="F51" s="493">
        <v>4</v>
      </c>
      <c r="G51" s="44">
        <f t="shared" si="0"/>
        <v>80</v>
      </c>
      <c r="H51" s="431">
        <f t="shared" si="8"/>
        <v>66.666666666666671</v>
      </c>
      <c r="I51" s="47" t="s">
        <v>21</v>
      </c>
      <c r="J51" s="46" t="s">
        <v>230</v>
      </c>
      <c r="L51" s="341"/>
    </row>
    <row r="52" spans="1:17" ht="15.75" thickBot="1" x14ac:dyDescent="0.3">
      <c r="A52" s="526"/>
      <c r="B52" s="40" t="s">
        <v>1679</v>
      </c>
      <c r="C52" s="83" t="s">
        <v>1678</v>
      </c>
      <c r="D52" s="42" t="s">
        <v>60</v>
      </c>
      <c r="E52" s="42">
        <v>1</v>
      </c>
      <c r="F52" s="493">
        <v>2</v>
      </c>
      <c r="G52" s="44">
        <f t="shared" si="0"/>
        <v>40</v>
      </c>
      <c r="H52" s="431">
        <f t="shared" si="8"/>
        <v>33.333333333333336</v>
      </c>
      <c r="I52" s="47" t="s">
        <v>6</v>
      </c>
      <c r="J52" s="46" t="s">
        <v>251</v>
      </c>
      <c r="L52" s="341">
        <f>H52*E52</f>
        <v>33.333333333333336</v>
      </c>
    </row>
    <row r="53" spans="1:17" ht="15.75" thickBot="1" x14ac:dyDescent="0.3">
      <c r="A53" s="526"/>
      <c r="B53" s="40" t="s">
        <v>421</v>
      </c>
      <c r="C53" s="83" t="s">
        <v>1680</v>
      </c>
      <c r="D53" s="42" t="s">
        <v>60</v>
      </c>
      <c r="E53" s="42">
        <v>1</v>
      </c>
      <c r="F53" s="493">
        <v>4</v>
      </c>
      <c r="G53" s="44">
        <f t="shared" si="0"/>
        <v>80</v>
      </c>
      <c r="H53" s="431">
        <f t="shared" si="8"/>
        <v>66.666666666666671</v>
      </c>
      <c r="I53" s="47" t="s">
        <v>21</v>
      </c>
      <c r="J53" s="46" t="s">
        <v>251</v>
      </c>
      <c r="L53" s="341">
        <f t="shared" si="2"/>
        <v>66.666666666666671</v>
      </c>
    </row>
    <row r="54" spans="1:17" ht="15.75" thickBot="1" x14ac:dyDescent="0.3">
      <c r="A54" s="526"/>
      <c r="B54" s="302" t="s">
        <v>1682</v>
      </c>
      <c r="C54" s="83" t="s">
        <v>1681</v>
      </c>
      <c r="D54" s="42" t="s">
        <v>54</v>
      </c>
      <c r="E54" s="42">
        <v>1</v>
      </c>
      <c r="F54" s="493">
        <v>3</v>
      </c>
      <c r="G54" s="44">
        <f t="shared" si="0"/>
        <v>60</v>
      </c>
      <c r="H54" s="431">
        <f t="shared" si="8"/>
        <v>50</v>
      </c>
      <c r="I54" s="47" t="s">
        <v>21</v>
      </c>
      <c r="J54" s="46" t="s">
        <v>251</v>
      </c>
      <c r="L54" s="341">
        <f t="shared" si="2"/>
        <v>50</v>
      </c>
      <c r="N54">
        <f>SUM(F49:F54)</f>
        <v>21</v>
      </c>
    </row>
    <row r="55" spans="1:17" ht="15.75" thickBot="1" x14ac:dyDescent="0.3">
      <c r="A55" s="525" t="s">
        <v>425</v>
      </c>
      <c r="B55" s="294" t="s">
        <v>169</v>
      </c>
      <c r="C55" s="347" t="s">
        <v>1395</v>
      </c>
      <c r="D55" s="296" t="s">
        <v>60</v>
      </c>
      <c r="E55" s="296">
        <v>1</v>
      </c>
      <c r="F55" s="492">
        <v>2</v>
      </c>
      <c r="G55" s="44">
        <f t="shared" si="0"/>
        <v>40</v>
      </c>
      <c r="H55" s="482">
        <f t="shared" si="8"/>
        <v>33.333333333333336</v>
      </c>
      <c r="I55" s="300" t="s">
        <v>21</v>
      </c>
      <c r="J55" s="338" t="s">
        <v>251</v>
      </c>
      <c r="K55" s="339"/>
      <c r="L55" s="340">
        <f t="shared" si="2"/>
        <v>33.333333333333336</v>
      </c>
    </row>
    <row r="56" spans="1:17" ht="15.75" thickBot="1" x14ac:dyDescent="0.3">
      <c r="A56" s="526"/>
      <c r="B56" s="40" t="s">
        <v>428</v>
      </c>
      <c r="C56" s="83" t="s">
        <v>1684</v>
      </c>
      <c r="D56" s="42" t="s">
        <v>60</v>
      </c>
      <c r="E56" s="42">
        <v>1</v>
      </c>
      <c r="F56" s="493">
        <v>4</v>
      </c>
      <c r="G56" s="44">
        <f t="shared" si="0"/>
        <v>80</v>
      </c>
      <c r="H56" s="431">
        <f t="shared" si="8"/>
        <v>66.666666666666671</v>
      </c>
      <c r="I56" s="47" t="s">
        <v>21</v>
      </c>
      <c r="J56" s="46" t="s">
        <v>251</v>
      </c>
      <c r="L56" s="341">
        <f t="shared" si="2"/>
        <v>66.666666666666671</v>
      </c>
    </row>
    <row r="57" spans="1:17" ht="15.75" thickBot="1" x14ac:dyDescent="0.3">
      <c r="A57" s="526"/>
      <c r="B57" s="40" t="s">
        <v>414</v>
      </c>
      <c r="C57" s="83" t="s">
        <v>1686</v>
      </c>
      <c r="D57" s="42" t="s">
        <v>60</v>
      </c>
      <c r="E57" s="42">
        <v>1</v>
      </c>
      <c r="F57" s="493">
        <v>2</v>
      </c>
      <c r="G57" s="44">
        <f t="shared" si="0"/>
        <v>40</v>
      </c>
      <c r="H57" s="431">
        <f t="shared" si="8"/>
        <v>33.333333333333336</v>
      </c>
      <c r="I57" s="47" t="s">
        <v>21</v>
      </c>
      <c r="J57" s="46" t="s">
        <v>251</v>
      </c>
      <c r="L57" s="341">
        <f t="shared" si="2"/>
        <v>33.333333333333336</v>
      </c>
    </row>
    <row r="58" spans="1:17" ht="15.75" thickBot="1" x14ac:dyDescent="0.3">
      <c r="A58" s="526"/>
      <c r="B58" s="491" t="s">
        <v>430</v>
      </c>
      <c r="C58" s="83" t="s">
        <v>1687</v>
      </c>
      <c r="D58" s="42" t="s">
        <v>60</v>
      </c>
      <c r="E58" s="42">
        <v>1</v>
      </c>
      <c r="F58" s="493">
        <v>3</v>
      </c>
      <c r="G58" s="44">
        <f t="shared" si="0"/>
        <v>60</v>
      </c>
      <c r="H58" s="431">
        <f t="shared" si="8"/>
        <v>50</v>
      </c>
      <c r="I58" s="47" t="s">
        <v>21</v>
      </c>
      <c r="J58" s="46" t="s">
        <v>230</v>
      </c>
      <c r="L58" s="341"/>
    </row>
    <row r="59" spans="1:17" ht="15.75" thickBot="1" x14ac:dyDescent="0.3">
      <c r="A59" s="526"/>
      <c r="B59" s="491" t="s">
        <v>432</v>
      </c>
      <c r="C59" s="83" t="s">
        <v>1687</v>
      </c>
      <c r="D59" s="42" t="s">
        <v>60</v>
      </c>
      <c r="E59" s="42">
        <v>1</v>
      </c>
      <c r="F59" s="493">
        <v>5</v>
      </c>
      <c r="G59" s="44">
        <f t="shared" si="0"/>
        <v>100</v>
      </c>
      <c r="H59" s="431">
        <f t="shared" si="8"/>
        <v>83.333333333333329</v>
      </c>
      <c r="I59" s="47" t="s">
        <v>21</v>
      </c>
      <c r="J59" s="46"/>
      <c r="L59" s="341"/>
    </row>
    <row r="60" spans="1:17" ht="15.75" thickBot="1" x14ac:dyDescent="0.3">
      <c r="A60" s="526"/>
      <c r="B60" s="40" t="s">
        <v>1688</v>
      </c>
      <c r="C60" s="83" t="s">
        <v>1689</v>
      </c>
      <c r="D60" s="42" t="s">
        <v>54</v>
      </c>
      <c r="E60" s="42">
        <v>1</v>
      </c>
      <c r="F60" s="493">
        <v>2</v>
      </c>
      <c r="G60" s="44">
        <f t="shared" si="0"/>
        <v>40</v>
      </c>
      <c r="H60" s="431">
        <f t="shared" si="8"/>
        <v>33.333333333333336</v>
      </c>
      <c r="I60" s="47" t="s">
        <v>225</v>
      </c>
      <c r="J60" s="46" t="s">
        <v>251</v>
      </c>
      <c r="L60" s="341">
        <f t="shared" si="2"/>
        <v>33.333333333333336</v>
      </c>
      <c r="N60">
        <f>SUM(F55:F62)</f>
        <v>23</v>
      </c>
    </row>
    <row r="61" spans="1:17" ht="15.75" thickBot="1" x14ac:dyDescent="0.3">
      <c r="A61" s="526"/>
      <c r="B61" s="40" t="s">
        <v>436</v>
      </c>
      <c r="C61" s="83" t="s">
        <v>1690</v>
      </c>
      <c r="D61" s="42" t="s">
        <v>54</v>
      </c>
      <c r="E61" s="84">
        <v>1</v>
      </c>
      <c r="F61" s="493">
        <v>2</v>
      </c>
      <c r="G61" s="44">
        <f t="shared" si="0"/>
        <v>40</v>
      </c>
      <c r="H61" s="431">
        <f t="shared" si="8"/>
        <v>33.333333333333336</v>
      </c>
      <c r="I61" s="47" t="s">
        <v>225</v>
      </c>
      <c r="J61" s="46" t="s">
        <v>251</v>
      </c>
      <c r="L61" s="341">
        <f t="shared" si="2"/>
        <v>33.333333333333336</v>
      </c>
    </row>
    <row r="62" spans="1:17" ht="15.75" thickBot="1" x14ac:dyDescent="0.3">
      <c r="A62" s="530"/>
      <c r="B62" s="302" t="s">
        <v>407</v>
      </c>
      <c r="C62" s="348" t="s">
        <v>1683</v>
      </c>
      <c r="D62" s="304" t="s">
        <v>54</v>
      </c>
      <c r="E62" s="349">
        <v>1</v>
      </c>
      <c r="F62" s="493">
        <v>3</v>
      </c>
      <c r="G62" s="44">
        <f t="shared" si="0"/>
        <v>60</v>
      </c>
      <c r="H62" s="484">
        <f t="shared" si="8"/>
        <v>50</v>
      </c>
      <c r="I62" s="308" t="s">
        <v>21</v>
      </c>
      <c r="J62" s="343" t="s">
        <v>251</v>
      </c>
      <c r="K62" s="344"/>
      <c r="L62" s="345">
        <f>H48*E48</f>
        <v>50</v>
      </c>
    </row>
    <row r="63" spans="1:17" ht="16.5" thickBot="1" x14ac:dyDescent="0.3">
      <c r="A63" s="523" t="s">
        <v>302</v>
      </c>
      <c r="B63" s="523"/>
      <c r="C63" s="523"/>
      <c r="D63" s="523" t="s">
        <v>60</v>
      </c>
      <c r="E63" s="523">
        <v>1</v>
      </c>
      <c r="F63" s="350">
        <f>SUM(F5:F62)</f>
        <v>173</v>
      </c>
      <c r="G63" s="36"/>
      <c r="H63" s="36"/>
      <c r="I63" s="36"/>
      <c r="J63" s="36"/>
      <c r="K63" s="36"/>
      <c r="L63" s="36"/>
      <c r="M63" s="36"/>
      <c r="N63" s="53">
        <f>SUM(G5:G61)</f>
        <v>3400</v>
      </c>
      <c r="O63" s="54"/>
      <c r="P63" s="36"/>
      <c r="Q63" s="36"/>
    </row>
    <row r="64" spans="1:17" ht="16.5" thickBot="1" x14ac:dyDescent="0.3">
      <c r="A64" s="508" t="s">
        <v>303</v>
      </c>
      <c r="B64" s="508"/>
      <c r="C64" s="508"/>
      <c r="D64" s="508"/>
      <c r="E64" s="508"/>
      <c r="F64" s="55">
        <f>(F63*$G$2*$C$69)/60</f>
        <v>2883.3333333333335</v>
      </c>
      <c r="G64" s="36"/>
      <c r="H64" s="36"/>
      <c r="I64" s="36"/>
      <c r="J64" s="36"/>
      <c r="K64" s="36"/>
      <c r="L64" s="36"/>
      <c r="M64" s="36"/>
      <c r="O64" s="55">
        <f>SUM(F64:F64)</f>
        <v>2883.3333333333335</v>
      </c>
      <c r="P64" s="36"/>
      <c r="Q64" s="36"/>
    </row>
    <row r="65" spans="1:24" ht="15.75" thickBot="1" x14ac:dyDescent="0.3">
      <c r="A65" s="506" t="s">
        <v>438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36"/>
      <c r="N65" s="36"/>
      <c r="O65" s="36"/>
      <c r="P65" s="36"/>
      <c r="Q65" s="36"/>
      <c r="R65" s="36"/>
      <c r="S65" s="36"/>
      <c r="T65" s="36"/>
      <c r="V65" s="55">
        <v>200</v>
      </c>
      <c r="W65" s="36"/>
      <c r="X65" s="36"/>
    </row>
    <row r="66" spans="1:24" ht="15.75" thickBot="1" x14ac:dyDescent="0.3">
      <c r="A66" s="506" t="s">
        <v>439</v>
      </c>
      <c r="B66" s="511"/>
      <c r="C66" s="511"/>
      <c r="D66" s="511"/>
      <c r="E66" s="511"/>
      <c r="F66" s="511"/>
      <c r="G66" s="511"/>
      <c r="H66" s="511"/>
      <c r="I66" s="511"/>
      <c r="J66" s="511"/>
      <c r="K66" s="511"/>
      <c r="L66" s="511"/>
      <c r="M66" s="36"/>
      <c r="N66" s="36"/>
      <c r="O66" s="36"/>
      <c r="P66" s="36"/>
      <c r="Q66" s="36"/>
      <c r="R66" s="36"/>
      <c r="S66" s="36"/>
      <c r="T66" s="36"/>
      <c r="V66" s="55">
        <v>60</v>
      </c>
      <c r="W66" s="36"/>
      <c r="X66" s="36"/>
    </row>
    <row r="67" spans="1:24" ht="15.75" thickBot="1" x14ac:dyDescent="0.3">
      <c r="A67" s="506" t="s">
        <v>440</v>
      </c>
      <c r="B67" s="511"/>
      <c r="C67" s="511"/>
      <c r="D67" s="511"/>
      <c r="E67" s="511"/>
      <c r="F67" s="511"/>
      <c r="G67" s="511"/>
      <c r="H67" s="511"/>
      <c r="I67" s="511"/>
      <c r="J67" s="511"/>
      <c r="K67" s="511"/>
      <c r="L67" s="511"/>
      <c r="M67" s="36"/>
      <c r="N67" s="36"/>
      <c r="O67" s="36"/>
      <c r="P67" s="36"/>
      <c r="Q67" s="36"/>
      <c r="R67" s="36"/>
      <c r="S67" s="36"/>
      <c r="T67" s="36"/>
      <c r="V67" s="55">
        <v>400</v>
      </c>
      <c r="W67" s="36"/>
      <c r="X67" s="36"/>
    </row>
    <row r="68" spans="1:24" ht="16.5" thickBot="1" x14ac:dyDescent="0.3">
      <c r="A68" s="508" t="s">
        <v>441</v>
      </c>
      <c r="B68" s="509"/>
      <c r="C68" s="509"/>
      <c r="D68" s="509"/>
      <c r="E68" s="509"/>
      <c r="F68" s="509"/>
      <c r="G68" s="509"/>
      <c r="H68" s="509"/>
      <c r="I68" s="509"/>
      <c r="J68" s="509"/>
      <c r="K68" s="509"/>
      <c r="L68" s="509"/>
      <c r="M68" s="36"/>
      <c r="N68" s="36"/>
      <c r="O68" s="36"/>
      <c r="P68" s="36"/>
      <c r="Q68" s="36"/>
      <c r="R68" s="36"/>
      <c r="S68" s="36"/>
      <c r="T68" s="36"/>
      <c r="V68" s="56">
        <f>O64+SUM(V65:V67)</f>
        <v>3543.3333333333335</v>
      </c>
      <c r="W68" s="36"/>
      <c r="X68" s="36"/>
    </row>
    <row r="69" spans="1:24" ht="15.75" x14ac:dyDescent="0.25">
      <c r="A69" s="532" t="s">
        <v>309</v>
      </c>
      <c r="B69" s="532"/>
      <c r="C69" s="78">
        <v>50</v>
      </c>
      <c r="D69" s="79" t="s">
        <v>310</v>
      </c>
      <c r="E69" s="79"/>
      <c r="F69" s="79"/>
      <c r="G69" s="79"/>
      <c r="H69" s="79"/>
      <c r="I69" s="79"/>
      <c r="J69" s="79"/>
      <c r="K69" s="79"/>
      <c r="L69" s="79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</row>
    <row r="73" spans="1:24" x14ac:dyDescent="0.25">
      <c r="F73">
        <f>SUMPRODUCT(H5:H61,E5:E61)/F64</f>
        <v>0.98265895953757221</v>
      </c>
    </row>
  </sheetData>
  <mergeCells count="20">
    <mergeCell ref="A68:L68"/>
    <mergeCell ref="A69:B69"/>
    <mergeCell ref="A55:A62"/>
    <mergeCell ref="A63:E63"/>
    <mergeCell ref="A64:E64"/>
    <mergeCell ref="A65:L65"/>
    <mergeCell ref="A66:L66"/>
    <mergeCell ref="A67:L67"/>
    <mergeCell ref="E3:E4"/>
    <mergeCell ref="A5:A11"/>
    <mergeCell ref="A49:A54"/>
    <mergeCell ref="A2:C2"/>
    <mergeCell ref="B3:B4"/>
    <mergeCell ref="C3:C4"/>
    <mergeCell ref="D3:D4"/>
    <mergeCell ref="A12:A20"/>
    <mergeCell ref="A21:A26"/>
    <mergeCell ref="A27:A33"/>
    <mergeCell ref="A34:A41"/>
    <mergeCell ref="A42:A48"/>
  </mergeCells>
  <dataValidations count="2">
    <dataValidation type="list" allowBlank="1" showInputMessage="1" showErrorMessage="1" sqref="I5:I62" xr:uid="{1601BED1-E3F5-4F0E-A1DC-4464F2307909}">
      <formula1>Docentes</formula1>
    </dataValidation>
    <dataValidation type="list" allowBlank="1" showInputMessage="1" showErrorMessage="1" sqref="J5:J62" xr:uid="{D83ACDF7-3860-4297-BB33-D83763CDA24D}">
      <formula1>Ambientes</formula1>
    </dataValidation>
  </dataValidations>
  <pageMargins left="0.511811024" right="0.511811024" top="0.78740157499999996" bottom="0.78740157499999996" header="0.31496062000000002" footer="0.31496062000000002"/>
  <pageSetup scale="37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9BD96-5396-4011-A803-F964E1B08FAD}">
  <sheetPr codeName="Planilha54">
    <tabColor theme="9" tint="-0.249977111117893"/>
  </sheetPr>
  <dimension ref="A1:L30"/>
  <sheetViews>
    <sheetView topLeftCell="A4" workbookViewId="0">
      <selection activeCell="I36" sqref="I36"/>
    </sheetView>
  </sheetViews>
  <sheetFormatPr defaultColWidth="8.85546875" defaultRowHeight="15" x14ac:dyDescent="0.25"/>
  <cols>
    <col min="2" max="2" width="41.42578125" bestFit="1" customWidth="1"/>
    <col min="3" max="3" width="12.7109375" customWidth="1"/>
    <col min="9" max="9" width="15.42578125" bestFit="1" customWidth="1"/>
    <col min="10" max="10" width="24.85546875" bestFit="1" customWidth="1"/>
  </cols>
  <sheetData>
    <row r="1" spans="1:12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2" ht="15.75" x14ac:dyDescent="0.25">
      <c r="A2" s="513" t="s">
        <v>671</v>
      </c>
      <c r="B2" s="513"/>
      <c r="C2" s="513"/>
      <c r="D2" s="513"/>
      <c r="E2" s="513"/>
      <c r="F2" s="38">
        <v>19</v>
      </c>
      <c r="G2" s="38"/>
      <c r="H2" s="38"/>
      <c r="I2" s="36"/>
    </row>
    <row r="3" spans="1:12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2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2" ht="15.6" customHeight="1" x14ac:dyDescent="0.25">
      <c r="A5" s="504" t="s">
        <v>318</v>
      </c>
      <c r="B5" s="40" t="s">
        <v>1603</v>
      </c>
      <c r="C5" s="41" t="s">
        <v>1604</v>
      </c>
      <c r="D5" s="42" t="s">
        <v>54</v>
      </c>
      <c r="E5" s="43">
        <v>2</v>
      </c>
      <c r="F5" s="42">
        <v>2</v>
      </c>
      <c r="G5" s="44">
        <f t="shared" ref="G5:G22" si="0">SUM(F5:F5)*$F$2</f>
        <v>38</v>
      </c>
      <c r="H5" s="431">
        <f t="shared" ref="H5:H22" si="1">(G5)*$C$28/60</f>
        <v>31.666666666666668</v>
      </c>
      <c r="I5" s="47" t="s">
        <v>20</v>
      </c>
      <c r="J5" s="46" t="s">
        <v>232</v>
      </c>
    </row>
    <row r="6" spans="1:12" x14ac:dyDescent="0.25">
      <c r="A6" s="504"/>
      <c r="B6" s="40" t="s">
        <v>1605</v>
      </c>
      <c r="C6" s="41" t="s">
        <v>1606</v>
      </c>
      <c r="D6" s="42" t="s">
        <v>54</v>
      </c>
      <c r="E6" s="43">
        <v>2</v>
      </c>
      <c r="F6" s="42">
        <v>4</v>
      </c>
      <c r="G6" s="44">
        <f t="shared" si="0"/>
        <v>76</v>
      </c>
      <c r="H6" s="431">
        <f t="shared" si="1"/>
        <v>63.333333333333336</v>
      </c>
      <c r="I6" s="47" t="s">
        <v>1213</v>
      </c>
      <c r="J6" s="46" t="s">
        <v>232</v>
      </c>
    </row>
    <row r="7" spans="1:12" x14ac:dyDescent="0.25">
      <c r="A7" s="504"/>
      <c r="B7" s="40" t="s">
        <v>320</v>
      </c>
      <c r="C7" s="41" t="s">
        <v>1607</v>
      </c>
      <c r="D7" s="42" t="s">
        <v>60</v>
      </c>
      <c r="E7" s="43">
        <v>1</v>
      </c>
      <c r="F7" s="42">
        <v>2</v>
      </c>
      <c r="G7" s="44">
        <f t="shared" si="0"/>
        <v>38</v>
      </c>
      <c r="H7" s="431">
        <f t="shared" si="1"/>
        <v>31.666666666666668</v>
      </c>
      <c r="I7" s="47" t="s">
        <v>15</v>
      </c>
      <c r="J7" s="46" t="s">
        <v>251</v>
      </c>
    </row>
    <row r="8" spans="1:12" x14ac:dyDescent="0.25">
      <c r="A8" s="504"/>
      <c r="B8" s="40" t="s">
        <v>542</v>
      </c>
      <c r="C8" s="41" t="s">
        <v>1608</v>
      </c>
      <c r="D8" s="42" t="s">
        <v>54</v>
      </c>
      <c r="E8" s="43">
        <v>2</v>
      </c>
      <c r="F8" s="42">
        <v>4</v>
      </c>
      <c r="G8" s="44">
        <f t="shared" si="0"/>
        <v>76</v>
      </c>
      <c r="H8" s="431">
        <f t="shared" si="1"/>
        <v>63.333333333333336</v>
      </c>
      <c r="I8" s="47" t="s">
        <v>1213</v>
      </c>
      <c r="J8" s="46" t="s">
        <v>231</v>
      </c>
    </row>
    <row r="9" spans="1:12" x14ac:dyDescent="0.25">
      <c r="A9" s="504"/>
      <c r="B9" s="40" t="s">
        <v>678</v>
      </c>
      <c r="C9" s="41" t="s">
        <v>1609</v>
      </c>
      <c r="D9" s="42" t="s">
        <v>54</v>
      </c>
      <c r="E9" s="43">
        <v>2</v>
      </c>
      <c r="F9" s="42">
        <v>4</v>
      </c>
      <c r="G9" s="44">
        <f t="shared" si="0"/>
        <v>76</v>
      </c>
      <c r="H9" s="431">
        <f t="shared" si="1"/>
        <v>63.333333333333336</v>
      </c>
      <c r="I9" s="47" t="s">
        <v>1213</v>
      </c>
      <c r="J9" s="46" t="s">
        <v>231</v>
      </c>
    </row>
    <row r="10" spans="1:12" ht="15.6" customHeight="1" thickBot="1" x14ac:dyDescent="0.3">
      <c r="A10" s="515"/>
      <c r="B10" s="330" t="s">
        <v>640</v>
      </c>
      <c r="C10" s="351" t="s">
        <v>1610</v>
      </c>
      <c r="D10" s="332" t="s">
        <v>54</v>
      </c>
      <c r="E10" s="352">
        <v>2</v>
      </c>
      <c r="F10" s="332">
        <v>4</v>
      </c>
      <c r="G10" s="333">
        <f t="shared" si="0"/>
        <v>76</v>
      </c>
      <c r="H10" s="480">
        <f t="shared" si="1"/>
        <v>63.333333333333336</v>
      </c>
      <c r="I10" s="335" t="s">
        <v>1213</v>
      </c>
      <c r="J10" s="336" t="s">
        <v>232</v>
      </c>
    </row>
    <row r="11" spans="1:12" ht="15.6" customHeight="1" thickBot="1" x14ac:dyDescent="0.3">
      <c r="A11" s="534" t="s">
        <v>321</v>
      </c>
      <c r="B11" s="294" t="s">
        <v>681</v>
      </c>
      <c r="C11" s="353" t="s">
        <v>1611</v>
      </c>
      <c r="D11" s="296" t="s">
        <v>54</v>
      </c>
      <c r="E11" s="481">
        <v>2</v>
      </c>
      <c r="F11" s="297">
        <v>4</v>
      </c>
      <c r="G11" s="298">
        <f t="shared" si="0"/>
        <v>76</v>
      </c>
      <c r="H11" s="482">
        <f t="shared" si="1"/>
        <v>63.333333333333336</v>
      </c>
      <c r="I11" s="300" t="s">
        <v>1189</v>
      </c>
      <c r="J11" s="338" t="s">
        <v>231</v>
      </c>
      <c r="K11" s="339"/>
      <c r="L11" s="340">
        <f>H11*E11</f>
        <v>126.66666666666667</v>
      </c>
    </row>
    <row r="12" spans="1:12" ht="15.75" thickBot="1" x14ac:dyDescent="0.3">
      <c r="A12" s="535"/>
      <c r="B12" s="40" t="s">
        <v>1612</v>
      </c>
      <c r="C12" s="48" t="s">
        <v>1613</v>
      </c>
      <c r="D12" s="42" t="s">
        <v>54</v>
      </c>
      <c r="E12" s="483">
        <v>2</v>
      </c>
      <c r="F12" s="43">
        <v>4</v>
      </c>
      <c r="G12" s="44">
        <f t="shared" si="0"/>
        <v>76</v>
      </c>
      <c r="H12" s="431">
        <f t="shared" si="1"/>
        <v>63.333333333333336</v>
      </c>
      <c r="I12" s="47" t="s">
        <v>1213</v>
      </c>
      <c r="J12" s="46" t="s">
        <v>232</v>
      </c>
      <c r="L12" s="341">
        <f t="shared" ref="L12:L22" si="2">H12*E12</f>
        <v>126.66666666666667</v>
      </c>
    </row>
    <row r="13" spans="1:12" ht="15.75" thickBot="1" x14ac:dyDescent="0.3">
      <c r="A13" s="535"/>
      <c r="B13" s="40" t="s">
        <v>585</v>
      </c>
      <c r="C13" s="48" t="s">
        <v>1614</v>
      </c>
      <c r="D13" s="42" t="s">
        <v>54</v>
      </c>
      <c r="E13" s="483">
        <v>2</v>
      </c>
      <c r="F13" s="43">
        <v>2</v>
      </c>
      <c r="G13" s="44">
        <f t="shared" si="0"/>
        <v>38</v>
      </c>
      <c r="H13" s="431">
        <f t="shared" si="1"/>
        <v>31.666666666666668</v>
      </c>
      <c r="I13" s="47" t="s">
        <v>1189</v>
      </c>
      <c r="J13" s="46" t="s">
        <v>231</v>
      </c>
      <c r="L13" s="341">
        <f t="shared" si="2"/>
        <v>63.333333333333336</v>
      </c>
    </row>
    <row r="14" spans="1:12" ht="15.75" thickBot="1" x14ac:dyDescent="0.3">
      <c r="A14" s="535"/>
      <c r="B14" s="40" t="s">
        <v>894</v>
      </c>
      <c r="C14" s="48" t="s">
        <v>1615</v>
      </c>
      <c r="D14" s="42" t="s">
        <v>54</v>
      </c>
      <c r="E14" s="483">
        <v>2</v>
      </c>
      <c r="F14" s="43">
        <v>4</v>
      </c>
      <c r="G14" s="44">
        <f t="shared" si="0"/>
        <v>76</v>
      </c>
      <c r="H14" s="431">
        <f t="shared" si="1"/>
        <v>63.333333333333336</v>
      </c>
      <c r="I14" s="47" t="s">
        <v>1213</v>
      </c>
      <c r="J14" s="46" t="s">
        <v>231</v>
      </c>
      <c r="L14" s="341">
        <f t="shared" si="2"/>
        <v>126.66666666666667</v>
      </c>
    </row>
    <row r="15" spans="1:12" ht="15.75" thickBot="1" x14ac:dyDescent="0.3">
      <c r="A15" s="535"/>
      <c r="B15" s="40" t="s">
        <v>1616</v>
      </c>
      <c r="C15" s="48" t="s">
        <v>1617</v>
      </c>
      <c r="D15" s="42" t="s">
        <v>54</v>
      </c>
      <c r="E15" s="483">
        <v>2</v>
      </c>
      <c r="F15" s="43">
        <v>4</v>
      </c>
      <c r="G15" s="44">
        <f t="shared" si="0"/>
        <v>76</v>
      </c>
      <c r="H15" s="431">
        <f t="shared" si="1"/>
        <v>63.333333333333336</v>
      </c>
      <c r="I15" s="47" t="s">
        <v>1213</v>
      </c>
      <c r="J15" s="46" t="s">
        <v>232</v>
      </c>
      <c r="L15" s="341">
        <f t="shared" si="2"/>
        <v>126.66666666666667</v>
      </c>
    </row>
    <row r="16" spans="1:12" ht="15.6" customHeight="1" thickBot="1" x14ac:dyDescent="0.3">
      <c r="A16" s="536"/>
      <c r="B16" s="302" t="s">
        <v>690</v>
      </c>
      <c r="C16" s="354" t="s">
        <v>1618</v>
      </c>
      <c r="D16" s="304" t="s">
        <v>54</v>
      </c>
      <c r="E16" s="483">
        <v>2</v>
      </c>
      <c r="F16" s="305">
        <v>4</v>
      </c>
      <c r="G16" s="306">
        <f t="shared" si="0"/>
        <v>76</v>
      </c>
      <c r="H16" s="484">
        <f t="shared" si="1"/>
        <v>63.333333333333336</v>
      </c>
      <c r="I16" s="308" t="s">
        <v>1213</v>
      </c>
      <c r="J16" s="343" t="s">
        <v>231</v>
      </c>
      <c r="K16" s="344"/>
      <c r="L16" s="345">
        <f t="shared" si="2"/>
        <v>126.66666666666667</v>
      </c>
    </row>
    <row r="17" spans="1:12" ht="15.6" customHeight="1" x14ac:dyDescent="0.25">
      <c r="A17" s="534" t="s">
        <v>323</v>
      </c>
      <c r="B17" s="294" t="s">
        <v>1619</v>
      </c>
      <c r="C17" s="353" t="s">
        <v>1620</v>
      </c>
      <c r="D17" s="296" t="s">
        <v>54</v>
      </c>
      <c r="E17" s="296">
        <v>2</v>
      </c>
      <c r="F17" s="296">
        <v>4</v>
      </c>
      <c r="G17" s="298">
        <f t="shared" si="0"/>
        <v>76</v>
      </c>
      <c r="H17" s="482">
        <f t="shared" si="1"/>
        <v>63.333333333333336</v>
      </c>
      <c r="I17" s="300" t="s">
        <v>1189</v>
      </c>
      <c r="J17" s="338" t="s">
        <v>231</v>
      </c>
      <c r="K17" s="339"/>
      <c r="L17" s="340">
        <f t="shared" si="2"/>
        <v>126.66666666666667</v>
      </c>
    </row>
    <row r="18" spans="1:12" x14ac:dyDescent="0.25">
      <c r="A18" s="535"/>
      <c r="B18" s="40" t="s">
        <v>1621</v>
      </c>
      <c r="C18" s="49" t="s">
        <v>1622</v>
      </c>
      <c r="D18" s="42" t="s">
        <v>54</v>
      </c>
      <c r="E18" s="42">
        <v>2</v>
      </c>
      <c r="F18" s="50">
        <v>2</v>
      </c>
      <c r="G18" s="44">
        <f t="shared" si="0"/>
        <v>38</v>
      </c>
      <c r="H18" s="431">
        <f t="shared" si="1"/>
        <v>31.666666666666668</v>
      </c>
      <c r="I18" s="47" t="s">
        <v>1213</v>
      </c>
      <c r="J18" s="46" t="s">
        <v>231</v>
      </c>
      <c r="L18" s="341">
        <f t="shared" si="2"/>
        <v>63.333333333333336</v>
      </c>
    </row>
    <row r="19" spans="1:12" x14ac:dyDescent="0.25">
      <c r="A19" s="535"/>
      <c r="B19" s="40" t="s">
        <v>1623</v>
      </c>
      <c r="C19" s="49" t="s">
        <v>1624</v>
      </c>
      <c r="D19" s="42" t="s">
        <v>54</v>
      </c>
      <c r="E19" s="42">
        <v>2</v>
      </c>
      <c r="F19" s="50">
        <v>4</v>
      </c>
      <c r="G19" s="44">
        <f t="shared" si="0"/>
        <v>76</v>
      </c>
      <c r="H19" s="431">
        <f t="shared" si="1"/>
        <v>63.333333333333336</v>
      </c>
      <c r="I19" s="47" t="s">
        <v>1213</v>
      </c>
      <c r="J19" s="46" t="s">
        <v>231</v>
      </c>
      <c r="L19" s="341"/>
    </row>
    <row r="20" spans="1:12" x14ac:dyDescent="0.25">
      <c r="A20" s="535"/>
      <c r="B20" s="40" t="s">
        <v>1625</v>
      </c>
      <c r="C20" s="49" t="s">
        <v>1626</v>
      </c>
      <c r="D20" s="42" t="s">
        <v>54</v>
      </c>
      <c r="E20" s="42">
        <v>2</v>
      </c>
      <c r="F20" s="50">
        <v>4</v>
      </c>
      <c r="G20" s="44">
        <f t="shared" si="0"/>
        <v>76</v>
      </c>
      <c r="H20" s="431">
        <f t="shared" si="1"/>
        <v>63.333333333333336</v>
      </c>
      <c r="I20" s="47" t="s">
        <v>1213</v>
      </c>
      <c r="J20" s="46" t="s">
        <v>231</v>
      </c>
      <c r="L20" s="341">
        <f t="shared" si="2"/>
        <v>126.66666666666667</v>
      </c>
    </row>
    <row r="21" spans="1:12" x14ac:dyDescent="0.25">
      <c r="A21" s="535"/>
      <c r="B21" s="40" t="s">
        <v>1627</v>
      </c>
      <c r="C21" s="49" t="s">
        <v>1628</v>
      </c>
      <c r="D21" s="42" t="s">
        <v>60</v>
      </c>
      <c r="E21" s="42">
        <v>1</v>
      </c>
      <c r="F21" s="50">
        <v>2</v>
      </c>
      <c r="G21" s="44">
        <f t="shared" si="0"/>
        <v>38</v>
      </c>
      <c r="H21" s="431">
        <f t="shared" si="1"/>
        <v>31.666666666666668</v>
      </c>
      <c r="I21" s="47" t="s">
        <v>315</v>
      </c>
      <c r="J21" s="46" t="s">
        <v>251</v>
      </c>
      <c r="L21" s="341">
        <f t="shared" si="2"/>
        <v>31.666666666666668</v>
      </c>
    </row>
    <row r="22" spans="1:12" ht="15.75" thickBot="1" x14ac:dyDescent="0.3">
      <c r="A22" s="536"/>
      <c r="B22" s="357" t="s">
        <v>875</v>
      </c>
      <c r="C22" s="342" t="s">
        <v>1629</v>
      </c>
      <c r="D22" s="304" t="s">
        <v>54</v>
      </c>
      <c r="E22" s="304">
        <v>2</v>
      </c>
      <c r="F22" s="304">
        <v>6</v>
      </c>
      <c r="G22" s="306">
        <f t="shared" si="0"/>
        <v>114</v>
      </c>
      <c r="H22" s="484">
        <f t="shared" si="1"/>
        <v>95</v>
      </c>
      <c r="I22" s="308" t="s">
        <v>1213</v>
      </c>
      <c r="J22" s="343" t="s">
        <v>232</v>
      </c>
      <c r="K22" s="344"/>
      <c r="L22" s="345">
        <f t="shared" si="2"/>
        <v>190</v>
      </c>
    </row>
    <row r="23" spans="1:12" ht="16.5" thickBot="1" x14ac:dyDescent="0.3">
      <c r="A23" s="62" t="s">
        <v>302</v>
      </c>
      <c r="B23" s="76"/>
      <c r="C23" s="76"/>
      <c r="D23" s="76"/>
      <c r="E23" s="355"/>
      <c r="F23" s="350">
        <f>SUM(F5:F22)</f>
        <v>64</v>
      </c>
      <c r="G23" s="350">
        <f>SUM(G5:G22)</f>
        <v>1216</v>
      </c>
      <c r="H23" s="356"/>
      <c r="I23" s="36"/>
    </row>
    <row r="24" spans="1:12" ht="16.5" thickBot="1" x14ac:dyDescent="0.3">
      <c r="A24" s="61" t="s">
        <v>303</v>
      </c>
      <c r="B24" s="63"/>
      <c r="C24" s="63"/>
      <c r="D24" s="63"/>
      <c r="E24" s="64"/>
      <c r="F24" s="55">
        <f>(F23*$F$2*$C$28)/60</f>
        <v>1013.3333333333334</v>
      </c>
      <c r="G24" s="53" t="s">
        <v>304</v>
      </c>
      <c r="H24" s="55">
        <f>SUM(H5:H22)</f>
        <v>1013.3333333333335</v>
      </c>
      <c r="I24" s="36"/>
    </row>
    <row r="25" spans="1:12" ht="16.5" thickBot="1" x14ac:dyDescent="0.3">
      <c r="A25" s="61" t="s">
        <v>305</v>
      </c>
      <c r="B25" s="63"/>
      <c r="C25" s="63"/>
      <c r="D25" s="63"/>
      <c r="E25" s="63"/>
      <c r="F25" s="63"/>
      <c r="G25" s="64"/>
      <c r="H25" s="56">
        <f>H24</f>
        <v>1013.3333333333335</v>
      </c>
      <c r="I25" s="57"/>
    </row>
    <row r="26" spans="1:12" ht="16.5" thickBot="1" x14ac:dyDescent="0.3">
      <c r="A26" s="533" t="s">
        <v>306</v>
      </c>
      <c r="B26" s="533"/>
      <c r="C26" s="533"/>
      <c r="D26" s="533"/>
      <c r="E26" s="533"/>
      <c r="F26" s="533"/>
      <c r="G26" s="533"/>
      <c r="H26" s="58">
        <v>360</v>
      </c>
      <c r="I26" s="36"/>
    </row>
    <row r="27" spans="1:12" ht="16.5" thickBot="1" x14ac:dyDescent="0.3">
      <c r="A27" s="62" t="s">
        <v>308</v>
      </c>
      <c r="B27" s="76"/>
      <c r="C27" s="77"/>
      <c r="D27" s="77"/>
      <c r="E27" s="77"/>
      <c r="F27" s="77"/>
      <c r="G27" s="77"/>
      <c r="H27" s="55">
        <f>H25+H26</f>
        <v>1373.3333333333335</v>
      </c>
      <c r="I27" s="36"/>
    </row>
    <row r="28" spans="1:12" ht="15.75" x14ac:dyDescent="0.25">
      <c r="A28" s="532" t="s">
        <v>309</v>
      </c>
      <c r="B28" s="532"/>
      <c r="C28" s="78">
        <v>50</v>
      </c>
      <c r="D28" s="79" t="s">
        <v>310</v>
      </c>
      <c r="E28" s="79"/>
      <c r="F28" s="79"/>
      <c r="G28" s="79"/>
      <c r="H28" s="80"/>
      <c r="I28" s="36"/>
    </row>
    <row r="30" spans="1:12" x14ac:dyDescent="0.25">
      <c r="F30" s="219">
        <f>SUMPRODUCT(H5:H21,E5:E21)/F23</f>
        <v>27.708333333333339</v>
      </c>
    </row>
  </sheetData>
  <mergeCells count="10">
    <mergeCell ref="I3:I4"/>
    <mergeCell ref="J3:J4"/>
    <mergeCell ref="A5:A10"/>
    <mergeCell ref="A11:A16"/>
    <mergeCell ref="A17:A22"/>
    <mergeCell ref="A26:G26"/>
    <mergeCell ref="A28:B28"/>
    <mergeCell ref="A2:E2"/>
    <mergeCell ref="B3:B4"/>
    <mergeCell ref="C3:C4"/>
  </mergeCells>
  <dataValidations count="2">
    <dataValidation type="list" allowBlank="1" showInputMessage="1" showErrorMessage="1" sqref="J1:J1048576" xr:uid="{86B2C46C-7542-4295-94C2-3C6465A37C3C}">
      <formula1>Ambientes</formula1>
    </dataValidation>
    <dataValidation type="list" allowBlank="1" showInputMessage="1" showErrorMessage="1" sqref="I1:I1048576" xr:uid="{6CDD74DD-31E7-4438-B27D-DEC412089577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92B34-7A37-446E-885E-85F90DF31C18}">
  <sheetPr codeName="Planilha53">
    <tabColor theme="9" tint="-0.249977111117893"/>
  </sheetPr>
  <dimension ref="A1:L34"/>
  <sheetViews>
    <sheetView topLeftCell="A7" zoomScale="80" zoomScaleNormal="80" workbookViewId="0">
      <selection activeCell="I36" sqref="I36"/>
    </sheetView>
  </sheetViews>
  <sheetFormatPr defaultColWidth="8.85546875" defaultRowHeight="15" x14ac:dyDescent="0.25"/>
  <cols>
    <col min="2" max="2" width="47.5703125" customWidth="1"/>
    <col min="3" max="3" width="12.7109375" customWidth="1"/>
    <col min="9" max="9" width="15.42578125" bestFit="1" customWidth="1"/>
    <col min="10" max="10" width="26.5703125" bestFit="1" customWidth="1"/>
  </cols>
  <sheetData>
    <row r="1" spans="1:12" ht="15.75" thickBot="1" x14ac:dyDescent="0.3">
      <c r="A1" t="s">
        <v>711</v>
      </c>
    </row>
    <row r="2" spans="1:12" ht="33.75" thickBot="1" x14ac:dyDescent="0.3">
      <c r="F2" s="119" t="s">
        <v>48</v>
      </c>
    </row>
    <row r="3" spans="1:12" ht="29.2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2" ht="15" customHeight="1" thickBot="1" x14ac:dyDescent="0.3">
      <c r="A4" s="537" t="s">
        <v>51</v>
      </c>
      <c r="B4" s="470" t="s">
        <v>1564</v>
      </c>
      <c r="C4" s="458" t="s">
        <v>1565</v>
      </c>
      <c r="D4" s="10" t="s">
        <v>60</v>
      </c>
      <c r="E4" s="458">
        <v>1</v>
      </c>
      <c r="F4" s="459">
        <v>4</v>
      </c>
      <c r="G4" s="12">
        <f>$E$34*F4</f>
        <v>76</v>
      </c>
      <c r="H4" s="13">
        <f>ROUND(G4*$C$34/60,1)</f>
        <v>63.3</v>
      </c>
      <c r="I4" s="124" t="s">
        <v>20</v>
      </c>
      <c r="J4" s="125" t="s">
        <v>230</v>
      </c>
    </row>
    <row r="5" spans="1:12" ht="28.15" customHeight="1" thickBot="1" x14ac:dyDescent="0.3">
      <c r="A5" s="538"/>
      <c r="B5" s="471" t="s">
        <v>1566</v>
      </c>
      <c r="C5" s="472" t="s">
        <v>1567</v>
      </c>
      <c r="D5" s="16" t="s">
        <v>57</v>
      </c>
      <c r="E5" s="472">
        <v>1</v>
      </c>
      <c r="F5" s="473">
        <v>4</v>
      </c>
      <c r="G5" s="12">
        <f t="shared" ref="G5:G29" si="0">$E$34*F5</f>
        <v>76</v>
      </c>
      <c r="H5" s="13">
        <f t="shared" ref="H5:H29" si="1">ROUND(G5*$C$34/60,1)</f>
        <v>63.3</v>
      </c>
      <c r="I5" s="474" t="s">
        <v>20</v>
      </c>
      <c r="J5" s="129" t="s">
        <v>232</v>
      </c>
      <c r="L5" s="436">
        <f>SUM(H4:H9)</f>
        <v>316.59999999999997</v>
      </c>
    </row>
    <row r="6" spans="1:12" ht="28.15" customHeight="1" thickBot="1" x14ac:dyDescent="0.3">
      <c r="A6" s="538"/>
      <c r="B6" s="471" t="s">
        <v>71</v>
      </c>
      <c r="C6" s="472" t="s">
        <v>1568</v>
      </c>
      <c r="D6" s="16" t="s">
        <v>60</v>
      </c>
      <c r="E6" s="472">
        <v>1</v>
      </c>
      <c r="F6" s="473">
        <v>4</v>
      </c>
      <c r="G6" s="12">
        <f t="shared" si="0"/>
        <v>76</v>
      </c>
      <c r="H6" s="13">
        <f t="shared" si="1"/>
        <v>63.3</v>
      </c>
      <c r="I6" s="474" t="s">
        <v>20</v>
      </c>
      <c r="J6" s="129" t="s">
        <v>230</v>
      </c>
    </row>
    <row r="7" spans="1:12" ht="28.15" customHeight="1" thickBot="1" x14ac:dyDescent="0.3">
      <c r="A7" s="538"/>
      <c r="B7" s="471" t="s">
        <v>712</v>
      </c>
      <c r="C7" s="472" t="s">
        <v>1569</v>
      </c>
      <c r="D7" s="16" t="s">
        <v>57</v>
      </c>
      <c r="E7" s="472">
        <v>1</v>
      </c>
      <c r="F7" s="473">
        <v>4</v>
      </c>
      <c r="G7" s="12">
        <f t="shared" si="0"/>
        <v>76</v>
      </c>
      <c r="H7" s="13">
        <f t="shared" si="1"/>
        <v>63.3</v>
      </c>
      <c r="I7" s="474" t="s">
        <v>20</v>
      </c>
      <c r="J7" s="129" t="s">
        <v>232</v>
      </c>
    </row>
    <row r="8" spans="1:12" ht="15.75" thickBot="1" x14ac:dyDescent="0.3">
      <c r="A8" s="538"/>
      <c r="B8" s="471" t="s">
        <v>1570</v>
      </c>
      <c r="C8" s="472" t="s">
        <v>1571</v>
      </c>
      <c r="D8" s="16" t="s">
        <v>60</v>
      </c>
      <c r="E8" s="472">
        <v>1</v>
      </c>
      <c r="F8" s="473">
        <v>2</v>
      </c>
      <c r="G8" s="12">
        <f t="shared" si="0"/>
        <v>38</v>
      </c>
      <c r="H8" s="13">
        <f t="shared" si="1"/>
        <v>31.7</v>
      </c>
      <c r="I8" s="474" t="s">
        <v>21</v>
      </c>
      <c r="J8" s="129" t="s">
        <v>230</v>
      </c>
    </row>
    <row r="9" spans="1:12" ht="29.25" thickBot="1" x14ac:dyDescent="0.3">
      <c r="A9" s="539"/>
      <c r="B9" s="471" t="s">
        <v>1572</v>
      </c>
      <c r="C9" s="472" t="s">
        <v>1573</v>
      </c>
      <c r="D9" s="287" t="s">
        <v>60</v>
      </c>
      <c r="E9" s="472">
        <v>1</v>
      </c>
      <c r="F9" s="473">
        <v>2</v>
      </c>
      <c r="G9" s="12">
        <f t="shared" si="0"/>
        <v>38</v>
      </c>
      <c r="H9" s="13">
        <f t="shared" si="1"/>
        <v>31.7</v>
      </c>
      <c r="I9" s="475" t="s">
        <v>14</v>
      </c>
      <c r="J9" s="476" t="s">
        <v>230</v>
      </c>
    </row>
    <row r="10" spans="1:12" ht="15" customHeight="1" thickBot="1" x14ac:dyDescent="0.3">
      <c r="A10" s="537" t="s">
        <v>67</v>
      </c>
      <c r="B10" s="470" t="s">
        <v>1574</v>
      </c>
      <c r="C10" s="458" t="s">
        <v>1575</v>
      </c>
      <c r="D10" s="10" t="s">
        <v>60</v>
      </c>
      <c r="E10" s="458">
        <v>1</v>
      </c>
      <c r="F10" s="459">
        <v>2</v>
      </c>
      <c r="G10" s="12">
        <f t="shared" si="0"/>
        <v>38</v>
      </c>
      <c r="H10" s="13">
        <f t="shared" si="1"/>
        <v>31.7</v>
      </c>
      <c r="I10" s="124" t="s">
        <v>20</v>
      </c>
      <c r="J10" s="125" t="s">
        <v>230</v>
      </c>
    </row>
    <row r="11" spans="1:12" ht="28.15" customHeight="1" thickBot="1" x14ac:dyDescent="0.3">
      <c r="A11" s="540"/>
      <c r="B11" s="471" t="s">
        <v>1576</v>
      </c>
      <c r="C11" s="472" t="s">
        <v>1577</v>
      </c>
      <c r="D11" s="142" t="s">
        <v>57</v>
      </c>
      <c r="E11" s="472">
        <v>1</v>
      </c>
      <c r="F11" s="473">
        <v>2</v>
      </c>
      <c r="G11" s="12">
        <f t="shared" si="0"/>
        <v>38</v>
      </c>
      <c r="H11" s="13">
        <f t="shared" si="1"/>
        <v>31.7</v>
      </c>
      <c r="I11" s="144" t="s">
        <v>20</v>
      </c>
      <c r="J11" s="145" t="s">
        <v>232</v>
      </c>
    </row>
    <row r="12" spans="1:12" ht="28.15" customHeight="1" thickBot="1" x14ac:dyDescent="0.3">
      <c r="A12" s="540"/>
      <c r="B12" s="471" t="s">
        <v>87</v>
      </c>
      <c r="C12" s="472" t="s">
        <v>1370</v>
      </c>
      <c r="D12" s="142" t="s">
        <v>57</v>
      </c>
      <c r="E12" s="472">
        <v>1</v>
      </c>
      <c r="F12" s="473">
        <v>4</v>
      </c>
      <c r="G12" s="12">
        <f t="shared" si="0"/>
        <v>76</v>
      </c>
      <c r="H12" s="13">
        <f t="shared" si="1"/>
        <v>63.3</v>
      </c>
      <c r="I12" s="144" t="s">
        <v>20</v>
      </c>
      <c r="J12" s="145" t="s">
        <v>231</v>
      </c>
    </row>
    <row r="13" spans="1:12" ht="28.15" customHeight="1" thickBot="1" x14ac:dyDescent="0.3">
      <c r="A13" s="540"/>
      <c r="B13" s="471" t="s">
        <v>89</v>
      </c>
      <c r="C13" s="472" t="s">
        <v>1372</v>
      </c>
      <c r="D13" s="142" t="s">
        <v>60</v>
      </c>
      <c r="E13" s="472">
        <v>1</v>
      </c>
      <c r="F13" s="473">
        <v>2</v>
      </c>
      <c r="G13" s="12">
        <f t="shared" si="0"/>
        <v>38</v>
      </c>
      <c r="H13" s="13">
        <f t="shared" si="1"/>
        <v>31.7</v>
      </c>
      <c r="I13" s="144" t="s">
        <v>20</v>
      </c>
      <c r="J13" s="145" t="s">
        <v>230</v>
      </c>
    </row>
    <row r="14" spans="1:12" ht="28.15" customHeight="1" thickBot="1" x14ac:dyDescent="0.3">
      <c r="A14" s="538"/>
      <c r="B14" s="471" t="s">
        <v>1189</v>
      </c>
      <c r="C14" s="472" t="s">
        <v>1578</v>
      </c>
      <c r="D14" s="16" t="s">
        <v>60</v>
      </c>
      <c r="E14" s="472">
        <v>1</v>
      </c>
      <c r="F14" s="473">
        <v>2</v>
      </c>
      <c r="G14" s="12">
        <f t="shared" si="0"/>
        <v>38</v>
      </c>
      <c r="H14" s="13">
        <f t="shared" si="1"/>
        <v>31.7</v>
      </c>
      <c r="I14" s="474" t="s">
        <v>20</v>
      </c>
      <c r="J14" s="129" t="s">
        <v>230</v>
      </c>
    </row>
    <row r="15" spans="1:12" ht="15.75" thickBot="1" x14ac:dyDescent="0.3">
      <c r="A15" s="538"/>
      <c r="B15" s="471" t="s">
        <v>738</v>
      </c>
      <c r="C15" s="472" t="s">
        <v>1579</v>
      </c>
      <c r="D15" s="16" t="s">
        <v>60</v>
      </c>
      <c r="E15" s="472">
        <v>1</v>
      </c>
      <c r="F15" s="473">
        <v>2</v>
      </c>
      <c r="G15" s="12">
        <f t="shared" si="0"/>
        <v>38</v>
      </c>
      <c r="H15" s="13">
        <f t="shared" si="1"/>
        <v>31.7</v>
      </c>
      <c r="I15" s="474" t="s">
        <v>20</v>
      </c>
      <c r="J15" s="129" t="s">
        <v>230</v>
      </c>
    </row>
    <row r="16" spans="1:12" ht="15" customHeight="1" thickBot="1" x14ac:dyDescent="0.3">
      <c r="A16" s="538"/>
      <c r="B16" s="471" t="s">
        <v>1580</v>
      </c>
      <c r="C16" s="472" t="s">
        <v>1581</v>
      </c>
      <c r="D16" s="16" t="s">
        <v>60</v>
      </c>
      <c r="E16" s="472">
        <v>1</v>
      </c>
      <c r="F16" s="473">
        <v>2</v>
      </c>
      <c r="G16" s="12">
        <f t="shared" si="0"/>
        <v>38</v>
      </c>
      <c r="H16" s="13">
        <f t="shared" si="1"/>
        <v>31.7</v>
      </c>
      <c r="I16" s="474" t="s">
        <v>15</v>
      </c>
      <c r="J16" s="129" t="s">
        <v>230</v>
      </c>
    </row>
    <row r="17" spans="1:10" ht="15.75" thickBot="1" x14ac:dyDescent="0.3">
      <c r="A17" s="541"/>
      <c r="B17" s="477" t="s">
        <v>1582</v>
      </c>
      <c r="C17" s="472" t="s">
        <v>1583</v>
      </c>
      <c r="D17" s="22" t="s">
        <v>57</v>
      </c>
      <c r="E17" s="472">
        <v>1</v>
      </c>
      <c r="F17" s="473">
        <v>4</v>
      </c>
      <c r="G17" s="12">
        <f t="shared" si="0"/>
        <v>76</v>
      </c>
      <c r="H17" s="13">
        <f t="shared" si="1"/>
        <v>63.3</v>
      </c>
      <c r="I17" s="138" t="s">
        <v>20</v>
      </c>
      <c r="J17" s="139" t="s">
        <v>232</v>
      </c>
    </row>
    <row r="18" spans="1:10" ht="15.75" thickBot="1" x14ac:dyDescent="0.3">
      <c r="A18" s="537" t="s">
        <v>85</v>
      </c>
      <c r="B18" s="470" t="s">
        <v>1584</v>
      </c>
      <c r="C18" s="458" t="s">
        <v>1585</v>
      </c>
      <c r="D18" s="10" t="s">
        <v>57</v>
      </c>
      <c r="E18" s="458">
        <v>1</v>
      </c>
      <c r="F18" s="459">
        <v>4</v>
      </c>
      <c r="G18" s="12">
        <f t="shared" si="0"/>
        <v>76</v>
      </c>
      <c r="H18" s="13">
        <f t="shared" si="1"/>
        <v>63.3</v>
      </c>
      <c r="I18" s="124" t="s">
        <v>20</v>
      </c>
      <c r="J18" s="125" t="s">
        <v>232</v>
      </c>
    </row>
    <row r="19" spans="1:10" ht="15.75" thickBot="1" x14ac:dyDescent="0.3">
      <c r="A19" s="538"/>
      <c r="B19" s="471" t="s">
        <v>713</v>
      </c>
      <c r="C19" s="472" t="s">
        <v>1586</v>
      </c>
      <c r="D19" s="16" t="s">
        <v>57</v>
      </c>
      <c r="E19" s="472">
        <v>1</v>
      </c>
      <c r="F19" s="473">
        <v>2</v>
      </c>
      <c r="G19" s="12">
        <f t="shared" si="0"/>
        <v>38</v>
      </c>
      <c r="H19" s="13">
        <f t="shared" si="1"/>
        <v>31.7</v>
      </c>
      <c r="I19" s="474" t="s">
        <v>20</v>
      </c>
      <c r="J19" s="129" t="s">
        <v>231</v>
      </c>
    </row>
    <row r="20" spans="1:10" ht="15.75" thickBot="1" x14ac:dyDescent="0.3">
      <c r="A20" s="538"/>
      <c r="B20" s="471" t="s">
        <v>1587</v>
      </c>
      <c r="C20" s="472" t="s">
        <v>1588</v>
      </c>
      <c r="D20" s="16" t="s">
        <v>57</v>
      </c>
      <c r="E20" s="472">
        <v>1</v>
      </c>
      <c r="F20" s="473">
        <v>4</v>
      </c>
      <c r="G20" s="12">
        <f t="shared" si="0"/>
        <v>76</v>
      </c>
      <c r="H20" s="13">
        <f t="shared" si="1"/>
        <v>63.3</v>
      </c>
      <c r="I20" s="474" t="s">
        <v>20</v>
      </c>
      <c r="J20" s="129" t="s">
        <v>232</v>
      </c>
    </row>
    <row r="21" spans="1:10" ht="15.75" thickBot="1" x14ac:dyDescent="0.3">
      <c r="A21" s="538"/>
      <c r="B21" s="471" t="s">
        <v>101</v>
      </c>
      <c r="C21" s="472" t="s">
        <v>1589</v>
      </c>
      <c r="D21" s="16" t="s">
        <v>60</v>
      </c>
      <c r="E21" s="472">
        <v>1</v>
      </c>
      <c r="F21" s="473">
        <v>2</v>
      </c>
      <c r="G21" s="12">
        <f t="shared" si="0"/>
        <v>38</v>
      </c>
      <c r="H21" s="13">
        <f t="shared" si="1"/>
        <v>31.7</v>
      </c>
      <c r="I21" s="474" t="s">
        <v>20</v>
      </c>
      <c r="J21" s="129" t="s">
        <v>230</v>
      </c>
    </row>
    <row r="22" spans="1:10" ht="15.75" thickBot="1" x14ac:dyDescent="0.3">
      <c r="A22" s="538"/>
      <c r="B22" s="471" t="s">
        <v>103</v>
      </c>
      <c r="C22" s="472" t="s">
        <v>1590</v>
      </c>
      <c r="D22" s="16" t="s">
        <v>57</v>
      </c>
      <c r="E22" s="472">
        <v>1</v>
      </c>
      <c r="F22" s="473">
        <v>2</v>
      </c>
      <c r="G22" s="12">
        <f t="shared" si="0"/>
        <v>38</v>
      </c>
      <c r="H22" s="13">
        <f t="shared" si="1"/>
        <v>31.7</v>
      </c>
      <c r="I22" s="474" t="s">
        <v>20</v>
      </c>
      <c r="J22" s="129" t="s">
        <v>232</v>
      </c>
    </row>
    <row r="23" spans="1:10" ht="15" customHeight="1" thickBot="1" x14ac:dyDescent="0.3">
      <c r="A23" s="538"/>
      <c r="B23" s="471" t="s">
        <v>595</v>
      </c>
      <c r="C23" s="472" t="s">
        <v>1591</v>
      </c>
      <c r="D23" s="16" t="s">
        <v>57</v>
      </c>
      <c r="E23" s="472">
        <v>1</v>
      </c>
      <c r="F23" s="473">
        <v>2</v>
      </c>
      <c r="G23" s="12">
        <f t="shared" si="0"/>
        <v>38</v>
      </c>
      <c r="H23" s="13">
        <f t="shared" si="1"/>
        <v>31.7</v>
      </c>
      <c r="I23" s="474" t="s">
        <v>315</v>
      </c>
      <c r="J23" s="129" t="s">
        <v>232</v>
      </c>
    </row>
    <row r="24" spans="1:10" ht="15.75" thickBot="1" x14ac:dyDescent="0.3">
      <c r="A24" s="541"/>
      <c r="B24" s="471" t="s">
        <v>1592</v>
      </c>
      <c r="C24" s="472" t="s">
        <v>1593</v>
      </c>
      <c r="D24" s="22" t="s">
        <v>57</v>
      </c>
      <c r="E24" s="472">
        <v>1</v>
      </c>
      <c r="F24" s="473">
        <v>4</v>
      </c>
      <c r="G24" s="12">
        <f t="shared" si="0"/>
        <v>76</v>
      </c>
      <c r="H24" s="13">
        <f t="shared" si="1"/>
        <v>63.3</v>
      </c>
      <c r="I24" s="138" t="s">
        <v>20</v>
      </c>
      <c r="J24" s="139" t="s">
        <v>231</v>
      </c>
    </row>
    <row r="25" spans="1:10" ht="15.75" thickBot="1" x14ac:dyDescent="0.3">
      <c r="A25" s="537" t="s">
        <v>99</v>
      </c>
      <c r="B25" s="470" t="s">
        <v>721</v>
      </c>
      <c r="C25" s="458" t="s">
        <v>1594</v>
      </c>
      <c r="D25" s="10" t="s">
        <v>57</v>
      </c>
      <c r="E25" s="458">
        <v>1</v>
      </c>
      <c r="F25" s="459">
        <v>4</v>
      </c>
      <c r="G25" s="12">
        <f t="shared" si="0"/>
        <v>76</v>
      </c>
      <c r="H25" s="13">
        <f t="shared" si="1"/>
        <v>63.3</v>
      </c>
      <c r="I25" s="124" t="s">
        <v>20</v>
      </c>
      <c r="J25" s="125" t="s">
        <v>231</v>
      </c>
    </row>
    <row r="26" spans="1:10" ht="15.75" thickBot="1" x14ac:dyDescent="0.3">
      <c r="A26" s="538"/>
      <c r="B26" s="471" t="s">
        <v>322</v>
      </c>
      <c r="C26" s="472" t="s">
        <v>1595</v>
      </c>
      <c r="D26" s="16" t="s">
        <v>57</v>
      </c>
      <c r="E26" s="472">
        <v>1</v>
      </c>
      <c r="F26" s="473">
        <v>4</v>
      </c>
      <c r="G26" s="12">
        <f t="shared" si="0"/>
        <v>76</v>
      </c>
      <c r="H26" s="13">
        <f t="shared" si="1"/>
        <v>63.3</v>
      </c>
      <c r="I26" s="474" t="s">
        <v>20</v>
      </c>
      <c r="J26" s="129" t="s">
        <v>233</v>
      </c>
    </row>
    <row r="27" spans="1:10" ht="15.75" thickBot="1" x14ac:dyDescent="0.3">
      <c r="A27" s="538"/>
      <c r="B27" s="471" t="s">
        <v>1596</v>
      </c>
      <c r="C27" s="472" t="s">
        <v>1597</v>
      </c>
      <c r="D27" s="16" t="s">
        <v>57</v>
      </c>
      <c r="E27" s="472">
        <v>1</v>
      </c>
      <c r="F27" s="473">
        <v>4</v>
      </c>
      <c r="G27" s="12">
        <f t="shared" si="0"/>
        <v>76</v>
      </c>
      <c r="H27" s="13">
        <f t="shared" si="1"/>
        <v>63.3</v>
      </c>
      <c r="I27" s="474" t="s">
        <v>20</v>
      </c>
      <c r="J27" s="129" t="s">
        <v>231</v>
      </c>
    </row>
    <row r="28" spans="1:10" ht="15.75" thickBot="1" x14ac:dyDescent="0.3">
      <c r="A28" s="538"/>
      <c r="B28" s="471" t="s">
        <v>722</v>
      </c>
      <c r="C28" s="472" t="s">
        <v>1598</v>
      </c>
      <c r="D28" s="16" t="s">
        <v>57</v>
      </c>
      <c r="E28" s="472">
        <v>1</v>
      </c>
      <c r="F28" s="473">
        <v>4</v>
      </c>
      <c r="G28" s="12">
        <f t="shared" si="0"/>
        <v>76</v>
      </c>
      <c r="H28" s="13">
        <f t="shared" si="1"/>
        <v>63.3</v>
      </c>
      <c r="I28" s="474" t="s">
        <v>20</v>
      </c>
      <c r="J28" s="129" t="s">
        <v>232</v>
      </c>
    </row>
    <row r="29" spans="1:10" ht="17.25" thickBot="1" x14ac:dyDescent="0.3">
      <c r="A29" s="541"/>
      <c r="B29" s="471" t="s">
        <v>1599</v>
      </c>
      <c r="C29" s="472" t="s">
        <v>1600</v>
      </c>
      <c r="D29" s="22" t="s">
        <v>57</v>
      </c>
      <c r="E29" s="472">
        <v>1</v>
      </c>
      <c r="F29" s="473">
        <v>4</v>
      </c>
      <c r="G29" s="12">
        <f t="shared" si="0"/>
        <v>76</v>
      </c>
      <c r="H29" s="13">
        <f t="shared" si="1"/>
        <v>63.3</v>
      </c>
      <c r="I29" s="138" t="s">
        <v>20</v>
      </c>
      <c r="J29" s="139" t="s">
        <v>231</v>
      </c>
    </row>
    <row r="30" spans="1:10" ht="16.5" thickBot="1" x14ac:dyDescent="0.3">
      <c r="A30" s="508" t="s">
        <v>303</v>
      </c>
      <c r="B30" s="508"/>
      <c r="C30" s="508"/>
      <c r="D30" s="508"/>
      <c r="E30" s="508"/>
      <c r="F30" s="55">
        <f>SUM(F4:F29)</f>
        <v>80</v>
      </c>
      <c r="G30" s="55">
        <f>SUM(G4:G29)</f>
        <v>1520</v>
      </c>
      <c r="H30" s="55">
        <f>SUM(H4:H29)</f>
        <v>1266.5999999999999</v>
      </c>
      <c r="I30" s="36"/>
    </row>
    <row r="31" spans="1:10" ht="16.5" thickBot="1" x14ac:dyDescent="0.3">
      <c r="A31" s="61" t="s">
        <v>305</v>
      </c>
      <c r="B31" s="63"/>
      <c r="C31" s="63"/>
      <c r="D31" s="63"/>
      <c r="E31" s="63"/>
      <c r="F31" s="63"/>
      <c r="G31" s="64"/>
      <c r="H31" s="56">
        <f>H30</f>
        <v>1266.5999999999999</v>
      </c>
      <c r="I31" s="57"/>
    </row>
    <row r="32" spans="1:10" ht="16.5" thickBot="1" x14ac:dyDescent="0.3">
      <c r="A32" s="61" t="s">
        <v>306</v>
      </c>
      <c r="B32" s="63"/>
      <c r="C32" s="63"/>
      <c r="D32" s="63"/>
      <c r="E32" s="63"/>
      <c r="F32" s="63"/>
      <c r="G32" s="75"/>
      <c r="H32" s="58">
        <v>360</v>
      </c>
      <c r="I32" s="36"/>
    </row>
    <row r="33" spans="1:9" ht="16.5" thickBot="1" x14ac:dyDescent="0.3">
      <c r="A33" s="62" t="s">
        <v>308</v>
      </c>
      <c r="B33" s="76"/>
      <c r="C33" s="77"/>
      <c r="D33" s="77"/>
      <c r="E33" s="77"/>
      <c r="F33" s="77"/>
      <c r="G33" s="77"/>
      <c r="H33" s="55">
        <f>SUM(H31+H32)</f>
        <v>1626.6</v>
      </c>
      <c r="I33" s="36"/>
    </row>
    <row r="34" spans="1:9" ht="15.75" x14ac:dyDescent="0.25">
      <c r="A34" s="532" t="s">
        <v>309</v>
      </c>
      <c r="B34" s="532"/>
      <c r="C34" s="78">
        <v>50</v>
      </c>
      <c r="D34" s="79" t="s">
        <v>310</v>
      </c>
      <c r="E34" s="79">
        <v>19</v>
      </c>
      <c r="F34" s="79"/>
      <c r="G34" s="79"/>
      <c r="H34" s="80"/>
      <c r="I34" s="36"/>
    </row>
  </sheetData>
  <mergeCells count="6">
    <mergeCell ref="A34:B34"/>
    <mergeCell ref="A4:A9"/>
    <mergeCell ref="A10:A17"/>
    <mergeCell ref="A18:A24"/>
    <mergeCell ref="A25:A29"/>
    <mergeCell ref="A30:E30"/>
  </mergeCells>
  <dataValidations count="2">
    <dataValidation type="list" allowBlank="1" showInputMessage="1" showErrorMessage="1" sqref="J4:J29" xr:uid="{021A8302-288E-46BD-8B7F-530C04CE7C7E}">
      <formula1>Ambientes</formula1>
    </dataValidation>
    <dataValidation type="list" allowBlank="1" showInputMessage="1" showErrorMessage="1" sqref="I4:I28" xr:uid="{E2A18816-85BB-436A-91B7-41FCDC9D3B89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26500-A2AB-44D5-971D-7CFBB0B6953C}">
  <sheetPr codeName="Planilha55">
    <tabColor theme="7" tint="-0.249977111117893"/>
  </sheetPr>
  <dimension ref="A1:J29"/>
  <sheetViews>
    <sheetView topLeftCell="A4" workbookViewId="0">
      <selection activeCell="I36" sqref="I36"/>
    </sheetView>
  </sheetViews>
  <sheetFormatPr defaultColWidth="8.85546875" defaultRowHeight="15" x14ac:dyDescent="0.25"/>
  <cols>
    <col min="2" max="2" width="31.7109375" customWidth="1"/>
    <col min="3" max="3" width="12.710937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1184</v>
      </c>
      <c r="B2" s="513"/>
      <c r="C2" s="513"/>
      <c r="D2" s="513"/>
      <c r="E2" s="513"/>
      <c r="F2" s="38">
        <v>19</v>
      </c>
      <c r="G2" s="38"/>
      <c r="H2" s="38"/>
      <c r="I2" s="36"/>
    </row>
    <row r="3" spans="1:10" ht="15.75" thickBot="1" x14ac:dyDescent="0.3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ht="15.75" thickBot="1" x14ac:dyDescent="0.3">
      <c r="A4" s="65"/>
      <c r="B4" s="514"/>
      <c r="C4" s="514"/>
      <c r="D4" s="39" t="s">
        <v>244</v>
      </c>
      <c r="E4" s="458"/>
      <c r="F4" s="459"/>
      <c r="G4" s="39" t="s">
        <v>247</v>
      </c>
      <c r="H4" s="39" t="s">
        <v>248</v>
      </c>
      <c r="I4" s="514"/>
      <c r="J4" s="514"/>
    </row>
    <row r="5" spans="1:10" ht="24.75" thickBot="1" x14ac:dyDescent="0.3">
      <c r="A5" s="515" t="s">
        <v>318</v>
      </c>
      <c r="B5" s="464" t="s">
        <v>1540</v>
      </c>
      <c r="C5" s="465" t="s">
        <v>1541</v>
      </c>
      <c r="D5" s="42" t="s">
        <v>60</v>
      </c>
      <c r="E5" s="43">
        <v>1</v>
      </c>
      <c r="F5" s="42">
        <v>2</v>
      </c>
      <c r="G5" s="44">
        <f>SUM(F5:F5)*$F$2</f>
        <v>38</v>
      </c>
      <c r="H5" s="466">
        <f>(G5)*$C$22/60</f>
        <v>31.666666666666668</v>
      </c>
      <c r="I5" s="47" t="s">
        <v>8</v>
      </c>
      <c r="J5" s="46" t="s">
        <v>230</v>
      </c>
    </row>
    <row r="6" spans="1:10" ht="15.75" thickBot="1" x14ac:dyDescent="0.3">
      <c r="A6" s="516"/>
      <c r="B6" s="464" t="s">
        <v>1542</v>
      </c>
      <c r="C6" s="467" t="s">
        <v>1543</v>
      </c>
      <c r="D6" s="42" t="s">
        <v>60</v>
      </c>
      <c r="E6" s="43">
        <v>1</v>
      </c>
      <c r="F6" s="42">
        <v>2</v>
      </c>
      <c r="G6" s="44">
        <f>SUM(F6:F6)*$F$2</f>
        <v>38</v>
      </c>
      <c r="H6" s="466">
        <f t="shared" ref="H6:H18" si="0">(G6)*$C$22/60</f>
        <v>31.666666666666668</v>
      </c>
      <c r="I6" s="47" t="s">
        <v>12</v>
      </c>
      <c r="J6" s="46"/>
    </row>
    <row r="7" spans="1:10" ht="28.9" customHeight="1" thickBot="1" x14ac:dyDescent="0.3">
      <c r="A7" s="516"/>
      <c r="B7" s="464" t="s">
        <v>1544</v>
      </c>
      <c r="C7" s="467" t="s">
        <v>1545</v>
      </c>
      <c r="D7" s="42" t="s">
        <v>60</v>
      </c>
      <c r="E7" s="43">
        <v>1</v>
      </c>
      <c r="F7" s="42">
        <v>2</v>
      </c>
      <c r="G7" s="44">
        <f t="shared" ref="G7:G17" si="1">SUM(F7:F7)*$F$2</f>
        <v>38</v>
      </c>
      <c r="H7" s="466">
        <f t="shared" si="0"/>
        <v>31.666666666666668</v>
      </c>
      <c r="I7" s="47" t="s">
        <v>225</v>
      </c>
      <c r="J7" s="46" t="s">
        <v>230</v>
      </c>
    </row>
    <row r="8" spans="1:10" ht="38.25" customHeight="1" thickBot="1" x14ac:dyDescent="0.3">
      <c r="A8" s="516"/>
      <c r="B8" s="464" t="s">
        <v>1546</v>
      </c>
      <c r="C8" s="467" t="s">
        <v>1547</v>
      </c>
      <c r="D8" s="42" t="s">
        <v>60</v>
      </c>
      <c r="E8" s="43">
        <v>1</v>
      </c>
      <c r="F8" s="42">
        <v>2</v>
      </c>
      <c r="G8" s="44">
        <f t="shared" si="1"/>
        <v>38</v>
      </c>
      <c r="H8" s="466">
        <f t="shared" si="0"/>
        <v>31.666666666666668</v>
      </c>
      <c r="I8" s="47" t="s">
        <v>13</v>
      </c>
      <c r="J8" s="46" t="s">
        <v>230</v>
      </c>
    </row>
    <row r="9" spans="1:10" ht="26.45" customHeight="1" thickBot="1" x14ac:dyDescent="0.3">
      <c r="A9" s="542" t="s">
        <v>724</v>
      </c>
      <c r="B9" s="464" t="s">
        <v>1548</v>
      </c>
      <c r="C9" s="467" t="s">
        <v>1549</v>
      </c>
      <c r="D9" s="296" t="s">
        <v>60</v>
      </c>
      <c r="E9" s="297">
        <v>1</v>
      </c>
      <c r="F9" s="296">
        <v>2</v>
      </c>
      <c r="G9" s="388">
        <f t="shared" si="1"/>
        <v>38</v>
      </c>
      <c r="H9" s="466">
        <f t="shared" si="0"/>
        <v>31.666666666666668</v>
      </c>
      <c r="I9" s="300" t="s">
        <v>11</v>
      </c>
      <c r="J9" s="338" t="s">
        <v>231</v>
      </c>
    </row>
    <row r="10" spans="1:10" ht="21.6" customHeight="1" thickBot="1" x14ac:dyDescent="0.3">
      <c r="A10" s="543"/>
      <c r="B10" s="464" t="s">
        <v>1550</v>
      </c>
      <c r="C10" s="467" t="s">
        <v>1551</v>
      </c>
      <c r="D10" s="42" t="s">
        <v>60</v>
      </c>
      <c r="E10" s="43">
        <v>1</v>
      </c>
      <c r="F10" s="42">
        <v>2</v>
      </c>
      <c r="G10" s="44">
        <f t="shared" si="1"/>
        <v>38</v>
      </c>
      <c r="H10" s="466">
        <f t="shared" si="0"/>
        <v>31.666666666666668</v>
      </c>
      <c r="I10" s="335" t="s">
        <v>9</v>
      </c>
      <c r="J10" s="336"/>
    </row>
    <row r="11" spans="1:10" ht="25.9" customHeight="1" thickBot="1" x14ac:dyDescent="0.3">
      <c r="A11" s="543"/>
      <c r="B11" s="464" t="s">
        <v>1552</v>
      </c>
      <c r="C11" s="467" t="s">
        <v>1553</v>
      </c>
      <c r="D11" s="42" t="s">
        <v>60</v>
      </c>
      <c r="E11" s="43">
        <v>1</v>
      </c>
      <c r="F11" s="42">
        <v>2</v>
      </c>
      <c r="G11" s="44">
        <f t="shared" si="1"/>
        <v>38</v>
      </c>
      <c r="H11" s="466">
        <f t="shared" si="0"/>
        <v>31.666666666666668</v>
      </c>
      <c r="I11" s="335" t="s">
        <v>13</v>
      </c>
      <c r="J11" s="336"/>
    </row>
    <row r="12" spans="1:10" ht="22.9" customHeight="1" thickBot="1" x14ac:dyDescent="0.3">
      <c r="A12" s="544"/>
      <c r="B12" s="464" t="s">
        <v>1554</v>
      </c>
      <c r="C12" s="467" t="s">
        <v>1555</v>
      </c>
      <c r="D12" s="332" t="s">
        <v>60</v>
      </c>
      <c r="E12" s="352">
        <v>1</v>
      </c>
      <c r="F12" s="332">
        <v>2</v>
      </c>
      <c r="G12" s="333">
        <f t="shared" si="1"/>
        <v>38</v>
      </c>
      <c r="H12" s="466">
        <f t="shared" si="0"/>
        <v>31.666666666666668</v>
      </c>
      <c r="I12" s="390" t="s">
        <v>7</v>
      </c>
      <c r="J12" s="391" t="s">
        <v>230</v>
      </c>
    </row>
    <row r="13" spans="1:10" ht="15.6" customHeight="1" thickBot="1" x14ac:dyDescent="0.3">
      <c r="A13" s="542" t="s">
        <v>1152</v>
      </c>
      <c r="B13" s="464" t="s">
        <v>1556</v>
      </c>
      <c r="C13" s="467" t="s">
        <v>1557</v>
      </c>
      <c r="D13" s="393" t="s">
        <v>60</v>
      </c>
      <c r="E13" s="394">
        <v>1</v>
      </c>
      <c r="F13" s="393">
        <v>2</v>
      </c>
      <c r="G13" s="388">
        <f t="shared" si="1"/>
        <v>38</v>
      </c>
      <c r="H13" s="466">
        <f t="shared" si="0"/>
        <v>31.666666666666668</v>
      </c>
      <c r="I13" s="390" t="s">
        <v>5</v>
      </c>
      <c r="J13" s="391"/>
    </row>
    <row r="14" spans="1:10" ht="15.6" customHeight="1" thickBot="1" x14ac:dyDescent="0.3">
      <c r="A14" s="543"/>
      <c r="B14" s="464" t="s">
        <v>1558</v>
      </c>
      <c r="C14" s="467" t="s">
        <v>1559</v>
      </c>
      <c r="D14" s="42" t="s">
        <v>60</v>
      </c>
      <c r="E14" s="43">
        <v>1</v>
      </c>
      <c r="F14" s="42">
        <v>2</v>
      </c>
      <c r="G14" s="44">
        <f t="shared" si="1"/>
        <v>38</v>
      </c>
      <c r="H14" s="466">
        <f t="shared" si="0"/>
        <v>31.666666666666668</v>
      </c>
      <c r="I14" s="47" t="s">
        <v>21</v>
      </c>
      <c r="J14" s="46" t="s">
        <v>230</v>
      </c>
    </row>
    <row r="15" spans="1:10" ht="30" customHeight="1" thickBot="1" x14ac:dyDescent="0.3">
      <c r="A15" s="543"/>
      <c r="B15" s="464" t="s">
        <v>1560</v>
      </c>
      <c r="C15" s="467" t="s">
        <v>1561</v>
      </c>
      <c r="D15" s="271" t="s">
        <v>60</v>
      </c>
      <c r="E15" s="272">
        <v>1</v>
      </c>
      <c r="F15" s="271">
        <v>2</v>
      </c>
      <c r="G15" s="44">
        <f t="shared" si="1"/>
        <v>38</v>
      </c>
      <c r="H15" s="466">
        <f t="shared" si="0"/>
        <v>31.666666666666668</v>
      </c>
      <c r="I15" s="335" t="s">
        <v>10</v>
      </c>
      <c r="J15" s="336" t="s">
        <v>230</v>
      </c>
    </row>
    <row r="16" spans="1:10" ht="28.9" customHeight="1" thickBot="1" x14ac:dyDescent="0.3">
      <c r="A16" s="544"/>
      <c r="B16" s="464" t="s">
        <v>1562</v>
      </c>
      <c r="C16" s="468" t="s">
        <v>1563</v>
      </c>
      <c r="D16" s="412" t="s">
        <v>60</v>
      </c>
      <c r="E16" s="413">
        <v>1</v>
      </c>
      <c r="F16" s="412">
        <v>2</v>
      </c>
      <c r="G16" s="414">
        <f t="shared" si="1"/>
        <v>38</v>
      </c>
      <c r="H16" s="466">
        <f t="shared" si="0"/>
        <v>31.666666666666668</v>
      </c>
      <c r="I16" s="47" t="s">
        <v>5</v>
      </c>
    </row>
    <row r="17" spans="1:10" ht="57" customHeight="1" thickBot="1" x14ac:dyDescent="0.3">
      <c r="A17" s="469" t="s">
        <v>311</v>
      </c>
      <c r="B17" s="401" t="s">
        <v>1295</v>
      </c>
      <c r="C17" s="396"/>
      <c r="D17" s="397" t="s">
        <v>60</v>
      </c>
      <c r="E17" s="398">
        <v>1</v>
      </c>
      <c r="F17" s="397">
        <v>0</v>
      </c>
      <c r="G17" s="414">
        <f t="shared" si="1"/>
        <v>0</v>
      </c>
      <c r="H17" s="466">
        <f t="shared" si="0"/>
        <v>0</v>
      </c>
      <c r="I17" s="308" t="s">
        <v>13</v>
      </c>
      <c r="J17" s="343" t="s">
        <v>230</v>
      </c>
    </row>
    <row r="18" spans="1:10" ht="16.5" thickBot="1" x14ac:dyDescent="0.3">
      <c r="A18" s="508" t="s">
        <v>303</v>
      </c>
      <c r="B18" s="508"/>
      <c r="C18" s="508"/>
      <c r="D18" s="508"/>
      <c r="E18" s="508"/>
      <c r="F18" s="55"/>
      <c r="G18" s="55">
        <f>SUM(G5:G17)</f>
        <v>456</v>
      </c>
      <c r="H18" s="466">
        <f t="shared" si="0"/>
        <v>380</v>
      </c>
      <c r="I18" s="36"/>
    </row>
    <row r="19" spans="1:10" ht="16.5" thickBot="1" x14ac:dyDescent="0.3">
      <c r="A19" s="61" t="s">
        <v>305</v>
      </c>
      <c r="B19" s="63"/>
      <c r="C19" s="63"/>
      <c r="D19" s="63"/>
      <c r="E19" s="63"/>
      <c r="F19" s="63"/>
      <c r="G19" s="64"/>
      <c r="H19" s="56">
        <f>H18</f>
        <v>380</v>
      </c>
    </row>
    <row r="20" spans="1:10" ht="16.5" thickBot="1" x14ac:dyDescent="0.3">
      <c r="A20" s="61" t="s">
        <v>306</v>
      </c>
      <c r="B20" s="63"/>
      <c r="C20" s="63"/>
      <c r="D20" s="63"/>
      <c r="E20" s="63"/>
      <c r="F20" s="63"/>
      <c r="G20" s="75"/>
      <c r="H20" s="58">
        <v>360</v>
      </c>
    </row>
    <row r="21" spans="1:10" ht="16.5" thickBot="1" x14ac:dyDescent="0.3">
      <c r="A21" s="62" t="s">
        <v>308</v>
      </c>
      <c r="B21" s="76"/>
      <c r="C21" s="77"/>
      <c r="D21" s="77"/>
      <c r="E21" s="77"/>
      <c r="F21" s="77"/>
      <c r="G21" s="77"/>
      <c r="H21" s="55">
        <f>SUM(H19+H20)</f>
        <v>740</v>
      </c>
    </row>
    <row r="22" spans="1:10" ht="15.75" x14ac:dyDescent="0.25">
      <c r="A22" s="532" t="s">
        <v>309</v>
      </c>
      <c r="B22" s="532"/>
      <c r="C22" s="78">
        <v>50</v>
      </c>
      <c r="D22" s="79" t="s">
        <v>310</v>
      </c>
      <c r="E22" s="79">
        <v>19</v>
      </c>
      <c r="F22" s="79"/>
      <c r="G22" s="79"/>
      <c r="H22" s="80"/>
    </row>
    <row r="23" spans="1:10" x14ac:dyDescent="0.25">
      <c r="B23" s="461"/>
      <c r="C23" s="462"/>
      <c r="E23" s="462"/>
      <c r="F23" s="462"/>
    </row>
    <row r="24" spans="1:10" x14ac:dyDescent="0.25">
      <c r="B24" s="461"/>
      <c r="C24" s="462"/>
      <c r="E24" s="462"/>
      <c r="F24" s="462"/>
    </row>
    <row r="25" spans="1:10" x14ac:dyDescent="0.25">
      <c r="B25" s="461"/>
      <c r="C25" s="462"/>
      <c r="E25" s="462"/>
      <c r="F25" s="462"/>
    </row>
    <row r="26" spans="1:10" x14ac:dyDescent="0.25">
      <c r="B26" s="461"/>
      <c r="C26" s="462"/>
      <c r="E26" s="462"/>
      <c r="F26" s="462"/>
    </row>
    <row r="27" spans="1:10" x14ac:dyDescent="0.25">
      <c r="B27" s="461"/>
      <c r="C27" s="462"/>
      <c r="E27" s="462"/>
      <c r="F27" s="462"/>
    </row>
    <row r="28" spans="1:10" x14ac:dyDescent="0.25">
      <c r="B28" s="461"/>
      <c r="C28" s="462"/>
      <c r="E28" s="462"/>
      <c r="F28" s="462"/>
    </row>
    <row r="29" spans="1:10" x14ac:dyDescent="0.25">
      <c r="B29" s="461"/>
      <c r="C29" s="462"/>
      <c r="E29" s="462"/>
      <c r="F29" s="462"/>
    </row>
  </sheetData>
  <mergeCells count="10">
    <mergeCell ref="I3:I4"/>
    <mergeCell ref="J3:J4"/>
    <mergeCell ref="A5:A8"/>
    <mergeCell ref="A9:A12"/>
    <mergeCell ref="A13:A16"/>
    <mergeCell ref="A18:E18"/>
    <mergeCell ref="A22:B22"/>
    <mergeCell ref="A2:E2"/>
    <mergeCell ref="B3:B4"/>
    <mergeCell ref="C3:C4"/>
  </mergeCells>
  <dataValidations count="2">
    <dataValidation type="list" allowBlank="1" showInputMessage="1" showErrorMessage="1" sqref="I1:I1048576" xr:uid="{3C9D4E5D-C63B-42E3-8E2E-357CF9A04F13}">
      <formula1>Áreas</formula1>
    </dataValidation>
    <dataValidation type="list" allowBlank="1" showInputMessage="1" showErrorMessage="1" sqref="J1:J15 J17:J1048576" xr:uid="{CE02508B-6221-4476-BC73-BAD2F0F0A3BA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D82CB-7249-4C73-AF39-AA4E8420CAFE}">
  <sheetPr codeName="Planilha56">
    <tabColor theme="7" tint="-0.249977111117893"/>
  </sheetPr>
  <dimension ref="A1:J30"/>
  <sheetViews>
    <sheetView workbookViewId="0">
      <selection activeCell="I36" sqref="I36"/>
    </sheetView>
  </sheetViews>
  <sheetFormatPr defaultColWidth="8.85546875" defaultRowHeight="15" x14ac:dyDescent="0.25"/>
  <cols>
    <col min="2" max="2" width="50.28515625" customWidth="1"/>
    <col min="3" max="3" width="12.710937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1232</v>
      </c>
      <c r="B2" s="513"/>
      <c r="C2" s="513"/>
      <c r="D2" s="513"/>
      <c r="E2" s="513"/>
      <c r="F2" s="38">
        <v>19</v>
      </c>
      <c r="G2" s="38"/>
      <c r="H2" s="38"/>
      <c r="I2" s="36"/>
    </row>
    <row r="3" spans="1:10" ht="15.75" thickBot="1" x14ac:dyDescent="0.3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ht="15.75" thickBot="1" x14ac:dyDescent="0.3">
      <c r="A4" s="65"/>
      <c r="B4" s="514"/>
      <c r="C4" s="514"/>
      <c r="D4" s="39" t="s">
        <v>244</v>
      </c>
      <c r="E4" s="458">
        <v>1</v>
      </c>
      <c r="F4" s="459">
        <v>4</v>
      </c>
      <c r="G4" s="39" t="s">
        <v>247</v>
      </c>
      <c r="H4" s="39" t="s">
        <v>248</v>
      </c>
      <c r="I4" s="514"/>
      <c r="J4" s="514"/>
    </row>
    <row r="5" spans="1:10" ht="38.25" customHeight="1" x14ac:dyDescent="0.25">
      <c r="A5" s="515" t="s">
        <v>318</v>
      </c>
      <c r="B5" s="40" t="s">
        <v>1291</v>
      </c>
      <c r="C5" s="41"/>
      <c r="D5" s="42" t="s">
        <v>60</v>
      </c>
      <c r="E5" s="43">
        <v>1</v>
      </c>
      <c r="F5" s="42">
        <v>4</v>
      </c>
      <c r="G5" s="44">
        <f t="shared" ref="G5:G11" si="0">SUM(F5:F5)*$F$2</f>
        <v>76</v>
      </c>
      <c r="H5" s="431">
        <f>(G5)*$C$16/60</f>
        <v>63.333333333333336</v>
      </c>
      <c r="I5" s="47" t="s">
        <v>14</v>
      </c>
      <c r="J5" s="46" t="s">
        <v>316</v>
      </c>
    </row>
    <row r="6" spans="1:10" ht="41.25" customHeight="1" x14ac:dyDescent="0.25">
      <c r="A6" s="517"/>
      <c r="B6" s="40" t="s">
        <v>1292</v>
      </c>
      <c r="C6" s="41"/>
      <c r="D6" s="42" t="s">
        <v>60</v>
      </c>
      <c r="E6" s="43">
        <v>1</v>
      </c>
      <c r="F6" s="42">
        <v>4</v>
      </c>
      <c r="G6" s="44">
        <f t="shared" si="0"/>
        <v>76</v>
      </c>
      <c r="H6" s="431">
        <f t="shared" ref="H6:H12" si="1">(G6)*$C$16/60</f>
        <v>63.333333333333336</v>
      </c>
      <c r="I6" s="47" t="s">
        <v>14</v>
      </c>
      <c r="J6" s="46" t="s">
        <v>316</v>
      </c>
    </row>
    <row r="7" spans="1:10" ht="49.15" customHeight="1" x14ac:dyDescent="0.25">
      <c r="A7" s="515" t="s">
        <v>724</v>
      </c>
      <c r="B7" s="40" t="s">
        <v>1293</v>
      </c>
      <c r="C7" s="41"/>
      <c r="D7" s="42" t="s">
        <v>60</v>
      </c>
      <c r="E7" s="43">
        <v>1</v>
      </c>
      <c r="F7" s="42">
        <v>4</v>
      </c>
      <c r="G7" s="44">
        <f t="shared" si="0"/>
        <v>76</v>
      </c>
      <c r="H7" s="431">
        <f t="shared" si="1"/>
        <v>63.333333333333336</v>
      </c>
      <c r="I7" s="47" t="s">
        <v>14</v>
      </c>
      <c r="J7" s="46" t="s">
        <v>316</v>
      </c>
    </row>
    <row r="8" spans="1:10" ht="50.45" customHeight="1" x14ac:dyDescent="0.25">
      <c r="A8" s="516"/>
      <c r="B8" s="40" t="s">
        <v>1294</v>
      </c>
      <c r="C8" s="41"/>
      <c r="D8" s="42" t="s">
        <v>60</v>
      </c>
      <c r="E8" s="43">
        <v>1</v>
      </c>
      <c r="F8" s="42">
        <v>4</v>
      </c>
      <c r="G8" s="44">
        <f t="shared" si="0"/>
        <v>76</v>
      </c>
      <c r="H8" s="431">
        <f t="shared" si="1"/>
        <v>63.333333333333336</v>
      </c>
      <c r="I8" s="47" t="s">
        <v>14</v>
      </c>
      <c r="J8" s="46" t="s">
        <v>316</v>
      </c>
    </row>
    <row r="9" spans="1:10" ht="36.6" customHeight="1" x14ac:dyDescent="0.25">
      <c r="A9" s="519" t="s">
        <v>1152</v>
      </c>
      <c r="B9" s="269" t="s">
        <v>1297</v>
      </c>
      <c r="C9" s="270"/>
      <c r="D9" s="271" t="s">
        <v>60</v>
      </c>
      <c r="E9" s="272">
        <v>1</v>
      </c>
      <c r="F9" s="271">
        <v>4</v>
      </c>
      <c r="G9" s="44">
        <f t="shared" si="0"/>
        <v>76</v>
      </c>
      <c r="H9" s="431">
        <f t="shared" si="1"/>
        <v>63.333333333333336</v>
      </c>
      <c r="I9" s="47"/>
      <c r="J9" s="46" t="s">
        <v>316</v>
      </c>
    </row>
    <row r="10" spans="1:10" ht="46.9" customHeight="1" thickBot="1" x14ac:dyDescent="0.3">
      <c r="A10" s="521"/>
      <c r="B10" s="269" t="s">
        <v>1296</v>
      </c>
      <c r="C10" s="270"/>
      <c r="D10" s="271" t="s">
        <v>60</v>
      </c>
      <c r="E10" s="272">
        <v>1</v>
      </c>
      <c r="F10" s="271">
        <v>4</v>
      </c>
      <c r="G10" s="273">
        <f t="shared" si="0"/>
        <v>76</v>
      </c>
      <c r="H10" s="431">
        <f t="shared" si="1"/>
        <v>63.333333333333336</v>
      </c>
      <c r="I10" s="47" t="s">
        <v>14</v>
      </c>
      <c r="J10" s="46" t="s">
        <v>316</v>
      </c>
    </row>
    <row r="11" spans="1:10" ht="59.25" thickBot="1" x14ac:dyDescent="0.3">
      <c r="A11" s="380" t="s">
        <v>311</v>
      </c>
      <c r="B11" s="269" t="s">
        <v>1295</v>
      </c>
      <c r="D11" s="271" t="s">
        <v>60</v>
      </c>
      <c r="E11" s="272">
        <v>1</v>
      </c>
      <c r="F11" s="460">
        <v>0</v>
      </c>
      <c r="G11" s="273">
        <f t="shared" si="0"/>
        <v>0</v>
      </c>
      <c r="H11" s="431">
        <f t="shared" si="1"/>
        <v>0</v>
      </c>
      <c r="I11" s="47" t="s">
        <v>14</v>
      </c>
      <c r="J11" s="46" t="s">
        <v>316</v>
      </c>
    </row>
    <row r="12" spans="1:10" ht="16.5" thickBot="1" x14ac:dyDescent="0.3">
      <c r="A12" s="508" t="s">
        <v>303</v>
      </c>
      <c r="B12" s="508"/>
      <c r="C12" s="508"/>
      <c r="D12" s="508"/>
      <c r="E12" s="508"/>
      <c r="F12" s="55"/>
      <c r="G12" s="55">
        <f>SUM(G5:G11)</f>
        <v>456</v>
      </c>
      <c r="H12" s="431">
        <f t="shared" si="1"/>
        <v>380</v>
      </c>
      <c r="I12" s="36"/>
    </row>
    <row r="13" spans="1:10" ht="16.5" thickBot="1" x14ac:dyDescent="0.3">
      <c r="A13" s="61" t="s">
        <v>305</v>
      </c>
      <c r="B13" s="63"/>
      <c r="C13" s="63"/>
      <c r="D13" s="63"/>
      <c r="E13" s="63"/>
      <c r="F13" s="63"/>
      <c r="G13" s="64"/>
      <c r="H13" s="56">
        <f>H12</f>
        <v>380</v>
      </c>
    </row>
    <row r="14" spans="1:10" ht="16.5" thickBot="1" x14ac:dyDescent="0.3">
      <c r="A14" s="61" t="s">
        <v>306</v>
      </c>
      <c r="B14" s="63"/>
      <c r="C14" s="63"/>
      <c r="D14" s="63"/>
      <c r="E14" s="63"/>
      <c r="F14" s="63"/>
      <c r="G14" s="75"/>
      <c r="H14" s="58">
        <v>360</v>
      </c>
    </row>
    <row r="15" spans="1:10" ht="16.5" thickBot="1" x14ac:dyDescent="0.3">
      <c r="A15" s="62" t="s">
        <v>308</v>
      </c>
      <c r="B15" s="76"/>
      <c r="C15" s="77"/>
      <c r="D15" s="77"/>
      <c r="E15" s="77"/>
      <c r="F15" s="77"/>
      <c r="G15" s="77"/>
      <c r="H15" s="55">
        <f>SUM(H13+H14)</f>
        <v>740</v>
      </c>
    </row>
    <row r="16" spans="1:10" ht="15.75" x14ac:dyDescent="0.25">
      <c r="A16" s="532" t="s">
        <v>309</v>
      </c>
      <c r="B16" s="532"/>
      <c r="C16" s="78">
        <v>50</v>
      </c>
      <c r="D16" s="79" t="s">
        <v>310</v>
      </c>
      <c r="E16" s="79">
        <v>19</v>
      </c>
      <c r="F16" s="79"/>
      <c r="G16" s="79"/>
      <c r="H16" s="80"/>
    </row>
    <row r="17" spans="2:6" x14ac:dyDescent="0.25">
      <c r="B17" s="461"/>
      <c r="C17" s="462"/>
      <c r="E17" s="462"/>
      <c r="F17" s="462"/>
    </row>
    <row r="18" spans="2:6" x14ac:dyDescent="0.25">
      <c r="B18" s="463"/>
      <c r="C18" s="462"/>
      <c r="E18" s="462"/>
      <c r="F18" s="462"/>
    </row>
    <row r="19" spans="2:6" x14ac:dyDescent="0.25">
      <c r="B19" s="461"/>
      <c r="C19" s="462"/>
      <c r="E19" s="462"/>
      <c r="F19" s="462"/>
    </row>
    <row r="20" spans="2:6" x14ac:dyDescent="0.25">
      <c r="B20" s="461"/>
      <c r="C20" s="462"/>
      <c r="E20" s="462"/>
      <c r="F20" s="462"/>
    </row>
    <row r="21" spans="2:6" x14ac:dyDescent="0.25">
      <c r="B21" s="461"/>
      <c r="C21" s="462"/>
      <c r="E21" s="462"/>
      <c r="F21" s="462"/>
    </row>
    <row r="22" spans="2:6" x14ac:dyDescent="0.25">
      <c r="B22" s="461"/>
      <c r="C22" s="462"/>
      <c r="E22" s="462"/>
      <c r="F22" s="462"/>
    </row>
    <row r="23" spans="2:6" x14ac:dyDescent="0.25">
      <c r="B23" s="461"/>
      <c r="C23" s="462"/>
      <c r="E23" s="462"/>
      <c r="F23" s="462"/>
    </row>
    <row r="24" spans="2:6" x14ac:dyDescent="0.25">
      <c r="B24" s="461"/>
      <c r="C24" s="462"/>
      <c r="E24" s="462"/>
      <c r="F24" s="462"/>
    </row>
    <row r="25" spans="2:6" x14ac:dyDescent="0.25">
      <c r="B25" s="461"/>
      <c r="C25" s="462"/>
      <c r="E25" s="462"/>
      <c r="F25" s="462"/>
    </row>
    <row r="26" spans="2:6" x14ac:dyDescent="0.25">
      <c r="B26" s="461"/>
      <c r="C26" s="462"/>
      <c r="E26" s="462"/>
      <c r="F26" s="462"/>
    </row>
    <row r="27" spans="2:6" x14ac:dyDescent="0.25">
      <c r="B27" s="461"/>
      <c r="C27" s="462"/>
      <c r="E27" s="462"/>
      <c r="F27" s="462"/>
    </row>
    <row r="28" spans="2:6" x14ac:dyDescent="0.25">
      <c r="B28" s="461"/>
      <c r="C28" s="462"/>
      <c r="E28" s="462"/>
      <c r="F28" s="462"/>
    </row>
    <row r="29" spans="2:6" x14ac:dyDescent="0.25">
      <c r="B29" s="461"/>
      <c r="C29" s="462"/>
      <c r="E29" s="462"/>
      <c r="F29" s="462"/>
    </row>
    <row r="30" spans="2:6" x14ac:dyDescent="0.25">
      <c r="B30" s="461"/>
      <c r="C30" s="462"/>
      <c r="E30" s="462"/>
      <c r="F30" s="462"/>
    </row>
  </sheetData>
  <mergeCells count="10">
    <mergeCell ref="I3:I4"/>
    <mergeCell ref="J3:J4"/>
    <mergeCell ref="A5:A6"/>
    <mergeCell ref="A7:A8"/>
    <mergeCell ref="A9:A10"/>
    <mergeCell ref="A12:E12"/>
    <mergeCell ref="A16:B16"/>
    <mergeCell ref="A2:E2"/>
    <mergeCell ref="B3:B4"/>
    <mergeCell ref="C3:C4"/>
  </mergeCells>
  <dataValidations count="2">
    <dataValidation type="list" allowBlank="1" showInputMessage="1" showErrorMessage="1" sqref="J1:J1048576" xr:uid="{1C950755-251E-4BD8-88EC-7FF81F6ED3AF}">
      <formula1>Ambientes</formula1>
    </dataValidation>
    <dataValidation type="list" allowBlank="1" showInputMessage="1" showErrorMessage="1" sqref="I1:I1048576" xr:uid="{144EAD46-D2EE-4058-84F1-866F19849797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1C05A-0907-44D1-A8EB-4F9C16ADC28C}">
  <sheetPr codeName="Planilha63">
    <tabColor theme="5" tint="0.79998168889431442"/>
    <pageSetUpPr fitToPage="1"/>
  </sheetPr>
  <dimension ref="A1:L53"/>
  <sheetViews>
    <sheetView topLeftCell="B2" zoomScale="60" zoomScaleNormal="60" workbookViewId="0">
      <selection activeCell="I36" sqref="I36"/>
    </sheetView>
  </sheetViews>
  <sheetFormatPr defaultColWidth="8.85546875" defaultRowHeight="15" x14ac:dyDescent="0.25"/>
  <cols>
    <col min="2" max="2" width="46.28515625" customWidth="1"/>
    <col min="3" max="3" width="10.7109375" customWidth="1"/>
    <col min="6" max="6" width="11.7109375" customWidth="1"/>
    <col min="9" max="9" width="40.85546875" bestFit="1" customWidth="1"/>
    <col min="10" max="10" width="15" bestFit="1" customWidth="1"/>
  </cols>
  <sheetData>
    <row r="1" spans="1:12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2" ht="15.75" x14ac:dyDescent="0.25">
      <c r="A2" s="513" t="s">
        <v>600</v>
      </c>
      <c r="B2" s="513"/>
      <c r="C2" s="513"/>
      <c r="D2" s="37" t="s">
        <v>237</v>
      </c>
      <c r="E2" s="38"/>
      <c r="F2" s="38">
        <v>20</v>
      </c>
      <c r="G2" s="36"/>
      <c r="H2" s="36"/>
      <c r="I2" s="36"/>
    </row>
    <row r="3" spans="1:12" x14ac:dyDescent="0.25">
      <c r="A3" s="65"/>
      <c r="B3" s="514" t="s">
        <v>44</v>
      </c>
      <c r="C3" s="514" t="s">
        <v>238</v>
      </c>
      <c r="D3" s="524" t="s">
        <v>46</v>
      </c>
      <c r="E3" s="524" t="s">
        <v>328</v>
      </c>
      <c r="F3" s="39" t="s">
        <v>241</v>
      </c>
      <c r="G3" s="524" t="s">
        <v>329</v>
      </c>
      <c r="H3" s="524" t="s">
        <v>330</v>
      </c>
      <c r="I3" s="514" t="s">
        <v>243</v>
      </c>
      <c r="J3" s="514" t="s">
        <v>224</v>
      </c>
    </row>
    <row r="4" spans="1:12" ht="15.75" thickBot="1" x14ac:dyDescent="0.3">
      <c r="A4" s="65"/>
      <c r="B4" s="514"/>
      <c r="C4" s="514"/>
      <c r="D4" s="514"/>
      <c r="E4" s="514"/>
      <c r="F4" s="39" t="s">
        <v>246</v>
      </c>
      <c r="G4" s="524"/>
      <c r="H4" s="524"/>
      <c r="I4" s="514"/>
      <c r="J4" s="514"/>
    </row>
    <row r="5" spans="1:12" x14ac:dyDescent="0.25">
      <c r="A5" s="504" t="s">
        <v>318</v>
      </c>
      <c r="B5" s="428" t="s">
        <v>1473</v>
      </c>
      <c r="C5" s="429" t="s">
        <v>1474</v>
      </c>
      <c r="D5" s="42" t="s">
        <v>60</v>
      </c>
      <c r="E5" s="430">
        <v>1</v>
      </c>
      <c r="F5" s="430">
        <v>2</v>
      </c>
      <c r="G5" s="44">
        <f t="shared" ref="G5:G42" si="0">SUM(F5:F5)*$F$2</f>
        <v>40</v>
      </c>
      <c r="H5" s="431">
        <f t="shared" ref="H5:H42" si="1">(G5)*$C$50/60</f>
        <v>33.333333333333336</v>
      </c>
      <c r="I5" s="113" t="s">
        <v>1189</v>
      </c>
      <c r="J5" s="46" t="s">
        <v>251</v>
      </c>
    </row>
    <row r="6" spans="1:12" x14ac:dyDescent="0.25">
      <c r="A6" s="504"/>
      <c r="B6" s="432" t="s">
        <v>626</v>
      </c>
      <c r="C6" s="433" t="s">
        <v>1475</v>
      </c>
      <c r="D6" s="42" t="s">
        <v>60</v>
      </c>
      <c r="E6" s="434">
        <v>1</v>
      </c>
      <c r="F6" s="434">
        <v>4</v>
      </c>
      <c r="G6" s="44">
        <f t="shared" si="0"/>
        <v>80</v>
      </c>
      <c r="H6" s="431">
        <f t="shared" si="1"/>
        <v>66.666666666666671</v>
      </c>
      <c r="I6" s="47" t="s">
        <v>1189</v>
      </c>
      <c r="J6" s="46" t="s">
        <v>251</v>
      </c>
    </row>
    <row r="7" spans="1:12" x14ac:dyDescent="0.25">
      <c r="A7" s="504"/>
      <c r="B7" s="435" t="s">
        <v>589</v>
      </c>
      <c r="C7" s="433" t="s">
        <v>1476</v>
      </c>
      <c r="D7" s="42" t="s">
        <v>57</v>
      </c>
      <c r="E7" s="434">
        <v>2</v>
      </c>
      <c r="F7" s="434">
        <v>6</v>
      </c>
      <c r="G7" s="44">
        <f t="shared" si="0"/>
        <v>120</v>
      </c>
      <c r="H7" s="431">
        <f t="shared" si="1"/>
        <v>100</v>
      </c>
      <c r="I7" s="47" t="s">
        <v>1189</v>
      </c>
      <c r="J7" s="46" t="s">
        <v>231</v>
      </c>
    </row>
    <row r="8" spans="1:12" x14ac:dyDescent="0.25">
      <c r="A8" s="504"/>
      <c r="B8" s="435" t="s">
        <v>645</v>
      </c>
      <c r="C8" s="433" t="s">
        <v>1477</v>
      </c>
      <c r="D8" s="42" t="s">
        <v>57</v>
      </c>
      <c r="E8" s="434">
        <v>2</v>
      </c>
      <c r="F8" s="434">
        <v>4</v>
      </c>
      <c r="G8" s="44">
        <f t="shared" si="0"/>
        <v>80</v>
      </c>
      <c r="H8" s="431">
        <f t="shared" si="1"/>
        <v>66.666666666666671</v>
      </c>
      <c r="I8" s="47" t="s">
        <v>1189</v>
      </c>
      <c r="J8" s="46" t="s">
        <v>231</v>
      </c>
    </row>
    <row r="9" spans="1:12" x14ac:dyDescent="0.25">
      <c r="A9" s="504"/>
      <c r="B9" s="435" t="s">
        <v>608</v>
      </c>
      <c r="C9" s="433" t="s">
        <v>1478</v>
      </c>
      <c r="D9" s="42" t="s">
        <v>57</v>
      </c>
      <c r="E9" s="434">
        <v>1</v>
      </c>
      <c r="F9" s="434">
        <v>2</v>
      </c>
      <c r="G9" s="44">
        <f t="shared" si="0"/>
        <v>40</v>
      </c>
      <c r="H9" s="431">
        <f t="shared" si="1"/>
        <v>33.333333333333336</v>
      </c>
      <c r="I9" s="113" t="s">
        <v>1213</v>
      </c>
      <c r="J9" s="46" t="s">
        <v>251</v>
      </c>
    </row>
    <row r="10" spans="1:12" ht="15.75" thickBot="1" x14ac:dyDescent="0.3">
      <c r="A10" s="504"/>
      <c r="B10" s="435" t="s">
        <v>602</v>
      </c>
      <c r="C10" s="433" t="s">
        <v>1479</v>
      </c>
      <c r="D10" s="42" t="s">
        <v>60</v>
      </c>
      <c r="E10" s="434">
        <v>1</v>
      </c>
      <c r="F10" s="434">
        <v>2</v>
      </c>
      <c r="G10" s="44">
        <f t="shared" si="0"/>
        <v>40</v>
      </c>
      <c r="H10" s="431">
        <f t="shared" si="1"/>
        <v>33.333333333333336</v>
      </c>
      <c r="I10" s="113" t="s">
        <v>15</v>
      </c>
      <c r="J10" s="46" t="s">
        <v>251</v>
      </c>
      <c r="L10" s="436">
        <f>SUM(H35:H41)</f>
        <v>333.33333333333337</v>
      </c>
    </row>
    <row r="11" spans="1:12" x14ac:dyDescent="0.25">
      <c r="A11" s="504" t="s">
        <v>321</v>
      </c>
      <c r="B11" s="437" t="s">
        <v>615</v>
      </c>
      <c r="C11" s="437" t="s">
        <v>1480</v>
      </c>
      <c r="D11" s="42" t="s">
        <v>60</v>
      </c>
      <c r="E11" s="438">
        <v>1</v>
      </c>
      <c r="F11" s="438">
        <v>4</v>
      </c>
      <c r="G11" s="44">
        <f t="shared" si="0"/>
        <v>80</v>
      </c>
      <c r="H11" s="431">
        <f t="shared" si="1"/>
        <v>66.666666666666671</v>
      </c>
      <c r="I11" s="47" t="s">
        <v>1189</v>
      </c>
      <c r="J11" s="46" t="s">
        <v>251</v>
      </c>
    </row>
    <row r="12" spans="1:12" x14ac:dyDescent="0.25">
      <c r="A12" s="504"/>
      <c r="B12" s="439" t="s">
        <v>613</v>
      </c>
      <c r="C12" s="439" t="s">
        <v>1481</v>
      </c>
      <c r="D12" s="42" t="s">
        <v>57</v>
      </c>
      <c r="E12" s="440">
        <v>2</v>
      </c>
      <c r="F12" s="440">
        <v>4</v>
      </c>
      <c r="G12" s="44">
        <f t="shared" si="0"/>
        <v>80</v>
      </c>
      <c r="H12" s="431">
        <f t="shared" si="1"/>
        <v>66.666666666666671</v>
      </c>
      <c r="I12" s="113" t="s">
        <v>1189</v>
      </c>
      <c r="J12" s="46" t="s">
        <v>231</v>
      </c>
    </row>
    <row r="13" spans="1:12" x14ac:dyDescent="0.25">
      <c r="A13" s="504"/>
      <c r="B13" s="439" t="s">
        <v>593</v>
      </c>
      <c r="C13" s="439" t="s">
        <v>1482</v>
      </c>
      <c r="D13" s="42" t="s">
        <v>57</v>
      </c>
      <c r="E13" s="440">
        <v>2</v>
      </c>
      <c r="F13" s="440">
        <v>4</v>
      </c>
      <c r="G13" s="44">
        <f t="shared" si="0"/>
        <v>80</v>
      </c>
      <c r="H13" s="431">
        <f t="shared" si="1"/>
        <v>66.666666666666671</v>
      </c>
      <c r="I13" s="113" t="s">
        <v>1189</v>
      </c>
      <c r="J13" s="46" t="s">
        <v>231</v>
      </c>
    </row>
    <row r="14" spans="1:12" x14ac:dyDescent="0.25">
      <c r="A14" s="504"/>
      <c r="B14" s="439" t="s">
        <v>1483</v>
      </c>
      <c r="C14" s="439" t="s">
        <v>1484</v>
      </c>
      <c r="D14" s="42" t="s">
        <v>57</v>
      </c>
      <c r="E14" s="440">
        <v>2</v>
      </c>
      <c r="F14" s="440">
        <v>2</v>
      </c>
      <c r="G14" s="44">
        <f t="shared" si="0"/>
        <v>40</v>
      </c>
      <c r="H14" s="431">
        <f t="shared" si="1"/>
        <v>33.333333333333336</v>
      </c>
      <c r="I14" s="113" t="s">
        <v>1189</v>
      </c>
      <c r="J14" s="46" t="s">
        <v>231</v>
      </c>
    </row>
    <row r="15" spans="1:12" x14ac:dyDescent="0.25">
      <c r="A15" s="504"/>
      <c r="B15" s="441" t="s">
        <v>1485</v>
      </c>
      <c r="C15" s="439" t="s">
        <v>1486</v>
      </c>
      <c r="D15" s="42" t="s">
        <v>57</v>
      </c>
      <c r="E15" s="442">
        <v>2</v>
      </c>
      <c r="F15" s="442">
        <v>4</v>
      </c>
      <c r="G15" s="44">
        <f t="shared" si="0"/>
        <v>80</v>
      </c>
      <c r="H15" s="431">
        <f t="shared" si="1"/>
        <v>66.666666666666671</v>
      </c>
      <c r="I15" s="113" t="s">
        <v>1189</v>
      </c>
      <c r="J15" s="46" t="s">
        <v>231</v>
      </c>
    </row>
    <row r="16" spans="1:12" ht="15.75" thickBot="1" x14ac:dyDescent="0.3">
      <c r="A16" s="504"/>
      <c r="B16" s="435" t="s">
        <v>604</v>
      </c>
      <c r="C16" s="433" t="s">
        <v>1487</v>
      </c>
      <c r="D16" s="42" t="s">
        <v>60</v>
      </c>
      <c r="E16" s="434">
        <v>1</v>
      </c>
      <c r="F16" s="434">
        <v>2</v>
      </c>
      <c r="G16" s="44">
        <f t="shared" si="0"/>
        <v>40</v>
      </c>
      <c r="H16" s="431">
        <f t="shared" si="1"/>
        <v>33.333333333333336</v>
      </c>
      <c r="I16" s="47" t="s">
        <v>14</v>
      </c>
      <c r="J16" s="46" t="s">
        <v>251</v>
      </c>
    </row>
    <row r="17" spans="1:10" x14ac:dyDescent="0.25">
      <c r="A17" s="504" t="s">
        <v>323</v>
      </c>
      <c r="B17" s="443" t="s">
        <v>624</v>
      </c>
      <c r="C17" s="437" t="s">
        <v>1488</v>
      </c>
      <c r="D17" s="42" t="s">
        <v>57</v>
      </c>
      <c r="E17" s="438">
        <v>2</v>
      </c>
      <c r="F17" s="438">
        <v>4</v>
      </c>
      <c r="G17" s="44">
        <f t="shared" si="0"/>
        <v>80</v>
      </c>
      <c r="H17" s="431">
        <f t="shared" si="1"/>
        <v>66.666666666666671</v>
      </c>
      <c r="I17" s="113" t="s">
        <v>1189</v>
      </c>
      <c r="J17" s="46" t="s">
        <v>231</v>
      </c>
    </row>
    <row r="18" spans="1:10" x14ac:dyDescent="0.25">
      <c r="A18" s="504"/>
      <c r="B18" s="444" t="s">
        <v>1489</v>
      </c>
      <c r="C18" s="439" t="s">
        <v>1490</v>
      </c>
      <c r="D18" s="42" t="s">
        <v>57</v>
      </c>
      <c r="E18" s="442">
        <v>2</v>
      </c>
      <c r="F18" s="440">
        <v>4</v>
      </c>
      <c r="G18" s="44">
        <f t="shared" si="0"/>
        <v>80</v>
      </c>
      <c r="H18" s="431">
        <f t="shared" si="1"/>
        <v>66.666666666666671</v>
      </c>
      <c r="I18" s="113" t="s">
        <v>1189</v>
      </c>
      <c r="J18" s="46" t="s">
        <v>231</v>
      </c>
    </row>
    <row r="19" spans="1:10" x14ac:dyDescent="0.25">
      <c r="A19" s="504"/>
      <c r="B19" s="444" t="s">
        <v>630</v>
      </c>
      <c r="C19" s="439" t="s">
        <v>1491</v>
      </c>
      <c r="D19" s="42" t="s">
        <v>57</v>
      </c>
      <c r="E19" s="440">
        <v>2</v>
      </c>
      <c r="F19" s="440">
        <v>4</v>
      </c>
      <c r="G19" s="44">
        <f t="shared" si="0"/>
        <v>80</v>
      </c>
      <c r="H19" s="431">
        <f t="shared" si="1"/>
        <v>66.666666666666671</v>
      </c>
      <c r="I19" s="113" t="s">
        <v>1189</v>
      </c>
      <c r="J19" s="46" t="s">
        <v>231</v>
      </c>
    </row>
    <row r="20" spans="1:10" x14ac:dyDescent="0.25">
      <c r="A20" s="504"/>
      <c r="B20" s="445" t="s">
        <v>640</v>
      </c>
      <c r="C20" s="446" t="s">
        <v>1492</v>
      </c>
      <c r="D20" s="42" t="s">
        <v>60</v>
      </c>
      <c r="E20" s="447">
        <v>1</v>
      </c>
      <c r="F20" s="447">
        <v>4</v>
      </c>
      <c r="G20" s="44">
        <f t="shared" si="0"/>
        <v>80</v>
      </c>
      <c r="H20" s="431">
        <f t="shared" si="1"/>
        <v>66.666666666666671</v>
      </c>
      <c r="I20" s="113" t="s">
        <v>1213</v>
      </c>
      <c r="J20" s="46" t="s">
        <v>251</v>
      </c>
    </row>
    <row r="21" spans="1:10" ht="15.75" thickBot="1" x14ac:dyDescent="0.3">
      <c r="A21" s="504"/>
      <c r="B21" s="444" t="s">
        <v>1493</v>
      </c>
      <c r="C21" s="439" t="s">
        <v>1494</v>
      </c>
      <c r="D21" s="42" t="s">
        <v>57</v>
      </c>
      <c r="E21" s="447">
        <v>1</v>
      </c>
      <c r="F21" s="440">
        <v>4</v>
      </c>
      <c r="G21" s="44">
        <f t="shared" si="0"/>
        <v>80</v>
      </c>
      <c r="H21" s="431">
        <f t="shared" si="1"/>
        <v>66.666666666666671</v>
      </c>
      <c r="I21" s="113" t="s">
        <v>1189</v>
      </c>
      <c r="J21" s="46" t="s">
        <v>231</v>
      </c>
    </row>
    <row r="22" spans="1:10" x14ac:dyDescent="0.25">
      <c r="A22" s="504" t="s">
        <v>311</v>
      </c>
      <c r="B22" s="437" t="s">
        <v>1495</v>
      </c>
      <c r="C22" s="437" t="s">
        <v>1496</v>
      </c>
      <c r="D22" s="42" t="s">
        <v>60</v>
      </c>
      <c r="E22" s="438">
        <v>1</v>
      </c>
      <c r="F22" s="438">
        <v>2</v>
      </c>
      <c r="G22" s="44">
        <f t="shared" si="0"/>
        <v>40</v>
      </c>
      <c r="H22" s="431">
        <f t="shared" si="1"/>
        <v>33.333333333333336</v>
      </c>
      <c r="I22" s="113" t="s">
        <v>1189</v>
      </c>
      <c r="J22" s="46" t="s">
        <v>251</v>
      </c>
    </row>
    <row r="23" spans="1:10" x14ac:dyDescent="0.25">
      <c r="A23" s="504"/>
      <c r="B23" s="439" t="s">
        <v>1497</v>
      </c>
      <c r="C23" s="439" t="s">
        <v>1498</v>
      </c>
      <c r="D23" s="42" t="s">
        <v>57</v>
      </c>
      <c r="E23" s="440">
        <v>2</v>
      </c>
      <c r="F23" s="440">
        <v>2</v>
      </c>
      <c r="G23" s="44">
        <f t="shared" si="0"/>
        <v>40</v>
      </c>
      <c r="H23" s="431">
        <f t="shared" si="1"/>
        <v>33.333333333333336</v>
      </c>
      <c r="I23" s="47" t="s">
        <v>1189</v>
      </c>
      <c r="J23" s="46" t="s">
        <v>231</v>
      </c>
    </row>
    <row r="24" spans="1:10" x14ac:dyDescent="0.25">
      <c r="A24" s="504"/>
      <c r="B24" s="439" t="s">
        <v>1499</v>
      </c>
      <c r="C24" s="439" t="s">
        <v>1500</v>
      </c>
      <c r="D24" s="42" t="s">
        <v>57</v>
      </c>
      <c r="E24" s="440">
        <v>2</v>
      </c>
      <c r="F24" s="440">
        <v>4</v>
      </c>
      <c r="G24" s="44">
        <f t="shared" si="0"/>
        <v>80</v>
      </c>
      <c r="H24" s="431">
        <f t="shared" si="1"/>
        <v>66.666666666666671</v>
      </c>
      <c r="I24" s="113" t="s">
        <v>1189</v>
      </c>
      <c r="J24" s="46" t="s">
        <v>231</v>
      </c>
    </row>
    <row r="25" spans="1:10" x14ac:dyDescent="0.25">
      <c r="A25" s="504"/>
      <c r="B25" s="439" t="s">
        <v>642</v>
      </c>
      <c r="C25" s="439" t="s">
        <v>1501</v>
      </c>
      <c r="D25" s="42" t="s">
        <v>60</v>
      </c>
      <c r="E25" s="440">
        <v>1</v>
      </c>
      <c r="F25" s="440">
        <v>4</v>
      </c>
      <c r="G25" s="44">
        <f t="shared" si="0"/>
        <v>80</v>
      </c>
      <c r="H25" s="431">
        <f t="shared" si="1"/>
        <v>66.666666666666671</v>
      </c>
      <c r="I25" s="113" t="s">
        <v>1189</v>
      </c>
      <c r="J25" s="46" t="s">
        <v>251</v>
      </c>
    </row>
    <row r="26" spans="1:10" x14ac:dyDescent="0.25">
      <c r="A26" s="504"/>
      <c r="B26" s="439" t="s">
        <v>617</v>
      </c>
      <c r="C26" s="439" t="s">
        <v>1502</v>
      </c>
      <c r="D26" s="42" t="s">
        <v>60</v>
      </c>
      <c r="E26" s="440">
        <v>1</v>
      </c>
      <c r="F26" s="440">
        <v>4</v>
      </c>
      <c r="G26" s="44">
        <f t="shared" si="0"/>
        <v>80</v>
      </c>
      <c r="H26" s="431">
        <f t="shared" si="1"/>
        <v>66.666666666666671</v>
      </c>
      <c r="I26" s="113" t="s">
        <v>1213</v>
      </c>
      <c r="J26" s="46" t="s">
        <v>251</v>
      </c>
    </row>
    <row r="27" spans="1:10" ht="15.75" thickBot="1" x14ac:dyDescent="0.3">
      <c r="A27" s="504"/>
      <c r="B27" s="439" t="s">
        <v>1503</v>
      </c>
      <c r="C27" s="439" t="s">
        <v>1504</v>
      </c>
      <c r="D27" s="42" t="s">
        <v>57</v>
      </c>
      <c r="E27" s="440">
        <v>1</v>
      </c>
      <c r="F27" s="440">
        <v>4</v>
      </c>
      <c r="G27" s="44">
        <f t="shared" si="0"/>
        <v>80</v>
      </c>
      <c r="H27" s="431">
        <f t="shared" si="1"/>
        <v>66.666666666666671</v>
      </c>
      <c r="I27" s="113" t="s">
        <v>1189</v>
      </c>
      <c r="J27" s="46" t="s">
        <v>231</v>
      </c>
    </row>
    <row r="28" spans="1:10" x14ac:dyDescent="0.25">
      <c r="A28" s="504" t="s">
        <v>385</v>
      </c>
      <c r="B28" s="437" t="s">
        <v>1505</v>
      </c>
      <c r="C28" s="437" t="s">
        <v>1506</v>
      </c>
      <c r="D28" s="42" t="s">
        <v>57</v>
      </c>
      <c r="E28" s="438">
        <v>2</v>
      </c>
      <c r="F28" s="438">
        <v>4</v>
      </c>
      <c r="G28" s="44">
        <f t="shared" si="0"/>
        <v>80</v>
      </c>
      <c r="H28" s="431">
        <f t="shared" si="1"/>
        <v>66.666666666666671</v>
      </c>
      <c r="I28" s="113" t="s">
        <v>1213</v>
      </c>
      <c r="J28" s="46" t="s">
        <v>231</v>
      </c>
    </row>
    <row r="29" spans="1:10" x14ac:dyDescent="0.25">
      <c r="A29" s="504"/>
      <c r="B29" s="448" t="s">
        <v>649</v>
      </c>
      <c r="C29" s="439" t="s">
        <v>1507</v>
      </c>
      <c r="D29" s="42" t="s">
        <v>57</v>
      </c>
      <c r="E29" s="440">
        <v>1</v>
      </c>
      <c r="F29" s="440">
        <v>4</v>
      </c>
      <c r="G29" s="44">
        <f t="shared" si="0"/>
        <v>80</v>
      </c>
      <c r="H29" s="431">
        <f t="shared" si="1"/>
        <v>66.666666666666671</v>
      </c>
      <c r="I29" s="113" t="s">
        <v>1189</v>
      </c>
      <c r="J29" s="46" t="s">
        <v>251</v>
      </c>
    </row>
    <row r="30" spans="1:10" x14ac:dyDescent="0.25">
      <c r="A30" s="504"/>
      <c r="B30" s="439" t="s">
        <v>1508</v>
      </c>
      <c r="C30" s="439" t="s">
        <v>1509</v>
      </c>
      <c r="D30" s="42" t="s">
        <v>57</v>
      </c>
      <c r="E30" s="440">
        <v>2</v>
      </c>
      <c r="F30" s="440">
        <v>2</v>
      </c>
      <c r="G30" s="44">
        <f t="shared" si="0"/>
        <v>40</v>
      </c>
      <c r="H30" s="431">
        <f t="shared" si="1"/>
        <v>33.333333333333336</v>
      </c>
      <c r="I30" s="113" t="s">
        <v>1213</v>
      </c>
      <c r="J30" s="46" t="s">
        <v>231</v>
      </c>
    </row>
    <row r="31" spans="1:10" x14ac:dyDescent="0.25">
      <c r="A31" s="504"/>
      <c r="B31" s="439" t="s">
        <v>1510</v>
      </c>
      <c r="C31" s="439" t="s">
        <v>1511</v>
      </c>
      <c r="D31" s="42" t="s">
        <v>57</v>
      </c>
      <c r="E31" s="440">
        <v>2</v>
      </c>
      <c r="F31" s="440">
        <v>2</v>
      </c>
      <c r="G31" s="44">
        <f t="shared" si="0"/>
        <v>40</v>
      </c>
      <c r="H31" s="431">
        <f t="shared" si="1"/>
        <v>33.333333333333336</v>
      </c>
      <c r="I31" s="113" t="s">
        <v>1213</v>
      </c>
      <c r="J31" s="46" t="s">
        <v>231</v>
      </c>
    </row>
    <row r="32" spans="1:10" ht="16.149999999999999" customHeight="1" x14ac:dyDescent="0.25">
      <c r="A32" s="504"/>
      <c r="B32" s="439" t="s">
        <v>1512</v>
      </c>
      <c r="C32" s="439" t="s">
        <v>1513</v>
      </c>
      <c r="D32" s="42" t="s">
        <v>57</v>
      </c>
      <c r="E32" s="440">
        <v>2</v>
      </c>
      <c r="F32" s="440">
        <v>2</v>
      </c>
      <c r="G32" s="44">
        <f t="shared" si="0"/>
        <v>40</v>
      </c>
      <c r="H32" s="431">
        <f t="shared" si="1"/>
        <v>33.333333333333336</v>
      </c>
      <c r="I32" s="113" t="s">
        <v>1213</v>
      </c>
      <c r="J32" s="46" t="s">
        <v>231</v>
      </c>
    </row>
    <row r="33" spans="1:10" x14ac:dyDescent="0.25">
      <c r="A33" s="504"/>
      <c r="B33" s="439" t="s">
        <v>124</v>
      </c>
      <c r="C33" s="439" t="s">
        <v>1345</v>
      </c>
      <c r="D33" s="42" t="s">
        <v>60</v>
      </c>
      <c r="E33" s="440">
        <v>1</v>
      </c>
      <c r="F33" s="440">
        <v>2</v>
      </c>
      <c r="G33" s="44">
        <f t="shared" si="0"/>
        <v>40</v>
      </c>
      <c r="H33" s="431">
        <f t="shared" si="1"/>
        <v>33.333333333333336</v>
      </c>
      <c r="I33" s="113" t="s">
        <v>315</v>
      </c>
      <c r="J33" s="46" t="s">
        <v>251</v>
      </c>
    </row>
    <row r="34" spans="1:10" ht="15.75" thickBot="1" x14ac:dyDescent="0.3">
      <c r="A34" s="504"/>
      <c r="B34" s="439" t="s">
        <v>203</v>
      </c>
      <c r="C34" s="439" t="s">
        <v>1514</v>
      </c>
      <c r="D34" s="42" t="s">
        <v>60</v>
      </c>
      <c r="E34" s="440">
        <v>1</v>
      </c>
      <c r="F34" s="440">
        <v>4</v>
      </c>
      <c r="G34" s="44">
        <f t="shared" si="0"/>
        <v>80</v>
      </c>
      <c r="H34" s="431">
        <f t="shared" si="1"/>
        <v>66.666666666666671</v>
      </c>
      <c r="I34" s="113" t="s">
        <v>1189</v>
      </c>
      <c r="J34" s="46" t="s">
        <v>251</v>
      </c>
    </row>
    <row r="35" spans="1:10" x14ac:dyDescent="0.25">
      <c r="A35" s="504" t="s">
        <v>398</v>
      </c>
      <c r="B35" s="449" t="s">
        <v>1515</v>
      </c>
      <c r="C35" s="450" t="s">
        <v>1516</v>
      </c>
      <c r="D35" s="42" t="s">
        <v>57</v>
      </c>
      <c r="E35" s="438">
        <v>2</v>
      </c>
      <c r="F35" s="451">
        <v>2</v>
      </c>
      <c r="G35" s="44">
        <f t="shared" si="0"/>
        <v>40</v>
      </c>
      <c r="H35" s="431">
        <f t="shared" si="1"/>
        <v>33.333333333333336</v>
      </c>
      <c r="I35" s="47" t="s">
        <v>1189</v>
      </c>
      <c r="J35" s="46" t="s">
        <v>231</v>
      </c>
    </row>
    <row r="36" spans="1:10" x14ac:dyDescent="0.25">
      <c r="A36" s="504"/>
      <c r="B36" s="448" t="s">
        <v>657</v>
      </c>
      <c r="C36" s="446" t="s">
        <v>1517</v>
      </c>
      <c r="D36" s="42" t="s">
        <v>60</v>
      </c>
      <c r="E36" s="447">
        <v>1</v>
      </c>
      <c r="F36" s="452">
        <v>2</v>
      </c>
      <c r="G36" s="44">
        <f t="shared" si="0"/>
        <v>40</v>
      </c>
      <c r="H36" s="431">
        <f t="shared" si="1"/>
        <v>33.333333333333336</v>
      </c>
      <c r="I36" s="113" t="s">
        <v>1189</v>
      </c>
      <c r="J36" s="46" t="s">
        <v>251</v>
      </c>
    </row>
    <row r="37" spans="1:10" x14ac:dyDescent="0.25">
      <c r="A37" s="504"/>
      <c r="B37" s="446" t="s">
        <v>1518</v>
      </c>
      <c r="C37" s="446" t="s">
        <v>1519</v>
      </c>
      <c r="D37" s="42" t="s">
        <v>60</v>
      </c>
      <c r="E37" s="447">
        <v>1</v>
      </c>
      <c r="F37" s="447">
        <v>4</v>
      </c>
      <c r="G37" s="44">
        <f t="shared" si="0"/>
        <v>80</v>
      </c>
      <c r="H37" s="431">
        <f t="shared" si="1"/>
        <v>66.666666666666671</v>
      </c>
      <c r="I37" s="113" t="s">
        <v>1213</v>
      </c>
      <c r="J37" s="46" t="s">
        <v>251</v>
      </c>
    </row>
    <row r="38" spans="1:10" x14ac:dyDescent="0.25">
      <c r="A38" s="504"/>
      <c r="B38" s="439" t="s">
        <v>1520</v>
      </c>
      <c r="C38" s="439" t="s">
        <v>1521</v>
      </c>
      <c r="D38" s="42" t="s">
        <v>60</v>
      </c>
      <c r="E38" s="440">
        <v>1</v>
      </c>
      <c r="F38" s="440">
        <v>4</v>
      </c>
      <c r="G38" s="44">
        <f t="shared" si="0"/>
        <v>80</v>
      </c>
      <c r="H38" s="431">
        <f t="shared" si="1"/>
        <v>66.666666666666671</v>
      </c>
      <c r="I38" s="113" t="s">
        <v>1213</v>
      </c>
      <c r="J38" s="46" t="s">
        <v>251</v>
      </c>
    </row>
    <row r="39" spans="1:10" x14ac:dyDescent="0.25">
      <c r="A39" s="504"/>
      <c r="B39" s="439" t="s">
        <v>1522</v>
      </c>
      <c r="C39" s="439" t="s">
        <v>1523</v>
      </c>
      <c r="D39" s="42" t="s">
        <v>57</v>
      </c>
      <c r="E39" s="440">
        <v>2</v>
      </c>
      <c r="F39" s="440">
        <v>2</v>
      </c>
      <c r="G39" s="44">
        <f t="shared" si="0"/>
        <v>40</v>
      </c>
      <c r="H39" s="431">
        <f t="shared" si="1"/>
        <v>33.333333333333336</v>
      </c>
      <c r="I39" s="113" t="s">
        <v>1213</v>
      </c>
      <c r="J39" s="46" t="s">
        <v>231</v>
      </c>
    </row>
    <row r="40" spans="1:10" x14ac:dyDescent="0.25">
      <c r="A40" s="504"/>
      <c r="B40" s="439" t="s">
        <v>655</v>
      </c>
      <c r="C40" s="439" t="s">
        <v>1524</v>
      </c>
      <c r="D40" s="42" t="s">
        <v>60</v>
      </c>
      <c r="E40" s="440">
        <v>1</v>
      </c>
      <c r="F40" s="440">
        <v>2</v>
      </c>
      <c r="G40" s="44">
        <f t="shared" si="0"/>
        <v>40</v>
      </c>
      <c r="H40" s="431">
        <f t="shared" si="1"/>
        <v>33.333333333333336</v>
      </c>
      <c r="I40" s="113" t="s">
        <v>315</v>
      </c>
      <c r="J40" s="46" t="s">
        <v>251</v>
      </c>
    </row>
    <row r="41" spans="1:10" ht="15.75" thickBot="1" x14ac:dyDescent="0.3">
      <c r="A41" s="504"/>
      <c r="B41" s="439" t="s">
        <v>1525</v>
      </c>
      <c r="C41" s="439" t="s">
        <v>1526</v>
      </c>
      <c r="D41" s="42" t="s">
        <v>57</v>
      </c>
      <c r="E41" s="440">
        <v>1</v>
      </c>
      <c r="F41" s="440">
        <v>4</v>
      </c>
      <c r="G41" s="44">
        <f t="shared" si="0"/>
        <v>80</v>
      </c>
      <c r="H41" s="431">
        <f t="shared" si="1"/>
        <v>66.666666666666671</v>
      </c>
      <c r="I41" s="113" t="s">
        <v>1189</v>
      </c>
      <c r="J41" s="46" t="s">
        <v>231</v>
      </c>
    </row>
    <row r="42" spans="1:10" ht="15.75" thickBot="1" x14ac:dyDescent="0.3">
      <c r="A42" s="506" t="s">
        <v>297</v>
      </c>
      <c r="B42" s="506"/>
      <c r="C42" s="429" t="s">
        <v>1527</v>
      </c>
      <c r="D42" s="42" t="s">
        <v>54</v>
      </c>
      <c r="E42" s="42">
        <v>1</v>
      </c>
      <c r="F42" s="42">
        <v>2</v>
      </c>
      <c r="G42" s="44">
        <f t="shared" si="0"/>
        <v>40</v>
      </c>
      <c r="H42" s="431">
        <f t="shared" si="1"/>
        <v>33.333333333333336</v>
      </c>
      <c r="I42" s="47" t="s">
        <v>299</v>
      </c>
      <c r="J42" s="46" t="s">
        <v>251</v>
      </c>
    </row>
    <row r="43" spans="1:10" ht="16.5" thickBot="1" x14ac:dyDescent="0.3">
      <c r="A43" s="508" t="s">
        <v>302</v>
      </c>
      <c r="B43" s="508"/>
      <c r="C43" s="508"/>
      <c r="D43" s="508"/>
      <c r="E43" s="508"/>
      <c r="F43" s="53">
        <f>SUM(F5:F41)</f>
        <v>120</v>
      </c>
      <c r="G43" s="53">
        <f>SUM(G5:G41)</f>
        <v>2400</v>
      </c>
      <c r="H43" s="54"/>
      <c r="I43" s="36"/>
    </row>
    <row r="44" spans="1:10" ht="16.5" thickBot="1" x14ac:dyDescent="0.3">
      <c r="A44" s="508" t="s">
        <v>303</v>
      </c>
      <c r="B44" s="508"/>
      <c r="C44" s="508"/>
      <c r="D44" s="508"/>
      <c r="E44" s="508"/>
      <c r="F44" s="55">
        <f>(F43*$F$2*$C$50)/60</f>
        <v>2000</v>
      </c>
      <c r="H44" s="55">
        <f>SUM(F44:F44)</f>
        <v>2000</v>
      </c>
      <c r="I44" s="36"/>
    </row>
    <row r="45" spans="1:10" ht="15.75" thickBot="1" x14ac:dyDescent="0.3">
      <c r="A45" s="506" t="s">
        <v>667</v>
      </c>
      <c r="B45" s="506"/>
      <c r="C45" s="506"/>
      <c r="D45" s="506"/>
      <c r="E45" s="506"/>
      <c r="F45" s="506"/>
      <c r="G45" s="82"/>
      <c r="H45" s="58">
        <v>0</v>
      </c>
      <c r="I45" s="36"/>
    </row>
    <row r="46" spans="1:10" ht="16.5" thickBot="1" x14ac:dyDescent="0.3">
      <c r="A46" s="508" t="s">
        <v>305</v>
      </c>
      <c r="B46" s="508"/>
      <c r="C46" s="508"/>
      <c r="D46" s="508"/>
      <c r="E46" s="508"/>
      <c r="F46" s="508"/>
      <c r="H46" s="56">
        <f>H44+H45</f>
        <v>2000</v>
      </c>
      <c r="I46" s="36"/>
    </row>
    <row r="47" spans="1:10" ht="15.75" thickBot="1" x14ac:dyDescent="0.3">
      <c r="A47" s="506" t="s">
        <v>668</v>
      </c>
      <c r="B47" s="506"/>
      <c r="C47" s="506"/>
      <c r="D47" s="506"/>
      <c r="E47" s="506"/>
      <c r="F47" s="506"/>
      <c r="G47" s="82"/>
      <c r="H47" s="58">
        <v>360</v>
      </c>
      <c r="I47" s="36"/>
    </row>
    <row r="48" spans="1:10" ht="15.75" thickBot="1" x14ac:dyDescent="0.3">
      <c r="A48" s="506" t="s">
        <v>669</v>
      </c>
      <c r="B48" s="506"/>
      <c r="C48" s="506"/>
      <c r="D48" s="506"/>
      <c r="E48" s="506"/>
      <c r="F48" s="506"/>
      <c r="G48" s="82"/>
      <c r="H48" s="58">
        <v>80</v>
      </c>
      <c r="I48" s="36"/>
    </row>
    <row r="49" spans="1:9" ht="16.5" thickBot="1" x14ac:dyDescent="0.3">
      <c r="A49" s="523" t="s">
        <v>308</v>
      </c>
      <c r="B49" s="523"/>
      <c r="C49" s="523"/>
      <c r="D49" s="523"/>
      <c r="E49" s="523"/>
      <c r="F49" s="523"/>
      <c r="H49" s="56">
        <f>H46+H42+H47+H48</f>
        <v>2473.333333333333</v>
      </c>
      <c r="I49" s="36"/>
    </row>
    <row r="50" spans="1:9" ht="15.75" x14ac:dyDescent="0.25">
      <c r="A50" s="532" t="s">
        <v>309</v>
      </c>
      <c r="B50" s="532"/>
      <c r="C50" s="78">
        <v>50</v>
      </c>
      <c r="D50" s="79" t="s">
        <v>310</v>
      </c>
      <c r="E50" s="79"/>
      <c r="F50" s="79"/>
      <c r="G50" s="36"/>
      <c r="H50" s="36"/>
      <c r="I50" s="36"/>
    </row>
    <row r="53" spans="1:9" x14ac:dyDescent="0.25">
      <c r="E53">
        <f>SUMPRODUCT(H5:H41,E5:E41)/F44</f>
        <v>1.4666666666666661</v>
      </c>
    </row>
  </sheetData>
  <mergeCells count="24">
    <mergeCell ref="A17:A21"/>
    <mergeCell ref="A2:C2"/>
    <mergeCell ref="B3:B4"/>
    <mergeCell ref="C3:C4"/>
    <mergeCell ref="D3:D4"/>
    <mergeCell ref="H3:H4"/>
    <mergeCell ref="I3:I4"/>
    <mergeCell ref="J3:J4"/>
    <mergeCell ref="A5:A10"/>
    <mergeCell ref="A11:A16"/>
    <mergeCell ref="E3:E4"/>
    <mergeCell ref="G3:G4"/>
    <mergeCell ref="A50:B50"/>
    <mergeCell ref="A22:A27"/>
    <mergeCell ref="A28:A34"/>
    <mergeCell ref="A35:A41"/>
    <mergeCell ref="A42:B42"/>
    <mergeCell ref="A43:E43"/>
    <mergeCell ref="A44:E44"/>
    <mergeCell ref="A45:F45"/>
    <mergeCell ref="A46:F46"/>
    <mergeCell ref="A47:F47"/>
    <mergeCell ref="A48:F48"/>
    <mergeCell ref="A49:F49"/>
  </mergeCells>
  <dataValidations count="2">
    <dataValidation type="list" allowBlank="1" showInputMessage="1" showErrorMessage="1" sqref="I1:I1048576" xr:uid="{29CAA757-DA24-4B03-BBBE-A643A6FE5364}">
      <formula1>Áreas</formula1>
    </dataValidation>
    <dataValidation type="list" allowBlank="1" showInputMessage="1" showErrorMessage="1" sqref="J1:J1048576" xr:uid="{70E18635-FD65-4CF4-85C5-6303E9EC7C7F}">
      <formula1>Ambientes</formula1>
    </dataValidation>
  </dataValidations>
  <pageMargins left="0.511811024" right="0.511811024" top="0.78740157499999996" bottom="0.78740157499999996" header="0.31496062000000002" footer="0.31496062000000002"/>
  <pageSetup scale="51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9C93F-8EF7-4AC9-8531-037DE3504ACD}">
  <sheetPr codeName="Planilha51">
    <tabColor theme="5"/>
  </sheetPr>
  <dimension ref="A1:K96"/>
  <sheetViews>
    <sheetView topLeftCell="A53" zoomScale="60" zoomScaleNormal="60" workbookViewId="0">
      <selection activeCell="I36" sqref="I36"/>
    </sheetView>
  </sheetViews>
  <sheetFormatPr defaultColWidth="8.85546875" defaultRowHeight="15" x14ac:dyDescent="0.25"/>
  <cols>
    <col min="1" max="1" width="9.7109375" bestFit="1" customWidth="1"/>
    <col min="2" max="2" width="40.7109375" customWidth="1"/>
    <col min="3" max="3" width="14.140625" customWidth="1"/>
    <col min="6" max="6" width="11.5703125" customWidth="1"/>
    <col min="9" max="9" width="21" customWidth="1"/>
    <col min="10" max="10" width="33.85546875" bestFit="1" customWidth="1"/>
  </cols>
  <sheetData>
    <row r="1" spans="1:11" x14ac:dyDescent="0.25">
      <c r="A1" s="559" t="s">
        <v>36</v>
      </c>
      <c r="B1" s="560"/>
      <c r="C1" s="560"/>
      <c r="D1" s="560"/>
      <c r="E1" s="560"/>
      <c r="F1" s="561"/>
      <c r="G1" s="562" t="str">
        <f>_xlfn.CONCAT("Carga horária mínima do curso: ",TEXT(H88,"0,0")," h")</f>
        <v>Carga horária mínima do curso: 3792,6 h</v>
      </c>
      <c r="H1" s="563"/>
    </row>
    <row r="2" spans="1:11" x14ac:dyDescent="0.25">
      <c r="A2" s="568" t="s">
        <v>37</v>
      </c>
      <c r="B2" s="569"/>
      <c r="C2" s="569"/>
      <c r="D2" s="569"/>
      <c r="E2" s="569"/>
      <c r="F2" s="570"/>
      <c r="G2" s="564"/>
      <c r="H2" s="565"/>
    </row>
    <row r="3" spans="1:11" x14ac:dyDescent="0.25">
      <c r="A3" s="571" t="s">
        <v>38</v>
      </c>
      <c r="B3" s="572"/>
      <c r="C3" s="572"/>
      <c r="D3" s="572"/>
      <c r="E3" s="572"/>
      <c r="F3" s="573"/>
      <c r="G3" s="564"/>
      <c r="H3" s="565"/>
    </row>
    <row r="4" spans="1:11" x14ac:dyDescent="0.25">
      <c r="A4" s="571" t="s">
        <v>39</v>
      </c>
      <c r="B4" s="572"/>
      <c r="C4" s="572"/>
      <c r="D4" s="572"/>
      <c r="E4" s="572"/>
      <c r="F4" s="573"/>
      <c r="G4" s="564"/>
      <c r="H4" s="565"/>
    </row>
    <row r="5" spans="1:11" ht="15.75" thickBot="1" x14ac:dyDescent="0.3">
      <c r="A5" s="574" t="s">
        <v>40</v>
      </c>
      <c r="B5" s="575"/>
      <c r="C5" s="575"/>
      <c r="D5" s="575"/>
      <c r="E5" s="575"/>
      <c r="F5" s="576"/>
      <c r="G5" s="566"/>
      <c r="H5" s="567"/>
    </row>
    <row r="6" spans="1:11" x14ac:dyDescent="0.25">
      <c r="A6" s="2"/>
      <c r="B6" s="3"/>
      <c r="C6" s="3"/>
      <c r="D6" s="3"/>
      <c r="E6" s="3"/>
      <c r="F6" s="4"/>
      <c r="G6" s="548" t="s">
        <v>41</v>
      </c>
      <c r="H6" s="549"/>
    </row>
    <row r="7" spans="1:11" ht="15.75" thickBot="1" x14ac:dyDescent="0.3">
      <c r="A7" s="550" t="s">
        <v>42</v>
      </c>
      <c r="B7" s="551"/>
      <c r="C7" s="551"/>
      <c r="D7" s="551"/>
      <c r="E7" s="552"/>
      <c r="F7" s="553"/>
      <c r="G7" s="554" t="s">
        <v>43</v>
      </c>
      <c r="H7" s="555"/>
    </row>
    <row r="8" spans="1:11" ht="29.2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1" ht="15.75" thickBot="1" x14ac:dyDescent="0.3">
      <c r="A9" s="537" t="s">
        <v>51</v>
      </c>
      <c r="B9" s="422" t="s">
        <v>1332</v>
      </c>
      <c r="C9" s="423" t="s">
        <v>1333</v>
      </c>
      <c r="D9" s="10" t="s">
        <v>60</v>
      </c>
      <c r="E9" s="423">
        <v>1</v>
      </c>
      <c r="F9" s="424">
        <v>6</v>
      </c>
      <c r="G9" s="12">
        <f t="shared" ref="G9:G36" si="0">$E$92*F9</f>
        <v>120</v>
      </c>
      <c r="H9" s="13">
        <f t="shared" ref="H9:H36" si="1">ROUND(G9*$C$92/60,1)</f>
        <v>100</v>
      </c>
      <c r="I9" s="69" t="s">
        <v>19</v>
      </c>
      <c r="J9" s="69" t="s">
        <v>231</v>
      </c>
      <c r="K9" t="s">
        <v>1213</v>
      </c>
    </row>
    <row r="10" spans="1:11" ht="15.75" thickBot="1" x14ac:dyDescent="0.3">
      <c r="A10" s="538"/>
      <c r="B10" s="422" t="s">
        <v>1334</v>
      </c>
      <c r="C10" s="423" t="s">
        <v>1335</v>
      </c>
      <c r="D10" s="16" t="s">
        <v>60</v>
      </c>
      <c r="E10" s="423">
        <v>1</v>
      </c>
      <c r="F10" s="424">
        <v>4</v>
      </c>
      <c r="G10" s="12">
        <f t="shared" si="0"/>
        <v>80</v>
      </c>
      <c r="H10" s="13">
        <f t="shared" si="1"/>
        <v>66.7</v>
      </c>
      <c r="I10" s="70" t="s">
        <v>20</v>
      </c>
      <c r="J10" s="70" t="s">
        <v>231</v>
      </c>
    </row>
    <row r="11" spans="1:11" ht="15.75" thickBot="1" x14ac:dyDescent="0.3">
      <c r="A11" s="538"/>
      <c r="B11" s="422" t="s">
        <v>1336</v>
      </c>
      <c r="C11" s="423" t="s">
        <v>1337</v>
      </c>
      <c r="D11" s="16" t="s">
        <v>57</v>
      </c>
      <c r="E11" s="423">
        <v>2</v>
      </c>
      <c r="F11" s="424">
        <v>2</v>
      </c>
      <c r="G11" s="12">
        <f t="shared" si="0"/>
        <v>40</v>
      </c>
      <c r="H11" s="13">
        <f t="shared" si="1"/>
        <v>33.299999999999997</v>
      </c>
      <c r="I11" s="70" t="s">
        <v>20</v>
      </c>
      <c r="J11" s="70"/>
    </row>
    <row r="12" spans="1:11" ht="15.75" thickBot="1" x14ac:dyDescent="0.3">
      <c r="A12" s="538"/>
      <c r="B12" s="422" t="s">
        <v>1338</v>
      </c>
      <c r="C12" s="423" t="s">
        <v>1339</v>
      </c>
      <c r="D12" s="16" t="s">
        <v>57</v>
      </c>
      <c r="E12" s="423">
        <v>2</v>
      </c>
      <c r="F12" s="424">
        <v>2</v>
      </c>
      <c r="G12" s="12">
        <f t="shared" si="0"/>
        <v>40</v>
      </c>
      <c r="H12" s="13">
        <f t="shared" si="1"/>
        <v>33.299999999999997</v>
      </c>
      <c r="I12" s="70" t="s">
        <v>1213</v>
      </c>
      <c r="J12" s="70"/>
    </row>
    <row r="13" spans="1:11" ht="15.75" thickBot="1" x14ac:dyDescent="0.3">
      <c r="A13" s="538"/>
      <c r="B13" s="422" t="s">
        <v>1340</v>
      </c>
      <c r="C13" s="423" t="s">
        <v>1341</v>
      </c>
      <c r="D13" s="16" t="s">
        <v>57</v>
      </c>
      <c r="E13" s="423">
        <v>2</v>
      </c>
      <c r="F13" s="424">
        <v>4</v>
      </c>
      <c r="G13" s="12">
        <f t="shared" si="0"/>
        <v>80</v>
      </c>
      <c r="H13" s="13">
        <f t="shared" si="1"/>
        <v>66.7</v>
      </c>
      <c r="I13" s="70" t="s">
        <v>19</v>
      </c>
      <c r="J13" s="70" t="s">
        <v>230</v>
      </c>
    </row>
    <row r="14" spans="1:11" ht="15.75" thickBot="1" x14ac:dyDescent="0.3">
      <c r="A14" s="538"/>
      <c r="B14" s="422" t="s">
        <v>1342</v>
      </c>
      <c r="C14" s="423" t="s">
        <v>1343</v>
      </c>
      <c r="D14" s="16" t="s">
        <v>60</v>
      </c>
      <c r="E14" s="423">
        <v>1</v>
      </c>
      <c r="F14" s="424">
        <v>2</v>
      </c>
      <c r="G14" s="12">
        <f t="shared" si="0"/>
        <v>40</v>
      </c>
      <c r="H14" s="13">
        <f t="shared" si="1"/>
        <v>33.299999999999997</v>
      </c>
      <c r="I14" s="70" t="s">
        <v>7</v>
      </c>
      <c r="J14" s="70" t="s">
        <v>230</v>
      </c>
    </row>
    <row r="15" spans="1:11" ht="15.75" thickBot="1" x14ac:dyDescent="0.3">
      <c r="A15" s="538"/>
      <c r="B15" s="422" t="s">
        <v>1344</v>
      </c>
      <c r="C15" s="423" t="s">
        <v>1345</v>
      </c>
      <c r="D15" s="16" t="s">
        <v>60</v>
      </c>
      <c r="E15" s="423">
        <v>1</v>
      </c>
      <c r="F15" s="424">
        <v>2</v>
      </c>
      <c r="G15" s="12">
        <f t="shared" si="0"/>
        <v>40</v>
      </c>
      <c r="H15" s="13">
        <f t="shared" si="1"/>
        <v>33.299999999999997</v>
      </c>
      <c r="I15" s="381" t="s">
        <v>315</v>
      </c>
      <c r="J15" s="70" t="s">
        <v>230</v>
      </c>
    </row>
    <row r="16" spans="1:11" ht="43.5" thickBot="1" x14ac:dyDescent="0.3">
      <c r="A16" s="538"/>
      <c r="B16" s="422" t="s">
        <v>1346</v>
      </c>
      <c r="C16" s="423" t="s">
        <v>1347</v>
      </c>
      <c r="D16" s="16" t="s">
        <v>60</v>
      </c>
      <c r="E16" s="423">
        <v>1</v>
      </c>
      <c r="F16" s="424">
        <v>2</v>
      </c>
      <c r="G16" s="12">
        <f t="shared" si="0"/>
        <v>40</v>
      </c>
      <c r="H16" s="13">
        <f t="shared" si="1"/>
        <v>33.299999999999997</v>
      </c>
      <c r="I16" s="70" t="s">
        <v>8</v>
      </c>
      <c r="J16" s="70" t="s">
        <v>232</v>
      </c>
    </row>
    <row r="17" spans="1:11" ht="15.75" thickBot="1" x14ac:dyDescent="0.3">
      <c r="A17" s="541"/>
      <c r="B17" s="422" t="s">
        <v>1348</v>
      </c>
      <c r="C17" s="423" t="s">
        <v>1349</v>
      </c>
      <c r="D17" s="22" t="s">
        <v>60</v>
      </c>
      <c r="E17" s="423">
        <v>1</v>
      </c>
      <c r="F17" s="424">
        <v>2</v>
      </c>
      <c r="G17" s="12">
        <f t="shared" si="0"/>
        <v>40</v>
      </c>
      <c r="H17" s="13">
        <f t="shared" si="1"/>
        <v>33.299999999999997</v>
      </c>
      <c r="I17" s="71" t="s">
        <v>14</v>
      </c>
      <c r="J17" s="71" t="s">
        <v>230</v>
      </c>
    </row>
    <row r="18" spans="1:11" x14ac:dyDescent="0.25">
      <c r="A18" s="537" t="s">
        <v>67</v>
      </c>
      <c r="B18" s="422" t="s">
        <v>1350</v>
      </c>
      <c r="C18" s="423" t="s">
        <v>1351</v>
      </c>
      <c r="D18" s="10" t="s">
        <v>60</v>
      </c>
      <c r="E18" s="423">
        <v>1</v>
      </c>
      <c r="F18" s="424">
        <v>6</v>
      </c>
      <c r="G18" s="12">
        <f t="shared" si="0"/>
        <v>120</v>
      </c>
      <c r="H18" s="13">
        <f t="shared" si="1"/>
        <v>100</v>
      </c>
      <c r="I18" s="383" t="s">
        <v>19</v>
      </c>
      <c r="J18" s="69" t="s">
        <v>230</v>
      </c>
    </row>
    <row r="19" spans="1:11" ht="28.5" x14ac:dyDescent="0.25">
      <c r="A19" s="538"/>
      <c r="B19" s="422" t="s">
        <v>1352</v>
      </c>
      <c r="C19" s="423" t="s">
        <v>1353</v>
      </c>
      <c r="D19" s="16" t="s">
        <v>60</v>
      </c>
      <c r="E19" s="423">
        <v>1</v>
      </c>
      <c r="F19" s="424">
        <v>4</v>
      </c>
      <c r="G19" s="18">
        <f t="shared" si="0"/>
        <v>80</v>
      </c>
      <c r="H19" s="368">
        <f t="shared" si="1"/>
        <v>66.7</v>
      </c>
      <c r="I19" s="70" t="s">
        <v>19</v>
      </c>
      <c r="J19" s="70" t="s">
        <v>230</v>
      </c>
    </row>
    <row r="20" spans="1:11" x14ac:dyDescent="0.25">
      <c r="A20" s="538"/>
      <c r="B20" s="422" t="s">
        <v>1354</v>
      </c>
      <c r="C20" s="423" t="s">
        <v>1355</v>
      </c>
      <c r="D20" s="16" t="s">
        <v>60</v>
      </c>
      <c r="E20" s="423">
        <v>1</v>
      </c>
      <c r="F20" s="424">
        <v>2</v>
      </c>
      <c r="G20" s="18">
        <f t="shared" si="0"/>
        <v>40</v>
      </c>
      <c r="H20" s="368">
        <f t="shared" si="1"/>
        <v>33.299999999999997</v>
      </c>
      <c r="I20" s="70" t="s">
        <v>20</v>
      </c>
      <c r="J20" s="70" t="s">
        <v>232</v>
      </c>
    </row>
    <row r="21" spans="1:11" x14ac:dyDescent="0.25">
      <c r="A21" s="538"/>
      <c r="B21" s="422" t="s">
        <v>1356</v>
      </c>
      <c r="C21" s="423" t="s">
        <v>1357</v>
      </c>
      <c r="D21" s="16" t="s">
        <v>57</v>
      </c>
      <c r="E21" s="423">
        <v>2</v>
      </c>
      <c r="F21" s="424">
        <v>2</v>
      </c>
      <c r="G21" s="18">
        <f t="shared" si="0"/>
        <v>40</v>
      </c>
      <c r="H21" s="368">
        <f t="shared" si="1"/>
        <v>33.299999999999997</v>
      </c>
      <c r="I21" s="70" t="s">
        <v>20</v>
      </c>
      <c r="J21" s="70" t="s">
        <v>230</v>
      </c>
    </row>
    <row r="22" spans="1:11" x14ac:dyDescent="0.25">
      <c r="A22" s="538"/>
      <c r="B22" s="422" t="s">
        <v>1696</v>
      </c>
      <c r="C22" s="423" t="s">
        <v>1358</v>
      </c>
      <c r="D22" s="16" t="s">
        <v>60</v>
      </c>
      <c r="E22" s="423">
        <v>1</v>
      </c>
      <c r="F22" s="424">
        <v>2</v>
      </c>
      <c r="G22" s="18">
        <f t="shared" ref="G22" si="2">$E$92*F22</f>
        <v>40</v>
      </c>
      <c r="H22" s="368">
        <f t="shared" ref="H22" si="3">ROUND(G22*$C$92/60,1)</f>
        <v>33.299999999999997</v>
      </c>
      <c r="I22" s="70" t="s">
        <v>20</v>
      </c>
      <c r="J22" s="70" t="s">
        <v>232</v>
      </c>
    </row>
    <row r="23" spans="1:11" x14ac:dyDescent="0.25">
      <c r="A23" s="538"/>
      <c r="B23" s="422" t="s">
        <v>1697</v>
      </c>
      <c r="C23" s="423" t="s">
        <v>1358</v>
      </c>
      <c r="D23" s="16" t="s">
        <v>57</v>
      </c>
      <c r="E23" s="423">
        <v>2</v>
      </c>
      <c r="F23" s="424">
        <v>2</v>
      </c>
      <c r="G23" s="18">
        <f t="shared" si="0"/>
        <v>40</v>
      </c>
      <c r="H23" s="368">
        <f t="shared" si="1"/>
        <v>33.299999999999997</v>
      </c>
      <c r="I23" s="70" t="s">
        <v>20</v>
      </c>
      <c r="J23" s="70" t="s">
        <v>232</v>
      </c>
    </row>
    <row r="24" spans="1:11" x14ac:dyDescent="0.25">
      <c r="A24" s="538"/>
      <c r="B24" s="422" t="s">
        <v>1359</v>
      </c>
      <c r="C24" s="423" t="s">
        <v>1360</v>
      </c>
      <c r="D24" s="16" t="s">
        <v>57</v>
      </c>
      <c r="E24" s="423">
        <v>2</v>
      </c>
      <c r="F24" s="424">
        <v>2</v>
      </c>
      <c r="G24" s="18">
        <f t="shared" si="0"/>
        <v>40</v>
      </c>
      <c r="H24" s="368">
        <f t="shared" si="1"/>
        <v>33.299999999999997</v>
      </c>
      <c r="I24" s="70" t="s">
        <v>1213</v>
      </c>
      <c r="J24" s="70" t="s">
        <v>230</v>
      </c>
    </row>
    <row r="25" spans="1:11" x14ac:dyDescent="0.25">
      <c r="A25" s="538"/>
      <c r="B25" s="422" t="s">
        <v>1361</v>
      </c>
      <c r="C25" s="423" t="s">
        <v>1362</v>
      </c>
      <c r="D25" s="16" t="s">
        <v>57</v>
      </c>
      <c r="E25" s="423">
        <v>2</v>
      </c>
      <c r="F25" s="424">
        <v>4</v>
      </c>
      <c r="G25" s="18">
        <f t="shared" si="0"/>
        <v>80</v>
      </c>
      <c r="H25" s="368">
        <f t="shared" si="1"/>
        <v>66.7</v>
      </c>
      <c r="I25" s="70" t="s">
        <v>20</v>
      </c>
      <c r="J25" s="70" t="s">
        <v>314</v>
      </c>
      <c r="K25" t="s">
        <v>1189</v>
      </c>
    </row>
    <row r="26" spans="1:11" x14ac:dyDescent="0.25">
      <c r="A26" s="538"/>
      <c r="B26" s="422" t="s">
        <v>1363</v>
      </c>
      <c r="C26" s="423" t="s">
        <v>1364</v>
      </c>
      <c r="D26" s="16" t="s">
        <v>60</v>
      </c>
      <c r="E26" s="423">
        <v>1</v>
      </c>
      <c r="F26" s="424">
        <v>2</v>
      </c>
      <c r="G26" s="18">
        <f t="shared" si="0"/>
        <v>40</v>
      </c>
      <c r="H26" s="368">
        <f t="shared" si="1"/>
        <v>33.299999999999997</v>
      </c>
      <c r="I26" s="70" t="s">
        <v>7</v>
      </c>
      <c r="J26" s="70" t="s">
        <v>230</v>
      </c>
    </row>
    <row r="27" spans="1:11" ht="15.75" thickBot="1" x14ac:dyDescent="0.3">
      <c r="A27" s="541"/>
      <c r="B27" s="425" t="s">
        <v>1365</v>
      </c>
      <c r="C27" s="426" t="s">
        <v>1366</v>
      </c>
      <c r="D27" s="22" t="s">
        <v>60</v>
      </c>
      <c r="E27" s="426">
        <v>1</v>
      </c>
      <c r="F27" s="427">
        <v>2</v>
      </c>
      <c r="G27" s="24">
        <f t="shared" si="0"/>
        <v>40</v>
      </c>
      <c r="H27" s="25">
        <f t="shared" si="1"/>
        <v>33.299999999999997</v>
      </c>
      <c r="I27" s="71" t="s">
        <v>9</v>
      </c>
      <c r="J27" s="71" t="s">
        <v>316</v>
      </c>
    </row>
    <row r="28" spans="1:11" ht="15.75" thickBot="1" x14ac:dyDescent="0.3">
      <c r="A28" s="537" t="s">
        <v>85</v>
      </c>
      <c r="B28" s="422" t="s">
        <v>1367</v>
      </c>
      <c r="C28" s="423" t="s">
        <v>1368</v>
      </c>
      <c r="D28" s="10" t="s">
        <v>60</v>
      </c>
      <c r="E28" s="423">
        <v>1</v>
      </c>
      <c r="F28" s="424">
        <v>6</v>
      </c>
      <c r="G28" s="12">
        <f t="shared" si="0"/>
        <v>120</v>
      </c>
      <c r="H28" s="13">
        <f t="shared" si="1"/>
        <v>100</v>
      </c>
      <c r="I28" s="69" t="s">
        <v>20</v>
      </c>
      <c r="J28" s="69" t="s">
        <v>230</v>
      </c>
    </row>
    <row r="29" spans="1:11" ht="15.75" thickBot="1" x14ac:dyDescent="0.3">
      <c r="A29" s="538"/>
      <c r="B29" s="422" t="s">
        <v>1369</v>
      </c>
      <c r="C29" s="423" t="s">
        <v>1370</v>
      </c>
      <c r="D29" s="16" t="s">
        <v>60</v>
      </c>
      <c r="E29" s="423">
        <v>1</v>
      </c>
      <c r="F29" s="424">
        <v>4</v>
      </c>
      <c r="G29" s="12">
        <f t="shared" si="0"/>
        <v>80</v>
      </c>
      <c r="H29" s="13">
        <f t="shared" si="1"/>
        <v>66.7</v>
      </c>
      <c r="I29" s="70" t="s">
        <v>20</v>
      </c>
      <c r="J29" s="70" t="s">
        <v>230</v>
      </c>
    </row>
    <row r="30" spans="1:11" ht="29.25" thickBot="1" x14ac:dyDescent="0.3">
      <c r="A30" s="538"/>
      <c r="B30" s="422" t="s">
        <v>1371</v>
      </c>
      <c r="C30" s="423" t="s">
        <v>1372</v>
      </c>
      <c r="D30" s="16" t="s">
        <v>57</v>
      </c>
      <c r="E30" s="423">
        <v>2</v>
      </c>
      <c r="F30" s="424">
        <v>2</v>
      </c>
      <c r="G30" s="12">
        <f t="shared" si="0"/>
        <v>40</v>
      </c>
      <c r="H30" s="13">
        <f t="shared" si="1"/>
        <v>33.299999999999997</v>
      </c>
      <c r="I30" s="70" t="s">
        <v>20</v>
      </c>
      <c r="J30" s="70" t="s">
        <v>232</v>
      </c>
    </row>
    <row r="31" spans="1:11" ht="15.75" thickBot="1" x14ac:dyDescent="0.3">
      <c r="A31" s="538"/>
      <c r="B31" s="422" t="s">
        <v>1698</v>
      </c>
      <c r="C31" s="423" t="s">
        <v>1373</v>
      </c>
      <c r="D31" s="16" t="s">
        <v>60</v>
      </c>
      <c r="E31" s="423">
        <v>1</v>
      </c>
      <c r="F31" s="424">
        <v>2</v>
      </c>
      <c r="G31" s="12">
        <f t="shared" ref="G31" si="4">$E$92*F31</f>
        <v>40</v>
      </c>
      <c r="H31" s="13">
        <f t="shared" ref="H31" si="5">ROUND(G31*$C$92/60,1)</f>
        <v>33.299999999999997</v>
      </c>
      <c r="I31" s="70" t="s">
        <v>20</v>
      </c>
      <c r="J31" s="70" t="s">
        <v>232</v>
      </c>
    </row>
    <row r="32" spans="1:11" ht="15.75" thickBot="1" x14ac:dyDescent="0.3">
      <c r="A32" s="538"/>
      <c r="B32" s="422" t="s">
        <v>1699</v>
      </c>
      <c r="C32" s="423" t="s">
        <v>1373</v>
      </c>
      <c r="D32" s="16" t="s">
        <v>57</v>
      </c>
      <c r="E32" s="423">
        <v>2</v>
      </c>
      <c r="F32" s="424">
        <v>2</v>
      </c>
      <c r="G32" s="12">
        <f t="shared" si="0"/>
        <v>40</v>
      </c>
      <c r="H32" s="13">
        <f t="shared" si="1"/>
        <v>33.299999999999997</v>
      </c>
      <c r="I32" s="70" t="s">
        <v>20</v>
      </c>
      <c r="J32" s="70" t="s">
        <v>232</v>
      </c>
    </row>
    <row r="33" spans="1:11" ht="15.75" thickBot="1" x14ac:dyDescent="0.3">
      <c r="A33" s="538"/>
      <c r="B33" s="422" t="s">
        <v>1374</v>
      </c>
      <c r="C33" s="423" t="s">
        <v>1375</v>
      </c>
      <c r="D33" s="16" t="s">
        <v>60</v>
      </c>
      <c r="E33" s="423">
        <v>2</v>
      </c>
      <c r="F33" s="424">
        <v>2</v>
      </c>
      <c r="G33" s="12">
        <f t="shared" si="0"/>
        <v>40</v>
      </c>
      <c r="H33" s="13">
        <f t="shared" si="1"/>
        <v>33.299999999999997</v>
      </c>
      <c r="I33" s="70" t="s">
        <v>1213</v>
      </c>
      <c r="J33" s="70" t="s">
        <v>230</v>
      </c>
    </row>
    <row r="34" spans="1:11" ht="15.75" thickBot="1" x14ac:dyDescent="0.3">
      <c r="A34" s="538"/>
      <c r="B34" s="422" t="s">
        <v>1376</v>
      </c>
      <c r="C34" s="423" t="s">
        <v>1377</v>
      </c>
      <c r="D34" s="15" t="s">
        <v>57</v>
      </c>
      <c r="E34" s="423">
        <v>2</v>
      </c>
      <c r="F34" s="424">
        <v>4</v>
      </c>
      <c r="G34" s="12">
        <f t="shared" si="0"/>
        <v>80</v>
      </c>
      <c r="H34" s="13">
        <f t="shared" si="1"/>
        <v>66.7</v>
      </c>
      <c r="I34" s="70" t="s">
        <v>20</v>
      </c>
      <c r="J34" s="70" t="s">
        <v>232</v>
      </c>
    </row>
    <row r="35" spans="1:11" ht="15.75" thickBot="1" x14ac:dyDescent="0.3">
      <c r="A35" s="538"/>
      <c r="B35" s="422" t="s">
        <v>1378</v>
      </c>
      <c r="C35" s="423" t="s">
        <v>1379</v>
      </c>
      <c r="D35" s="16" t="s">
        <v>60</v>
      </c>
      <c r="E35" s="423">
        <v>1</v>
      </c>
      <c r="F35" s="424">
        <v>4</v>
      </c>
      <c r="G35" s="12">
        <f t="shared" si="0"/>
        <v>80</v>
      </c>
      <c r="H35" s="13">
        <f t="shared" si="1"/>
        <v>66.7</v>
      </c>
      <c r="I35" s="70" t="s">
        <v>19</v>
      </c>
      <c r="J35" s="70" t="s">
        <v>230</v>
      </c>
    </row>
    <row r="36" spans="1:11" ht="15.75" thickBot="1" x14ac:dyDescent="0.3">
      <c r="A36" s="541"/>
      <c r="B36" s="422" t="s">
        <v>1380</v>
      </c>
      <c r="C36" s="423" t="s">
        <v>1381</v>
      </c>
      <c r="D36" s="22" t="s">
        <v>57</v>
      </c>
      <c r="E36" s="423">
        <v>1</v>
      </c>
      <c r="F36" s="424">
        <v>2</v>
      </c>
      <c r="G36" s="12">
        <f t="shared" si="0"/>
        <v>40</v>
      </c>
      <c r="H36" s="13">
        <f t="shared" si="1"/>
        <v>33.299999999999997</v>
      </c>
      <c r="I36" s="382" t="s">
        <v>315</v>
      </c>
      <c r="J36" s="71" t="s">
        <v>231</v>
      </c>
      <c r="K36" t="s">
        <v>1189</v>
      </c>
    </row>
    <row r="37" spans="1:11" x14ac:dyDescent="0.25">
      <c r="A37" s="556" t="s">
        <v>99</v>
      </c>
      <c r="B37" s="422" t="s">
        <v>1382</v>
      </c>
      <c r="C37" s="423" t="s">
        <v>1383</v>
      </c>
      <c r="D37" s="16" t="s">
        <v>60</v>
      </c>
      <c r="E37" s="423">
        <v>1</v>
      </c>
      <c r="F37" s="424">
        <v>2</v>
      </c>
      <c r="G37" s="18">
        <f>$E$92*F37</f>
        <v>40</v>
      </c>
      <c r="H37" s="368">
        <f>ROUND(G37*$C$92/60,1)</f>
        <v>33.299999999999997</v>
      </c>
      <c r="I37" s="70" t="s">
        <v>20</v>
      </c>
      <c r="J37" s="70" t="s">
        <v>230</v>
      </c>
    </row>
    <row r="38" spans="1:11" ht="28.5" x14ac:dyDescent="0.25">
      <c r="A38" s="557"/>
      <c r="B38" s="422" t="s">
        <v>1384</v>
      </c>
      <c r="C38" s="423" t="s">
        <v>1385</v>
      </c>
      <c r="D38" s="16" t="s">
        <v>57</v>
      </c>
      <c r="E38" s="423">
        <v>2</v>
      </c>
      <c r="F38" s="424">
        <v>2</v>
      </c>
      <c r="G38" s="18">
        <f t="shared" ref="G38:G83" si="6">$E$92*F38</f>
        <v>40</v>
      </c>
      <c r="H38" s="368">
        <f t="shared" ref="H38:H83" si="7">ROUND(G38*$C$92/60,1)</f>
        <v>33.299999999999997</v>
      </c>
      <c r="I38" s="70" t="s">
        <v>20</v>
      </c>
      <c r="J38" s="70" t="s">
        <v>232</v>
      </c>
    </row>
    <row r="39" spans="1:11" x14ac:dyDescent="0.25">
      <c r="A39" s="557"/>
      <c r="B39" s="422" t="s">
        <v>1386</v>
      </c>
      <c r="C39" s="423" t="s">
        <v>1387</v>
      </c>
      <c r="D39" s="16" t="s">
        <v>60</v>
      </c>
      <c r="E39" s="423">
        <v>1</v>
      </c>
      <c r="F39" s="424">
        <v>4</v>
      </c>
      <c r="G39" s="18">
        <f t="shared" si="6"/>
        <v>80</v>
      </c>
      <c r="H39" s="368">
        <f t="shared" si="7"/>
        <v>66.7</v>
      </c>
      <c r="I39" s="70" t="s">
        <v>19</v>
      </c>
      <c r="J39" s="70" t="s">
        <v>230</v>
      </c>
    </row>
    <row r="40" spans="1:11" x14ac:dyDescent="0.25">
      <c r="A40" s="557"/>
      <c r="B40" s="422" t="s">
        <v>1388</v>
      </c>
      <c r="C40" s="423" t="s">
        <v>1389</v>
      </c>
      <c r="D40" s="16" t="s">
        <v>60</v>
      </c>
      <c r="E40" s="423">
        <v>1</v>
      </c>
      <c r="F40" s="424">
        <v>2</v>
      </c>
      <c r="G40" s="18">
        <f t="shared" si="6"/>
        <v>40</v>
      </c>
      <c r="H40" s="368">
        <f t="shared" si="7"/>
        <v>33.299999999999997</v>
      </c>
      <c r="I40" s="70" t="s">
        <v>19</v>
      </c>
      <c r="J40" s="70" t="s">
        <v>230</v>
      </c>
    </row>
    <row r="41" spans="1:11" x14ac:dyDescent="0.25">
      <c r="A41" s="557"/>
      <c r="B41" s="422" t="s">
        <v>1390</v>
      </c>
      <c r="C41" s="423" t="s">
        <v>1391</v>
      </c>
      <c r="D41" s="16" t="s">
        <v>57</v>
      </c>
      <c r="E41" s="423">
        <v>2</v>
      </c>
      <c r="F41" s="424">
        <v>4</v>
      </c>
      <c r="G41" s="18">
        <f t="shared" si="6"/>
        <v>80</v>
      </c>
      <c r="H41" s="368">
        <f t="shared" si="7"/>
        <v>66.7</v>
      </c>
      <c r="I41" s="70" t="s">
        <v>20</v>
      </c>
      <c r="J41" s="70" t="s">
        <v>231</v>
      </c>
    </row>
    <row r="42" spans="1:11" x14ac:dyDescent="0.25">
      <c r="A42" s="557"/>
      <c r="B42" s="422" t="s">
        <v>1392</v>
      </c>
      <c r="C42" s="423" t="s">
        <v>1393</v>
      </c>
      <c r="D42" s="16" t="s">
        <v>60</v>
      </c>
      <c r="E42" s="423">
        <v>1</v>
      </c>
      <c r="F42" s="424">
        <v>4</v>
      </c>
      <c r="G42" s="18">
        <f t="shared" si="6"/>
        <v>80</v>
      </c>
      <c r="H42" s="368">
        <f t="shared" si="7"/>
        <v>66.7</v>
      </c>
      <c r="I42" s="70" t="s">
        <v>19</v>
      </c>
      <c r="J42" s="70" t="s">
        <v>230</v>
      </c>
    </row>
    <row r="43" spans="1:11" x14ac:dyDescent="0.25">
      <c r="A43" s="557"/>
      <c r="B43" s="422" t="s">
        <v>1394</v>
      </c>
      <c r="C43" s="423" t="s">
        <v>1395</v>
      </c>
      <c r="D43" s="16" t="s">
        <v>57</v>
      </c>
      <c r="E43" s="423">
        <v>1</v>
      </c>
      <c r="F43" s="424">
        <v>4</v>
      </c>
      <c r="G43" s="18">
        <f t="shared" si="6"/>
        <v>80</v>
      </c>
      <c r="H43" s="368">
        <f t="shared" si="7"/>
        <v>66.7</v>
      </c>
      <c r="I43" s="381" t="s">
        <v>19</v>
      </c>
      <c r="J43" s="70" t="s">
        <v>231</v>
      </c>
    </row>
    <row r="44" spans="1:11" x14ac:dyDescent="0.25">
      <c r="A44" s="557"/>
      <c r="B44" s="422" t="s">
        <v>1396</v>
      </c>
      <c r="C44" s="423" t="s">
        <v>1397</v>
      </c>
      <c r="D44" s="16" t="s">
        <v>54</v>
      </c>
      <c r="E44" s="423">
        <v>1</v>
      </c>
      <c r="F44" s="424">
        <v>4</v>
      </c>
      <c r="G44" s="18">
        <f t="shared" si="6"/>
        <v>80</v>
      </c>
      <c r="H44" s="368">
        <f t="shared" si="7"/>
        <v>66.7</v>
      </c>
      <c r="I44" s="70" t="s">
        <v>19</v>
      </c>
      <c r="J44" s="70" t="s">
        <v>230</v>
      </c>
    </row>
    <row r="45" spans="1:11" ht="15.75" thickBot="1" x14ac:dyDescent="0.3">
      <c r="A45" s="558"/>
      <c r="B45" s="425" t="s">
        <v>1398</v>
      </c>
      <c r="C45" s="426" t="s">
        <v>1399</v>
      </c>
      <c r="D45" s="22" t="s">
        <v>60</v>
      </c>
      <c r="E45" s="426">
        <v>1</v>
      </c>
      <c r="F45" s="427">
        <v>2</v>
      </c>
      <c r="G45" s="24">
        <f t="shared" si="6"/>
        <v>40</v>
      </c>
      <c r="H45" s="25">
        <f t="shared" si="7"/>
        <v>33.299999999999997</v>
      </c>
      <c r="I45" s="71" t="s">
        <v>19</v>
      </c>
      <c r="J45" s="71" t="s">
        <v>230</v>
      </c>
    </row>
    <row r="46" spans="1:11" x14ac:dyDescent="0.25">
      <c r="A46" s="537" t="s">
        <v>115</v>
      </c>
      <c r="B46" s="422" t="s">
        <v>1400</v>
      </c>
      <c r="C46" s="423" t="s">
        <v>1401</v>
      </c>
      <c r="D46" s="10" t="s">
        <v>54</v>
      </c>
      <c r="E46" s="423">
        <v>2</v>
      </c>
      <c r="F46" s="424">
        <v>2</v>
      </c>
      <c r="G46" s="12">
        <f t="shared" si="6"/>
        <v>40</v>
      </c>
      <c r="H46" s="13">
        <f t="shared" si="7"/>
        <v>33.299999999999997</v>
      </c>
      <c r="I46" s="69" t="s">
        <v>20</v>
      </c>
      <c r="J46" s="69" t="s">
        <v>232</v>
      </c>
    </row>
    <row r="47" spans="1:11" ht="28.5" x14ac:dyDescent="0.25">
      <c r="A47" s="540"/>
      <c r="B47" s="422" t="s">
        <v>1700</v>
      </c>
      <c r="C47" s="423" t="s">
        <v>1402</v>
      </c>
      <c r="D47" s="16" t="s">
        <v>60</v>
      </c>
      <c r="E47" s="423">
        <v>1</v>
      </c>
      <c r="F47" s="424">
        <v>2</v>
      </c>
      <c r="G47" s="18">
        <f t="shared" ref="G47" si="8">$E$92*F47</f>
        <v>40</v>
      </c>
      <c r="H47" s="368">
        <f t="shared" ref="H47" si="9">ROUND(G47*$C$92/60,1)</f>
        <v>33.299999999999997</v>
      </c>
      <c r="I47" s="70" t="s">
        <v>20</v>
      </c>
      <c r="J47" s="70" t="s">
        <v>232</v>
      </c>
    </row>
    <row r="48" spans="1:11" ht="28.5" x14ac:dyDescent="0.25">
      <c r="A48" s="538"/>
      <c r="B48" s="422" t="s">
        <v>1701</v>
      </c>
      <c r="C48" s="423" t="s">
        <v>1402</v>
      </c>
      <c r="D48" s="16" t="s">
        <v>57</v>
      </c>
      <c r="E48" s="423">
        <v>2</v>
      </c>
      <c r="F48" s="424">
        <v>2</v>
      </c>
      <c r="G48" s="18">
        <f t="shared" si="6"/>
        <v>40</v>
      </c>
      <c r="H48" s="368">
        <f t="shared" si="7"/>
        <v>33.299999999999997</v>
      </c>
      <c r="I48" s="70" t="s">
        <v>20</v>
      </c>
      <c r="J48" s="70" t="s">
        <v>232</v>
      </c>
    </row>
    <row r="49" spans="1:10" ht="28.5" x14ac:dyDescent="0.25">
      <c r="A49" s="538"/>
      <c r="B49" s="422" t="s">
        <v>1403</v>
      </c>
      <c r="C49" s="423" t="s">
        <v>1404</v>
      </c>
      <c r="D49" s="16" t="s">
        <v>60</v>
      </c>
      <c r="E49" s="423">
        <v>1</v>
      </c>
      <c r="F49" s="424">
        <v>2</v>
      </c>
      <c r="G49" s="18">
        <f t="shared" si="6"/>
        <v>40</v>
      </c>
      <c r="H49" s="368">
        <f t="shared" si="7"/>
        <v>33.299999999999997</v>
      </c>
      <c r="I49" s="70" t="s">
        <v>20</v>
      </c>
      <c r="J49" s="70" t="s">
        <v>230</v>
      </c>
    </row>
    <row r="50" spans="1:10" x14ac:dyDescent="0.25">
      <c r="A50" s="538"/>
      <c r="B50" s="422" t="s">
        <v>1405</v>
      </c>
      <c r="C50" s="423" t="s">
        <v>1406</v>
      </c>
      <c r="D50" s="16" t="s">
        <v>60</v>
      </c>
      <c r="E50" s="423">
        <v>1</v>
      </c>
      <c r="F50" s="424">
        <v>4</v>
      </c>
      <c r="G50" s="18">
        <f t="shared" si="6"/>
        <v>80</v>
      </c>
      <c r="H50" s="368">
        <f t="shared" si="7"/>
        <v>66.7</v>
      </c>
      <c r="I50" s="70" t="s">
        <v>19</v>
      </c>
      <c r="J50" s="70" t="s">
        <v>230</v>
      </c>
    </row>
    <row r="51" spans="1:10" x14ac:dyDescent="0.25">
      <c r="A51" s="538"/>
      <c r="B51" s="422" t="s">
        <v>1407</v>
      </c>
      <c r="C51" s="423" t="s">
        <v>1408</v>
      </c>
      <c r="D51" s="16" t="s">
        <v>60</v>
      </c>
      <c r="E51" s="423">
        <v>1</v>
      </c>
      <c r="F51" s="424">
        <v>4</v>
      </c>
      <c r="G51" s="18">
        <f t="shared" si="6"/>
        <v>80</v>
      </c>
      <c r="H51" s="368">
        <f t="shared" si="7"/>
        <v>66.7</v>
      </c>
      <c r="I51" s="70" t="s">
        <v>19</v>
      </c>
      <c r="J51" s="70" t="s">
        <v>230</v>
      </c>
    </row>
    <row r="52" spans="1:10" x14ac:dyDescent="0.25">
      <c r="A52" s="538"/>
      <c r="B52" s="422" t="s">
        <v>1409</v>
      </c>
      <c r="C52" s="423" t="s">
        <v>1410</v>
      </c>
      <c r="D52" s="16" t="s">
        <v>60</v>
      </c>
      <c r="E52" s="423">
        <v>1</v>
      </c>
      <c r="F52" s="424">
        <v>2</v>
      </c>
      <c r="G52" s="18">
        <f t="shared" si="6"/>
        <v>40</v>
      </c>
      <c r="H52" s="368">
        <f t="shared" si="7"/>
        <v>33.299999999999997</v>
      </c>
      <c r="I52" s="70" t="s">
        <v>315</v>
      </c>
      <c r="J52" s="70" t="s">
        <v>233</v>
      </c>
    </row>
    <row r="53" spans="1:10" ht="28.5" x14ac:dyDescent="0.25">
      <c r="A53" s="538"/>
      <c r="B53" s="422" t="s">
        <v>1411</v>
      </c>
      <c r="C53" s="423" t="s">
        <v>1412</v>
      </c>
      <c r="D53" s="16" t="s">
        <v>60</v>
      </c>
      <c r="E53" s="423">
        <v>1</v>
      </c>
      <c r="F53" s="424">
        <v>2</v>
      </c>
      <c r="G53" s="18">
        <f t="shared" si="6"/>
        <v>40</v>
      </c>
      <c r="H53" s="368">
        <f t="shared" si="7"/>
        <v>33.299999999999997</v>
      </c>
      <c r="I53" s="70" t="s">
        <v>11</v>
      </c>
      <c r="J53" s="70" t="s">
        <v>230</v>
      </c>
    </row>
    <row r="54" spans="1:10" ht="15.75" thickBot="1" x14ac:dyDescent="0.3">
      <c r="A54" s="541"/>
      <c r="B54" s="422" t="s">
        <v>1413</v>
      </c>
      <c r="C54" s="423" t="s">
        <v>1414</v>
      </c>
      <c r="D54" s="22" t="s">
        <v>60</v>
      </c>
      <c r="E54" s="423">
        <v>1</v>
      </c>
      <c r="F54" s="424">
        <v>4</v>
      </c>
      <c r="G54" s="24">
        <f t="shared" si="6"/>
        <v>80</v>
      </c>
      <c r="H54" s="25">
        <f t="shared" si="7"/>
        <v>66.7</v>
      </c>
      <c r="I54" s="71" t="s">
        <v>20</v>
      </c>
      <c r="J54" s="71" t="s">
        <v>230</v>
      </c>
    </row>
    <row r="55" spans="1:10" x14ac:dyDescent="0.25">
      <c r="A55" s="537" t="s">
        <v>132</v>
      </c>
      <c r="B55" s="422" t="s">
        <v>1415</v>
      </c>
      <c r="C55" s="423" t="s">
        <v>1416</v>
      </c>
      <c r="D55" s="10" t="s">
        <v>57</v>
      </c>
      <c r="E55" s="423">
        <v>2</v>
      </c>
      <c r="F55" s="424">
        <v>2</v>
      </c>
      <c r="G55" s="12">
        <f t="shared" si="6"/>
        <v>40</v>
      </c>
      <c r="H55" s="13">
        <f t="shared" si="7"/>
        <v>33.299999999999997</v>
      </c>
      <c r="I55" s="72" t="s">
        <v>20</v>
      </c>
      <c r="J55" s="72" t="s">
        <v>230</v>
      </c>
    </row>
    <row r="56" spans="1:10" x14ac:dyDescent="0.25">
      <c r="A56" s="538"/>
      <c r="B56" s="422" t="s">
        <v>1417</v>
      </c>
      <c r="C56" s="423" t="s">
        <v>1418</v>
      </c>
      <c r="D56" s="15" t="s">
        <v>57</v>
      </c>
      <c r="E56" s="423">
        <v>1</v>
      </c>
      <c r="F56" s="424">
        <v>2</v>
      </c>
      <c r="G56" s="18">
        <f t="shared" si="6"/>
        <v>40</v>
      </c>
      <c r="H56" s="368">
        <f t="shared" si="7"/>
        <v>33.299999999999997</v>
      </c>
      <c r="I56" s="70" t="s">
        <v>19</v>
      </c>
      <c r="J56" s="70" t="s">
        <v>232</v>
      </c>
    </row>
    <row r="57" spans="1:10" x14ac:dyDescent="0.25">
      <c r="A57" s="538"/>
      <c r="B57" s="422" t="s">
        <v>1419</v>
      </c>
      <c r="C57" s="423" t="s">
        <v>1420</v>
      </c>
      <c r="D57" s="15" t="s">
        <v>57</v>
      </c>
      <c r="E57" s="423">
        <v>1</v>
      </c>
      <c r="F57" s="424">
        <v>2</v>
      </c>
      <c r="G57" s="18">
        <f t="shared" si="6"/>
        <v>40</v>
      </c>
      <c r="H57" s="368">
        <f t="shared" si="7"/>
        <v>33.299999999999997</v>
      </c>
      <c r="I57" s="70" t="s">
        <v>19</v>
      </c>
      <c r="J57" s="70" t="s">
        <v>231</v>
      </c>
    </row>
    <row r="58" spans="1:10" x14ac:dyDescent="0.25">
      <c r="A58" s="538"/>
      <c r="B58" s="422" t="s">
        <v>1421</v>
      </c>
      <c r="C58" s="423" t="s">
        <v>1422</v>
      </c>
      <c r="D58" s="16" t="s">
        <v>60</v>
      </c>
      <c r="E58" s="423">
        <v>1</v>
      </c>
      <c r="F58" s="424">
        <v>4</v>
      </c>
      <c r="G58" s="18">
        <f t="shared" si="6"/>
        <v>80</v>
      </c>
      <c r="H58" s="368">
        <f t="shared" si="7"/>
        <v>66.7</v>
      </c>
      <c r="I58" s="70" t="s">
        <v>19</v>
      </c>
      <c r="J58" s="70" t="s">
        <v>230</v>
      </c>
    </row>
    <row r="59" spans="1:10" x14ac:dyDescent="0.25">
      <c r="A59" s="538"/>
      <c r="B59" s="422" t="s">
        <v>1423</v>
      </c>
      <c r="C59" s="423" t="s">
        <v>1424</v>
      </c>
      <c r="D59" s="16" t="s">
        <v>60</v>
      </c>
      <c r="E59" s="423">
        <v>1</v>
      </c>
      <c r="F59" s="424">
        <v>2</v>
      </c>
      <c r="G59" s="18">
        <f t="shared" si="6"/>
        <v>40</v>
      </c>
      <c r="H59" s="368">
        <f t="shared" si="7"/>
        <v>33.299999999999997</v>
      </c>
      <c r="I59" s="70" t="s">
        <v>20</v>
      </c>
      <c r="J59" s="70" t="s">
        <v>230</v>
      </c>
    </row>
    <row r="60" spans="1:10" x14ac:dyDescent="0.25">
      <c r="A60" s="538"/>
      <c r="B60" s="422" t="s">
        <v>1425</v>
      </c>
      <c r="C60" s="423" t="s">
        <v>1426</v>
      </c>
      <c r="D60" s="16" t="s">
        <v>57</v>
      </c>
      <c r="E60" s="423">
        <v>2</v>
      </c>
      <c r="F60" s="424">
        <v>2</v>
      </c>
      <c r="G60" s="18">
        <f t="shared" si="6"/>
        <v>40</v>
      </c>
      <c r="H60" s="368">
        <f t="shared" si="7"/>
        <v>33.299999999999997</v>
      </c>
      <c r="I60" s="70" t="s">
        <v>20</v>
      </c>
      <c r="J60" s="70" t="s">
        <v>230</v>
      </c>
    </row>
    <row r="61" spans="1:10" ht="15.75" thickBot="1" x14ac:dyDescent="0.3">
      <c r="A61" s="538"/>
      <c r="B61" s="422" t="s">
        <v>1427</v>
      </c>
      <c r="C61" s="423" t="s">
        <v>1428</v>
      </c>
      <c r="D61" s="16" t="s">
        <v>60</v>
      </c>
      <c r="E61" s="423">
        <v>1</v>
      </c>
      <c r="F61" s="424">
        <v>4</v>
      </c>
      <c r="G61" s="18">
        <f t="shared" si="6"/>
        <v>80</v>
      </c>
      <c r="H61" s="368">
        <f t="shared" si="7"/>
        <v>66.7</v>
      </c>
      <c r="I61" s="70" t="s">
        <v>20</v>
      </c>
      <c r="J61" s="70" t="s">
        <v>230</v>
      </c>
    </row>
    <row r="62" spans="1:10" x14ac:dyDescent="0.25">
      <c r="A62" s="537" t="s">
        <v>151</v>
      </c>
      <c r="B62" s="422" t="s">
        <v>1429</v>
      </c>
      <c r="C62" s="423" t="s">
        <v>1430</v>
      </c>
      <c r="D62" s="10" t="s">
        <v>57</v>
      </c>
      <c r="E62" s="423">
        <v>2</v>
      </c>
      <c r="F62" s="424">
        <v>2</v>
      </c>
      <c r="G62" s="12">
        <f t="shared" si="6"/>
        <v>40</v>
      </c>
      <c r="H62" s="13">
        <f t="shared" si="7"/>
        <v>33.299999999999997</v>
      </c>
      <c r="I62" s="69" t="s">
        <v>20</v>
      </c>
      <c r="J62" s="69" t="s">
        <v>232</v>
      </c>
    </row>
    <row r="63" spans="1:10" x14ac:dyDescent="0.25">
      <c r="A63" s="538"/>
      <c r="B63" s="422" t="s">
        <v>1431</v>
      </c>
      <c r="C63" s="423" t="s">
        <v>1432</v>
      </c>
      <c r="D63" s="16" t="s">
        <v>60</v>
      </c>
      <c r="E63" s="423">
        <v>1</v>
      </c>
      <c r="F63" s="424">
        <v>4</v>
      </c>
      <c r="G63" s="18">
        <f t="shared" si="6"/>
        <v>80</v>
      </c>
      <c r="H63" s="368">
        <f t="shared" si="7"/>
        <v>66.7</v>
      </c>
      <c r="I63" s="70" t="s">
        <v>20</v>
      </c>
      <c r="J63" s="70" t="s">
        <v>230</v>
      </c>
    </row>
    <row r="64" spans="1:10" x14ac:dyDescent="0.25">
      <c r="A64" s="538"/>
      <c r="B64" s="422" t="s">
        <v>1433</v>
      </c>
      <c r="C64" s="423" t="s">
        <v>1434</v>
      </c>
      <c r="D64" s="16" t="s">
        <v>57</v>
      </c>
      <c r="E64" s="423">
        <v>2</v>
      </c>
      <c r="F64" s="424">
        <v>4</v>
      </c>
      <c r="G64" s="18">
        <f t="shared" si="6"/>
        <v>80</v>
      </c>
      <c r="H64" s="368">
        <f t="shared" si="7"/>
        <v>66.7</v>
      </c>
      <c r="I64" s="381" t="s">
        <v>20</v>
      </c>
      <c r="J64" s="70" t="s">
        <v>230</v>
      </c>
    </row>
    <row r="65" spans="1:10" x14ac:dyDescent="0.25">
      <c r="A65" s="538"/>
      <c r="B65" s="422" t="s">
        <v>1435</v>
      </c>
      <c r="C65" s="423" t="s">
        <v>1436</v>
      </c>
      <c r="D65" s="16" t="s">
        <v>60</v>
      </c>
      <c r="E65" s="423">
        <v>1</v>
      </c>
      <c r="F65" s="424">
        <v>2</v>
      </c>
      <c r="G65" s="18">
        <f t="shared" si="6"/>
        <v>40</v>
      </c>
      <c r="H65" s="368">
        <f t="shared" si="7"/>
        <v>33.299999999999997</v>
      </c>
      <c r="I65" s="70" t="s">
        <v>19</v>
      </c>
      <c r="J65" s="70" t="s">
        <v>230</v>
      </c>
    </row>
    <row r="66" spans="1:10" x14ac:dyDescent="0.25">
      <c r="A66" s="538"/>
      <c r="B66" s="422" t="s">
        <v>1437</v>
      </c>
      <c r="C66" s="423" t="s">
        <v>1438</v>
      </c>
      <c r="D66" s="16" t="s">
        <v>60</v>
      </c>
      <c r="E66" s="423">
        <v>1</v>
      </c>
      <c r="F66" s="424">
        <v>2</v>
      </c>
      <c r="G66" s="18">
        <f t="shared" si="6"/>
        <v>40</v>
      </c>
      <c r="H66" s="368">
        <f t="shared" si="7"/>
        <v>33.299999999999997</v>
      </c>
      <c r="I66" s="70" t="s">
        <v>19</v>
      </c>
      <c r="J66" s="70" t="s">
        <v>230</v>
      </c>
    </row>
    <row r="67" spans="1:10" ht="15.75" thickBot="1" x14ac:dyDescent="0.3">
      <c r="A67" s="538"/>
      <c r="B67" s="422" t="s">
        <v>1439</v>
      </c>
      <c r="C67" s="423" t="s">
        <v>1440</v>
      </c>
      <c r="D67" s="16" t="s">
        <v>60</v>
      </c>
      <c r="E67" s="423">
        <v>1</v>
      </c>
      <c r="F67" s="424">
        <v>4</v>
      </c>
      <c r="G67" s="18">
        <f t="shared" si="6"/>
        <v>80</v>
      </c>
      <c r="H67" s="368">
        <f t="shared" si="7"/>
        <v>66.7</v>
      </c>
      <c r="I67" s="70" t="s">
        <v>20</v>
      </c>
      <c r="J67" s="70" t="s">
        <v>230</v>
      </c>
    </row>
    <row r="68" spans="1:10" x14ac:dyDescent="0.25">
      <c r="A68" s="537" t="s">
        <v>168</v>
      </c>
      <c r="B68" s="422" t="s">
        <v>1441</v>
      </c>
      <c r="C68" s="423" t="s">
        <v>1442</v>
      </c>
      <c r="D68" s="10" t="s">
        <v>57</v>
      </c>
      <c r="E68" s="423">
        <v>2</v>
      </c>
      <c r="F68" s="424">
        <v>2</v>
      </c>
      <c r="G68" s="12">
        <f t="shared" si="6"/>
        <v>40</v>
      </c>
      <c r="H68" s="13">
        <f t="shared" si="7"/>
        <v>33.299999999999997</v>
      </c>
      <c r="I68" s="69" t="s">
        <v>20</v>
      </c>
      <c r="J68" s="69" t="s">
        <v>230</v>
      </c>
    </row>
    <row r="69" spans="1:10" ht="28.5" x14ac:dyDescent="0.25">
      <c r="A69" s="538"/>
      <c r="B69" s="422" t="s">
        <v>1443</v>
      </c>
      <c r="C69" s="423" t="s">
        <v>1444</v>
      </c>
      <c r="D69" s="16" t="s">
        <v>54</v>
      </c>
      <c r="E69" s="423">
        <v>1</v>
      </c>
      <c r="F69" s="424">
        <v>2</v>
      </c>
      <c r="G69" s="18">
        <f t="shared" si="6"/>
        <v>40</v>
      </c>
      <c r="H69" s="368">
        <f t="shared" si="7"/>
        <v>33.299999999999997</v>
      </c>
      <c r="I69" s="70" t="s">
        <v>20</v>
      </c>
      <c r="J69" s="70" t="s">
        <v>232</v>
      </c>
    </row>
    <row r="70" spans="1:10" ht="42.75" x14ac:dyDescent="0.25">
      <c r="A70" s="538"/>
      <c r="B70" s="422" t="s">
        <v>1445</v>
      </c>
      <c r="C70" s="423" t="s">
        <v>1446</v>
      </c>
      <c r="D70" s="16" t="s">
        <v>60</v>
      </c>
      <c r="E70" s="423">
        <v>1</v>
      </c>
      <c r="F70" s="424">
        <v>2</v>
      </c>
      <c r="G70" s="18">
        <f t="shared" si="6"/>
        <v>40</v>
      </c>
      <c r="H70" s="368">
        <f t="shared" si="7"/>
        <v>33.299999999999997</v>
      </c>
      <c r="I70" s="70" t="s">
        <v>10</v>
      </c>
      <c r="J70" s="70" t="s">
        <v>230</v>
      </c>
    </row>
    <row r="71" spans="1:10" x14ac:dyDescent="0.25">
      <c r="A71" s="538"/>
      <c r="B71" s="422" t="s">
        <v>1447</v>
      </c>
      <c r="C71" s="423" t="s">
        <v>1448</v>
      </c>
      <c r="D71" s="16" t="s">
        <v>60</v>
      </c>
      <c r="E71" s="423">
        <v>1</v>
      </c>
      <c r="F71" s="424">
        <v>2</v>
      </c>
      <c r="G71" s="18">
        <f t="shared" si="6"/>
        <v>40</v>
      </c>
      <c r="H71" s="368">
        <f t="shared" si="7"/>
        <v>33.299999999999997</v>
      </c>
      <c r="I71" s="70" t="s">
        <v>19</v>
      </c>
      <c r="J71" s="70" t="s">
        <v>233</v>
      </c>
    </row>
    <row r="72" spans="1:10" x14ac:dyDescent="0.25">
      <c r="A72" s="538"/>
      <c r="B72" s="422" t="s">
        <v>1449</v>
      </c>
      <c r="C72" s="423" t="s">
        <v>1450</v>
      </c>
      <c r="D72" s="16" t="s">
        <v>57</v>
      </c>
      <c r="E72" s="423">
        <v>2</v>
      </c>
      <c r="F72" s="424">
        <v>4</v>
      </c>
      <c r="G72" s="18">
        <f t="shared" si="6"/>
        <v>80</v>
      </c>
      <c r="H72" s="368">
        <f t="shared" si="7"/>
        <v>66.7</v>
      </c>
      <c r="I72" s="73" t="s">
        <v>20</v>
      </c>
      <c r="J72" s="73" t="s">
        <v>230</v>
      </c>
    </row>
    <row r="73" spans="1:10" ht="15.75" thickBot="1" x14ac:dyDescent="0.3">
      <c r="A73" s="538"/>
      <c r="B73" s="422" t="s">
        <v>1451</v>
      </c>
      <c r="C73" s="423" t="s">
        <v>1452</v>
      </c>
      <c r="D73" s="16" t="s">
        <v>60</v>
      </c>
      <c r="E73" s="423">
        <v>1</v>
      </c>
      <c r="F73" s="424">
        <v>4</v>
      </c>
      <c r="G73" s="18">
        <f t="shared" si="6"/>
        <v>80</v>
      </c>
      <c r="H73" s="368">
        <f t="shared" si="7"/>
        <v>66.7</v>
      </c>
      <c r="I73" s="70" t="s">
        <v>20</v>
      </c>
      <c r="J73" s="70" t="s">
        <v>230</v>
      </c>
    </row>
    <row r="74" spans="1:10" x14ac:dyDescent="0.25">
      <c r="A74" s="537" t="s">
        <v>184</v>
      </c>
      <c r="B74" s="422" t="s">
        <v>1453</v>
      </c>
      <c r="C74" s="423" t="s">
        <v>1454</v>
      </c>
      <c r="D74" s="10" t="s">
        <v>60</v>
      </c>
      <c r="E74" s="423">
        <v>1</v>
      </c>
      <c r="F74" s="424">
        <v>2</v>
      </c>
      <c r="G74" s="12">
        <f t="shared" si="6"/>
        <v>40</v>
      </c>
      <c r="H74" s="13">
        <f t="shared" si="7"/>
        <v>33.299999999999997</v>
      </c>
      <c r="I74" s="69" t="s">
        <v>20</v>
      </c>
      <c r="J74" s="69" t="s">
        <v>230</v>
      </c>
    </row>
    <row r="75" spans="1:10" x14ac:dyDescent="0.25">
      <c r="A75" s="538"/>
      <c r="B75" s="422" t="s">
        <v>1455</v>
      </c>
      <c r="C75" s="423" t="s">
        <v>1456</v>
      </c>
      <c r="D75" s="16" t="s">
        <v>60</v>
      </c>
      <c r="E75" s="423">
        <v>1</v>
      </c>
      <c r="F75" s="424">
        <v>2</v>
      </c>
      <c r="G75" s="18">
        <f t="shared" si="6"/>
        <v>40</v>
      </c>
      <c r="H75" s="368">
        <f t="shared" si="7"/>
        <v>33.299999999999997</v>
      </c>
      <c r="I75" s="70" t="s">
        <v>20</v>
      </c>
      <c r="J75" s="70" t="s">
        <v>230</v>
      </c>
    </row>
    <row r="76" spans="1:10" x14ac:dyDescent="0.25">
      <c r="A76" s="538"/>
      <c r="B76" s="422" t="s">
        <v>1457</v>
      </c>
      <c r="C76" s="423" t="s">
        <v>1458</v>
      </c>
      <c r="D76" s="16" t="s">
        <v>60</v>
      </c>
      <c r="E76" s="423">
        <v>1</v>
      </c>
      <c r="F76" s="424">
        <v>2</v>
      </c>
      <c r="G76" s="18">
        <f t="shared" si="6"/>
        <v>40</v>
      </c>
      <c r="H76" s="368">
        <f t="shared" si="7"/>
        <v>33.299999999999997</v>
      </c>
      <c r="I76" s="381" t="s">
        <v>19</v>
      </c>
      <c r="J76" s="70" t="s">
        <v>230</v>
      </c>
    </row>
    <row r="77" spans="1:10" x14ac:dyDescent="0.25">
      <c r="A77" s="538"/>
      <c r="B77" s="422" t="s">
        <v>1459</v>
      </c>
      <c r="C77" s="423" t="s">
        <v>1460</v>
      </c>
      <c r="D77" s="16" t="s">
        <v>60</v>
      </c>
      <c r="E77" s="423">
        <v>1</v>
      </c>
      <c r="F77" s="424">
        <v>2</v>
      </c>
      <c r="G77" s="18">
        <f t="shared" si="6"/>
        <v>40</v>
      </c>
      <c r="H77" s="368">
        <f t="shared" si="7"/>
        <v>33.299999999999997</v>
      </c>
      <c r="I77" s="70" t="s">
        <v>19</v>
      </c>
      <c r="J77" s="70" t="s">
        <v>231</v>
      </c>
    </row>
    <row r="78" spans="1:10" ht="28.5" x14ac:dyDescent="0.25">
      <c r="A78" s="538"/>
      <c r="B78" s="422" t="s">
        <v>1461</v>
      </c>
      <c r="C78" s="423" t="s">
        <v>1462</v>
      </c>
      <c r="D78" s="16" t="s">
        <v>60</v>
      </c>
      <c r="E78" s="423">
        <v>1</v>
      </c>
      <c r="F78" s="424">
        <v>2</v>
      </c>
      <c r="G78" s="18">
        <f t="shared" si="6"/>
        <v>40</v>
      </c>
      <c r="H78" s="368">
        <f t="shared" si="7"/>
        <v>33.299999999999997</v>
      </c>
      <c r="I78" s="70" t="s">
        <v>19</v>
      </c>
      <c r="J78" s="70" t="s">
        <v>230</v>
      </c>
    </row>
    <row r="79" spans="1:10" ht="15.75" thickBot="1" x14ac:dyDescent="0.3">
      <c r="A79" s="541"/>
      <c r="B79" s="422" t="s">
        <v>1463</v>
      </c>
      <c r="C79" s="423" t="s">
        <v>1464</v>
      </c>
      <c r="D79" s="22" t="s">
        <v>60</v>
      </c>
      <c r="E79" s="423">
        <v>1</v>
      </c>
      <c r="F79" s="424">
        <v>4</v>
      </c>
      <c r="G79" s="24">
        <f t="shared" si="6"/>
        <v>80</v>
      </c>
      <c r="H79" s="25">
        <f t="shared" si="7"/>
        <v>66.7</v>
      </c>
      <c r="I79" s="71" t="s">
        <v>20</v>
      </c>
      <c r="J79" s="71" t="s">
        <v>232</v>
      </c>
    </row>
    <row r="80" spans="1:10" x14ac:dyDescent="0.25">
      <c r="A80" s="537" t="s">
        <v>196</v>
      </c>
      <c r="B80" s="422" t="s">
        <v>1465</v>
      </c>
      <c r="C80" s="423" t="s">
        <v>1466</v>
      </c>
      <c r="D80" s="10" t="s">
        <v>60</v>
      </c>
      <c r="E80" s="423">
        <v>1</v>
      </c>
      <c r="F80" s="424">
        <v>4</v>
      </c>
      <c r="G80" s="12">
        <f t="shared" si="6"/>
        <v>80</v>
      </c>
      <c r="H80" s="13">
        <f t="shared" si="7"/>
        <v>66.7</v>
      </c>
      <c r="I80" s="69" t="s">
        <v>20</v>
      </c>
      <c r="J80" s="74" t="s">
        <v>230</v>
      </c>
    </row>
    <row r="81" spans="1:10" x14ac:dyDescent="0.25">
      <c r="A81" s="540"/>
      <c r="B81" s="422" t="s">
        <v>1467</v>
      </c>
      <c r="C81" s="423" t="s">
        <v>1468</v>
      </c>
      <c r="D81" s="16" t="s">
        <v>60</v>
      </c>
      <c r="E81" s="423">
        <v>1</v>
      </c>
      <c r="F81" s="424">
        <v>4</v>
      </c>
      <c r="G81" s="18">
        <f t="shared" si="6"/>
        <v>80</v>
      </c>
      <c r="H81" s="368">
        <f t="shared" si="7"/>
        <v>66.7</v>
      </c>
      <c r="I81" s="70" t="s">
        <v>20</v>
      </c>
      <c r="J81" s="70" t="s">
        <v>230</v>
      </c>
    </row>
    <row r="82" spans="1:10" x14ac:dyDescent="0.25">
      <c r="A82" s="538"/>
      <c r="B82" s="422" t="s">
        <v>1469</v>
      </c>
      <c r="C82" s="423" t="s">
        <v>1470</v>
      </c>
      <c r="D82" s="16" t="s">
        <v>60</v>
      </c>
      <c r="E82" s="423">
        <v>1</v>
      </c>
      <c r="F82" s="424">
        <v>2</v>
      </c>
      <c r="G82" s="18">
        <f t="shared" si="6"/>
        <v>40</v>
      </c>
      <c r="H82" s="368">
        <f t="shared" si="7"/>
        <v>33.299999999999997</v>
      </c>
      <c r="I82" s="70" t="s">
        <v>19</v>
      </c>
      <c r="J82" s="70" t="s">
        <v>230</v>
      </c>
    </row>
    <row r="83" spans="1:10" ht="29.25" thickBot="1" x14ac:dyDescent="0.3">
      <c r="A83" s="538"/>
      <c r="B83" s="422" t="s">
        <v>1471</v>
      </c>
      <c r="C83" s="423" t="s">
        <v>1472</v>
      </c>
      <c r="D83" s="15" t="s">
        <v>60</v>
      </c>
      <c r="E83" s="423">
        <v>1</v>
      </c>
      <c r="F83" s="424">
        <v>2</v>
      </c>
      <c r="G83" s="18">
        <f t="shared" si="6"/>
        <v>40</v>
      </c>
      <c r="H83" s="368">
        <f t="shared" si="7"/>
        <v>33.299999999999997</v>
      </c>
      <c r="I83" s="70" t="s">
        <v>19</v>
      </c>
      <c r="J83" s="70" t="s">
        <v>230</v>
      </c>
    </row>
    <row r="84" spans="1:10" ht="15.75" thickBot="1" x14ac:dyDescent="0.3">
      <c r="A84" s="546" t="s">
        <v>211</v>
      </c>
      <c r="B84" s="546"/>
      <c r="C84" s="546"/>
      <c r="D84" s="546"/>
      <c r="E84" s="546"/>
      <c r="F84" s="546"/>
      <c r="G84" s="26">
        <f>SUM(G9:G83)</f>
        <v>4240</v>
      </c>
      <c r="H84" s="26"/>
    </row>
    <row r="85" spans="1:10" ht="15.75" thickBot="1" x14ac:dyDescent="0.3">
      <c r="A85" s="546" t="s">
        <v>212</v>
      </c>
      <c r="B85" s="546"/>
      <c r="C85" s="546"/>
      <c r="D85" s="546"/>
      <c r="E85" s="546"/>
      <c r="F85" s="546"/>
      <c r="G85" s="546"/>
      <c r="H85" s="27">
        <f>SUM(H9:H83)</f>
        <v>3532.6000000000013</v>
      </c>
    </row>
    <row r="86" spans="1:10" ht="15.75" thickBot="1" x14ac:dyDescent="0.3">
      <c r="A86" s="546" t="s">
        <v>213</v>
      </c>
      <c r="B86" s="546"/>
      <c r="C86" s="546"/>
      <c r="D86" s="546"/>
      <c r="E86" s="546"/>
      <c r="F86" s="546"/>
      <c r="G86" s="546"/>
      <c r="H86" s="26">
        <v>100</v>
      </c>
    </row>
    <row r="87" spans="1:10" ht="15.75" thickBot="1" x14ac:dyDescent="0.3">
      <c r="A87" s="547" t="s">
        <v>214</v>
      </c>
      <c r="B87" s="547"/>
      <c r="C87" s="547"/>
      <c r="D87" s="547"/>
      <c r="E87" s="547"/>
      <c r="F87" s="547"/>
      <c r="G87" s="547"/>
      <c r="H87" s="26">
        <v>160</v>
      </c>
    </row>
    <row r="88" spans="1:10" ht="15.75" thickBot="1" x14ac:dyDescent="0.3">
      <c r="A88" s="545" t="s">
        <v>215</v>
      </c>
      <c r="B88" s="545"/>
      <c r="C88" s="545"/>
      <c r="D88" s="545"/>
      <c r="E88" s="545"/>
      <c r="F88" s="545"/>
      <c r="G88" s="545"/>
      <c r="H88" s="27">
        <f>SUM(H85:H87)</f>
        <v>3792.6000000000013</v>
      </c>
    </row>
    <row r="89" spans="1:10" ht="15.75" thickBot="1" x14ac:dyDescent="0.3">
      <c r="A89" s="546" t="s">
        <v>216</v>
      </c>
      <c r="B89" s="546"/>
      <c r="C89" s="26" t="s">
        <v>217</v>
      </c>
      <c r="D89" s="26" t="s">
        <v>54</v>
      </c>
      <c r="E89" s="26">
        <v>1</v>
      </c>
      <c r="F89" s="26">
        <v>2</v>
      </c>
      <c r="G89" s="28">
        <f>$E$92*F89</f>
        <v>40</v>
      </c>
      <c r="H89" s="29">
        <f>ROUND(G89*$C$92/60,)</f>
        <v>33</v>
      </c>
      <c r="I89" t="s">
        <v>299</v>
      </c>
    </row>
    <row r="90" spans="1:10" ht="15.75" thickBot="1" x14ac:dyDescent="0.3">
      <c r="A90" s="546" t="s">
        <v>218</v>
      </c>
      <c r="B90" s="546"/>
      <c r="C90" s="26"/>
      <c r="D90" s="26"/>
      <c r="E90" s="26"/>
      <c r="F90" s="26"/>
      <c r="G90" s="26"/>
      <c r="H90" s="28">
        <v>100</v>
      </c>
    </row>
    <row r="91" spans="1:10" ht="15.75" thickBot="1" x14ac:dyDescent="0.3">
      <c r="A91" s="545" t="s">
        <v>219</v>
      </c>
      <c r="B91" s="545"/>
      <c r="C91" s="545"/>
      <c r="D91" s="545"/>
      <c r="E91" s="545"/>
      <c r="F91" s="545"/>
      <c r="G91" s="545"/>
      <c r="H91" s="27">
        <f>SUM(H88:H90)</f>
        <v>3925.6000000000013</v>
      </c>
    </row>
    <row r="92" spans="1:10" ht="15.75" thickBot="1" x14ac:dyDescent="0.3">
      <c r="A92" s="30"/>
      <c r="B92" s="31" t="s">
        <v>220</v>
      </c>
      <c r="C92" s="32">
        <v>50</v>
      </c>
      <c r="D92" s="33" t="s">
        <v>221</v>
      </c>
      <c r="E92" s="32">
        <v>20</v>
      </c>
      <c r="F92" s="33" t="s">
        <v>222</v>
      </c>
      <c r="G92" s="33"/>
      <c r="H92" s="34"/>
    </row>
    <row r="96" spans="1:10" x14ac:dyDescent="0.25">
      <c r="E96" s="219">
        <f>SUMPRODUCT(H5:H83,E5:E83)/H85</f>
        <v>1.2546849346090694</v>
      </c>
    </row>
  </sheetData>
  <mergeCells count="28">
    <mergeCell ref="A1:F1"/>
    <mergeCell ref="G1:H5"/>
    <mergeCell ref="A2:F2"/>
    <mergeCell ref="A3:F3"/>
    <mergeCell ref="A4:F4"/>
    <mergeCell ref="A5:F5"/>
    <mergeCell ref="A68:A73"/>
    <mergeCell ref="G6:H6"/>
    <mergeCell ref="A7:D7"/>
    <mergeCell ref="E7:F7"/>
    <mergeCell ref="G7:H7"/>
    <mergeCell ref="A9:A17"/>
    <mergeCell ref="A18:A27"/>
    <mergeCell ref="A28:A36"/>
    <mergeCell ref="A37:A45"/>
    <mergeCell ref="A46:A54"/>
    <mergeCell ref="A55:A61"/>
    <mergeCell ref="A62:A67"/>
    <mergeCell ref="A88:G88"/>
    <mergeCell ref="A89:B89"/>
    <mergeCell ref="A90:B90"/>
    <mergeCell ref="A91:G91"/>
    <mergeCell ref="A74:A79"/>
    <mergeCell ref="A80:A83"/>
    <mergeCell ref="A84:F84"/>
    <mergeCell ref="A85:G85"/>
    <mergeCell ref="A86:G86"/>
    <mergeCell ref="A87:G87"/>
  </mergeCells>
  <dataValidations count="2">
    <dataValidation type="list" allowBlank="1" showInputMessage="1" showErrorMessage="1" sqref="J9:J92" xr:uid="{8189176A-DA37-4AC8-A403-761F5CEC6CBB}">
      <formula1>Ambientes</formula1>
    </dataValidation>
    <dataValidation type="list" allowBlank="1" showInputMessage="1" showErrorMessage="1" sqref="I9:I83" xr:uid="{3234B306-9363-4B69-A333-B820A1FA8D3E}">
      <formula1>Áreas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9">
    <tabColor theme="7"/>
  </sheetPr>
  <dimension ref="A1:X67"/>
  <sheetViews>
    <sheetView workbookViewId="0">
      <selection activeCell="I30" sqref="I30"/>
    </sheetView>
  </sheetViews>
  <sheetFormatPr defaultColWidth="9.140625" defaultRowHeight="15" x14ac:dyDescent="0.25"/>
  <cols>
    <col min="2" max="2" width="51.5703125" bestFit="1" customWidth="1"/>
    <col min="9" max="9" width="14.42578125" bestFit="1" customWidth="1"/>
    <col min="10" max="10" width="15" bestFit="1" customWidth="1"/>
  </cols>
  <sheetData>
    <row r="1" spans="1:24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</row>
    <row r="2" spans="1:24" ht="15.75" x14ac:dyDescent="0.25">
      <c r="A2" s="513" t="s">
        <v>327</v>
      </c>
      <c r="B2" s="513"/>
      <c r="C2" s="513"/>
      <c r="D2" s="37" t="s">
        <v>237</v>
      </c>
      <c r="E2" s="38"/>
      <c r="F2" s="38"/>
      <c r="G2" s="38">
        <v>20</v>
      </c>
      <c r="H2" s="38"/>
      <c r="I2" s="38"/>
      <c r="J2" s="38"/>
      <c r="K2" s="38"/>
      <c r="L2" s="38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</row>
    <row r="3" spans="1:24" ht="15" customHeight="1" x14ac:dyDescent="0.25">
      <c r="A3" s="65"/>
      <c r="B3" s="514" t="s">
        <v>44</v>
      </c>
      <c r="C3" s="514" t="s">
        <v>238</v>
      </c>
      <c r="D3" s="524" t="s">
        <v>46</v>
      </c>
      <c r="E3" s="524" t="s">
        <v>328</v>
      </c>
      <c r="F3" s="87" t="s">
        <v>241</v>
      </c>
      <c r="G3" s="86" t="s">
        <v>329</v>
      </c>
      <c r="H3" s="86" t="s">
        <v>330</v>
      </c>
      <c r="I3" s="39" t="s">
        <v>243</v>
      </c>
      <c r="J3" s="39" t="s">
        <v>224</v>
      </c>
    </row>
    <row r="4" spans="1:24" x14ac:dyDescent="0.25">
      <c r="A4" s="65"/>
      <c r="B4" s="514"/>
      <c r="C4" s="514"/>
      <c r="D4" s="514"/>
      <c r="E4" s="514"/>
      <c r="F4" s="39" t="s">
        <v>246</v>
      </c>
      <c r="G4" s="86"/>
      <c r="H4" s="86"/>
      <c r="I4" s="39"/>
      <c r="J4" s="39"/>
    </row>
    <row r="5" spans="1:24" x14ac:dyDescent="0.25">
      <c r="A5" s="504" t="s">
        <v>318</v>
      </c>
      <c r="B5" s="40" t="s">
        <v>331</v>
      </c>
      <c r="C5" s="41" t="s">
        <v>332</v>
      </c>
      <c r="D5" s="42" t="s">
        <v>54</v>
      </c>
      <c r="E5" s="43">
        <v>1</v>
      </c>
      <c r="F5" s="42">
        <v>4</v>
      </c>
      <c r="G5" s="44">
        <f t="shared" ref="G5:G36" si="0">SUM(F5:F5)*$G$2</f>
        <v>80</v>
      </c>
      <c r="H5" s="45">
        <f>(G5)*$C$63/60</f>
        <v>66.666666666666671</v>
      </c>
      <c r="I5" s="47" t="s">
        <v>21</v>
      </c>
      <c r="J5" s="46" t="s">
        <v>230</v>
      </c>
      <c r="L5">
        <f>H5*E5</f>
        <v>66.666666666666671</v>
      </c>
    </row>
    <row r="6" spans="1:24" x14ac:dyDescent="0.25">
      <c r="A6" s="504"/>
      <c r="B6" s="40" t="s">
        <v>333</v>
      </c>
      <c r="C6" s="41" t="s">
        <v>334</v>
      </c>
      <c r="D6" s="42" t="s">
        <v>54</v>
      </c>
      <c r="E6" s="43">
        <v>1</v>
      </c>
      <c r="F6" s="42">
        <v>4</v>
      </c>
      <c r="G6" s="44">
        <f t="shared" si="0"/>
        <v>80</v>
      </c>
      <c r="H6" s="45">
        <f t="shared" ref="H6:H56" si="1">(G6)*$C$63/60</f>
        <v>66.666666666666671</v>
      </c>
      <c r="I6" s="47" t="s">
        <v>21</v>
      </c>
      <c r="J6" s="46" t="s">
        <v>251</v>
      </c>
      <c r="L6">
        <f t="shared" ref="L6:L56" si="2">H6*E6</f>
        <v>66.666666666666671</v>
      </c>
    </row>
    <row r="7" spans="1:24" x14ac:dyDescent="0.25">
      <c r="A7" s="504"/>
      <c r="B7" s="40" t="s">
        <v>335</v>
      </c>
      <c r="C7" s="41" t="s">
        <v>336</v>
      </c>
      <c r="D7" s="42" t="s">
        <v>54</v>
      </c>
      <c r="E7" s="43">
        <v>1</v>
      </c>
      <c r="F7" s="42">
        <v>2</v>
      </c>
      <c r="G7" s="44">
        <f t="shared" si="0"/>
        <v>40</v>
      </c>
      <c r="H7" s="45">
        <f t="shared" si="1"/>
        <v>33.333333333333336</v>
      </c>
      <c r="I7" s="47" t="s">
        <v>21</v>
      </c>
      <c r="J7" s="46" t="s">
        <v>251</v>
      </c>
      <c r="L7">
        <f t="shared" si="2"/>
        <v>33.333333333333336</v>
      </c>
    </row>
    <row r="8" spans="1:24" x14ac:dyDescent="0.25">
      <c r="A8" s="504"/>
      <c r="B8" s="40" t="s">
        <v>337</v>
      </c>
      <c r="C8" s="41" t="s">
        <v>338</v>
      </c>
      <c r="D8" s="42" t="s">
        <v>54</v>
      </c>
      <c r="E8" s="43">
        <v>1</v>
      </c>
      <c r="F8" s="42">
        <v>2</v>
      </c>
      <c r="G8" s="44">
        <f t="shared" si="0"/>
        <v>40</v>
      </c>
      <c r="H8" s="45">
        <f t="shared" si="1"/>
        <v>33.333333333333336</v>
      </c>
      <c r="I8" s="47" t="s">
        <v>21</v>
      </c>
      <c r="J8" s="46" t="s">
        <v>251</v>
      </c>
      <c r="L8">
        <f t="shared" si="2"/>
        <v>33.333333333333336</v>
      </c>
    </row>
    <row r="9" spans="1:24" x14ac:dyDescent="0.25">
      <c r="A9" s="504"/>
      <c r="B9" s="40" t="s">
        <v>339</v>
      </c>
      <c r="C9" s="41" t="s">
        <v>340</v>
      </c>
      <c r="D9" s="42" t="s">
        <v>60</v>
      </c>
      <c r="E9" s="43">
        <v>1</v>
      </c>
      <c r="F9" s="42">
        <v>4</v>
      </c>
      <c r="G9" s="44">
        <f t="shared" si="0"/>
        <v>80</v>
      </c>
      <c r="H9" s="45">
        <f t="shared" si="1"/>
        <v>66.666666666666671</v>
      </c>
      <c r="I9" s="47" t="s">
        <v>225</v>
      </c>
      <c r="J9" s="46" t="s">
        <v>251</v>
      </c>
      <c r="L9">
        <f t="shared" si="2"/>
        <v>66.666666666666671</v>
      </c>
    </row>
    <row r="10" spans="1:24" x14ac:dyDescent="0.25">
      <c r="A10" s="504"/>
      <c r="B10" s="40" t="s">
        <v>341</v>
      </c>
      <c r="C10" s="41" t="s">
        <v>342</v>
      </c>
      <c r="D10" s="42" t="s">
        <v>60</v>
      </c>
      <c r="E10" s="43">
        <v>1</v>
      </c>
      <c r="F10" s="42">
        <v>2</v>
      </c>
      <c r="G10" s="44">
        <f t="shared" si="0"/>
        <v>40</v>
      </c>
      <c r="H10" s="45">
        <f t="shared" si="1"/>
        <v>33.333333333333336</v>
      </c>
      <c r="I10" s="47" t="s">
        <v>9</v>
      </c>
      <c r="J10" s="46" t="s">
        <v>251</v>
      </c>
      <c r="L10">
        <f t="shared" si="2"/>
        <v>33.333333333333336</v>
      </c>
    </row>
    <row r="11" spans="1:24" x14ac:dyDescent="0.25">
      <c r="A11" s="504"/>
      <c r="B11" s="40" t="s">
        <v>343</v>
      </c>
      <c r="C11" s="41" t="s">
        <v>344</v>
      </c>
      <c r="D11" s="42" t="s">
        <v>60</v>
      </c>
      <c r="E11" s="43">
        <v>1</v>
      </c>
      <c r="F11" s="42">
        <v>2</v>
      </c>
      <c r="G11" s="44">
        <f t="shared" si="0"/>
        <v>40</v>
      </c>
      <c r="H11" s="45">
        <f t="shared" si="1"/>
        <v>33.333333333333336</v>
      </c>
      <c r="I11" s="47" t="s">
        <v>14</v>
      </c>
      <c r="J11" s="46" t="s">
        <v>251</v>
      </c>
      <c r="L11">
        <f t="shared" si="2"/>
        <v>33.333333333333336</v>
      </c>
    </row>
    <row r="12" spans="1:24" x14ac:dyDescent="0.25">
      <c r="A12" s="527" t="s">
        <v>321</v>
      </c>
      <c r="B12" s="81" t="s">
        <v>345</v>
      </c>
      <c r="C12" s="41" t="s">
        <v>346</v>
      </c>
      <c r="D12" s="42" t="s">
        <v>60</v>
      </c>
      <c r="E12" s="43">
        <v>1</v>
      </c>
      <c r="F12" s="42">
        <v>2</v>
      </c>
      <c r="G12" s="44">
        <f t="shared" si="0"/>
        <v>40</v>
      </c>
      <c r="H12" s="45">
        <f t="shared" si="1"/>
        <v>33.333333333333336</v>
      </c>
      <c r="I12" s="47" t="s">
        <v>21</v>
      </c>
      <c r="J12" s="46" t="s">
        <v>251</v>
      </c>
      <c r="L12">
        <f t="shared" si="2"/>
        <v>33.333333333333336</v>
      </c>
    </row>
    <row r="13" spans="1:24" x14ac:dyDescent="0.25">
      <c r="A13" s="527"/>
      <c r="B13" s="81" t="s">
        <v>347</v>
      </c>
      <c r="C13" s="41" t="s">
        <v>348</v>
      </c>
      <c r="D13" s="42" t="s">
        <v>60</v>
      </c>
      <c r="E13" s="43">
        <v>1</v>
      </c>
      <c r="F13" s="42">
        <v>2</v>
      </c>
      <c r="G13" s="44">
        <f t="shared" si="0"/>
        <v>40</v>
      </c>
      <c r="H13" s="45">
        <f t="shared" si="1"/>
        <v>33.333333333333336</v>
      </c>
      <c r="I13" s="47" t="s">
        <v>21</v>
      </c>
      <c r="J13" s="46" t="s">
        <v>251</v>
      </c>
      <c r="L13">
        <f t="shared" si="2"/>
        <v>33.333333333333336</v>
      </c>
    </row>
    <row r="14" spans="1:24" x14ac:dyDescent="0.25">
      <c r="A14" s="527"/>
      <c r="B14" s="81" t="s">
        <v>349</v>
      </c>
      <c r="C14" s="41" t="s">
        <v>350</v>
      </c>
      <c r="D14" s="42" t="s">
        <v>60</v>
      </c>
      <c r="E14" s="43">
        <v>1</v>
      </c>
      <c r="F14" s="42">
        <v>4</v>
      </c>
      <c r="G14" s="44">
        <f t="shared" si="0"/>
        <v>80</v>
      </c>
      <c r="H14" s="45">
        <f t="shared" si="1"/>
        <v>66.666666666666671</v>
      </c>
      <c r="I14" s="47" t="s">
        <v>21</v>
      </c>
      <c r="J14" s="46" t="s">
        <v>251</v>
      </c>
      <c r="L14">
        <f t="shared" si="2"/>
        <v>66.666666666666671</v>
      </c>
    </row>
    <row r="15" spans="1:24" x14ac:dyDescent="0.25">
      <c r="A15" s="527"/>
      <c r="B15" s="81" t="s">
        <v>351</v>
      </c>
      <c r="C15" s="41" t="s">
        <v>352</v>
      </c>
      <c r="D15" s="42" t="s">
        <v>60</v>
      </c>
      <c r="E15" s="43">
        <v>1</v>
      </c>
      <c r="F15" s="42">
        <v>2</v>
      </c>
      <c r="G15" s="44">
        <f t="shared" si="0"/>
        <v>40</v>
      </c>
      <c r="H15" s="45">
        <f t="shared" si="1"/>
        <v>33.333333333333336</v>
      </c>
      <c r="I15" s="47" t="s">
        <v>21</v>
      </c>
      <c r="J15" s="46" t="s">
        <v>251</v>
      </c>
      <c r="L15">
        <f t="shared" si="2"/>
        <v>33.333333333333336</v>
      </c>
    </row>
    <row r="16" spans="1:24" x14ac:dyDescent="0.25">
      <c r="A16" s="527"/>
      <c r="B16" s="81" t="s">
        <v>353</v>
      </c>
      <c r="C16" s="48" t="s">
        <v>354</v>
      </c>
      <c r="D16" s="42" t="s">
        <v>60</v>
      </c>
      <c r="E16" s="42">
        <v>1</v>
      </c>
      <c r="F16" s="42">
        <v>4</v>
      </c>
      <c r="G16" s="44">
        <f t="shared" si="0"/>
        <v>80</v>
      </c>
      <c r="H16" s="45">
        <f t="shared" si="1"/>
        <v>66.666666666666671</v>
      </c>
      <c r="I16" s="47" t="s">
        <v>225</v>
      </c>
      <c r="J16" s="46" t="s">
        <v>251</v>
      </c>
      <c r="L16">
        <f t="shared" si="2"/>
        <v>66.666666666666671</v>
      </c>
    </row>
    <row r="17" spans="1:12" x14ac:dyDescent="0.25">
      <c r="A17" s="527"/>
      <c r="B17" s="40" t="s">
        <v>355</v>
      </c>
      <c r="C17" s="48" t="s">
        <v>356</v>
      </c>
      <c r="D17" s="42" t="s">
        <v>60</v>
      </c>
      <c r="E17" s="42">
        <v>1</v>
      </c>
      <c r="F17" s="42">
        <v>2</v>
      </c>
      <c r="G17" s="44">
        <f t="shared" si="0"/>
        <v>40</v>
      </c>
      <c r="H17" s="45">
        <f t="shared" si="1"/>
        <v>33.333333333333336</v>
      </c>
      <c r="I17" s="47" t="s">
        <v>14</v>
      </c>
      <c r="J17" s="46" t="s">
        <v>251</v>
      </c>
      <c r="L17">
        <f t="shared" si="2"/>
        <v>33.333333333333336</v>
      </c>
    </row>
    <row r="18" spans="1:12" x14ac:dyDescent="0.25">
      <c r="A18" s="527"/>
      <c r="B18" s="82" t="s">
        <v>357</v>
      </c>
      <c r="C18" s="49" t="s">
        <v>358</v>
      </c>
      <c r="D18" s="42" t="s">
        <v>60</v>
      </c>
      <c r="E18" s="42">
        <v>1</v>
      </c>
      <c r="F18" s="42">
        <v>2</v>
      </c>
      <c r="G18" s="44">
        <f t="shared" si="0"/>
        <v>40</v>
      </c>
      <c r="H18" s="45">
        <f t="shared" si="1"/>
        <v>33.333333333333336</v>
      </c>
      <c r="I18" s="47" t="s">
        <v>225</v>
      </c>
      <c r="J18" s="46" t="s">
        <v>251</v>
      </c>
      <c r="L18">
        <f t="shared" si="2"/>
        <v>33.333333333333336</v>
      </c>
    </row>
    <row r="19" spans="1:12" x14ac:dyDescent="0.25">
      <c r="A19" s="527"/>
      <c r="B19" s="40" t="s">
        <v>359</v>
      </c>
      <c r="C19" s="49" t="s">
        <v>360</v>
      </c>
      <c r="D19" s="42" t="s">
        <v>60</v>
      </c>
      <c r="E19" s="42">
        <v>1</v>
      </c>
      <c r="F19" s="42">
        <v>2</v>
      </c>
      <c r="G19" s="44">
        <f t="shared" si="0"/>
        <v>40</v>
      </c>
      <c r="H19" s="45">
        <f t="shared" si="1"/>
        <v>33.333333333333336</v>
      </c>
      <c r="I19" s="47" t="s">
        <v>225</v>
      </c>
      <c r="J19" s="46" t="s">
        <v>251</v>
      </c>
      <c r="L19">
        <f t="shared" si="2"/>
        <v>33.333333333333336</v>
      </c>
    </row>
    <row r="20" spans="1:12" x14ac:dyDescent="0.25">
      <c r="A20" s="527" t="s">
        <v>323</v>
      </c>
      <c r="B20" s="81" t="s">
        <v>361</v>
      </c>
      <c r="C20" s="49" t="s">
        <v>362</v>
      </c>
      <c r="D20" s="42" t="s">
        <v>60</v>
      </c>
      <c r="E20" s="42">
        <v>1</v>
      </c>
      <c r="F20" s="42">
        <v>4</v>
      </c>
      <c r="G20" s="44">
        <f t="shared" si="0"/>
        <v>80</v>
      </c>
      <c r="H20" s="45">
        <f t="shared" si="1"/>
        <v>66.666666666666671</v>
      </c>
      <c r="I20" s="47" t="s">
        <v>21</v>
      </c>
      <c r="J20" s="46" t="s">
        <v>251</v>
      </c>
      <c r="L20">
        <f t="shared" si="2"/>
        <v>66.666666666666671</v>
      </c>
    </row>
    <row r="21" spans="1:12" x14ac:dyDescent="0.25">
      <c r="A21" s="527"/>
      <c r="B21" s="81" t="s">
        <v>363</v>
      </c>
      <c r="C21" s="49" t="s">
        <v>364</v>
      </c>
      <c r="D21" s="42" t="s">
        <v>60</v>
      </c>
      <c r="E21" s="42">
        <v>1</v>
      </c>
      <c r="F21" s="42">
        <v>4</v>
      </c>
      <c r="G21" s="44">
        <f t="shared" si="0"/>
        <v>80</v>
      </c>
      <c r="H21" s="45">
        <f t="shared" si="1"/>
        <v>66.666666666666671</v>
      </c>
      <c r="I21" s="47" t="s">
        <v>21</v>
      </c>
      <c r="J21" s="46" t="s">
        <v>251</v>
      </c>
      <c r="L21">
        <f t="shared" si="2"/>
        <v>66.666666666666671</v>
      </c>
    </row>
    <row r="22" spans="1:12" x14ac:dyDescent="0.25">
      <c r="A22" s="527"/>
      <c r="B22" s="81" t="s">
        <v>365</v>
      </c>
      <c r="C22" s="41" t="s">
        <v>366</v>
      </c>
      <c r="D22" s="42" t="s">
        <v>54</v>
      </c>
      <c r="E22" s="43">
        <v>1</v>
      </c>
      <c r="F22" s="42">
        <v>2</v>
      </c>
      <c r="G22" s="44">
        <f t="shared" si="0"/>
        <v>40</v>
      </c>
      <c r="H22" s="45">
        <f t="shared" si="1"/>
        <v>33.333333333333336</v>
      </c>
      <c r="I22" s="47" t="s">
        <v>21</v>
      </c>
      <c r="J22" s="46" t="s">
        <v>251</v>
      </c>
      <c r="L22">
        <f t="shared" si="2"/>
        <v>33.333333333333336</v>
      </c>
    </row>
    <row r="23" spans="1:12" x14ac:dyDescent="0.25">
      <c r="A23" s="527"/>
      <c r="B23" s="81" t="s">
        <v>367</v>
      </c>
      <c r="C23" s="41" t="s">
        <v>368</v>
      </c>
      <c r="D23" s="42" t="s">
        <v>60</v>
      </c>
      <c r="E23" s="43">
        <v>1</v>
      </c>
      <c r="F23" s="42">
        <v>2</v>
      </c>
      <c r="G23" s="44">
        <f t="shared" si="0"/>
        <v>40</v>
      </c>
      <c r="H23" s="45">
        <f t="shared" si="1"/>
        <v>33.333333333333336</v>
      </c>
      <c r="I23" s="47" t="s">
        <v>21</v>
      </c>
      <c r="J23" s="46" t="s">
        <v>251</v>
      </c>
      <c r="L23">
        <f t="shared" si="2"/>
        <v>33.333333333333336</v>
      </c>
    </row>
    <row r="24" spans="1:12" x14ac:dyDescent="0.25">
      <c r="A24" s="527"/>
      <c r="B24" s="82" t="s">
        <v>369</v>
      </c>
      <c r="C24" s="49" t="s">
        <v>370</v>
      </c>
      <c r="D24" s="42" t="s">
        <v>60</v>
      </c>
      <c r="E24" s="42">
        <v>1</v>
      </c>
      <c r="F24" s="42">
        <v>4</v>
      </c>
      <c r="G24" s="44">
        <f t="shared" si="0"/>
        <v>80</v>
      </c>
      <c r="H24" s="45">
        <f t="shared" si="1"/>
        <v>66.666666666666671</v>
      </c>
      <c r="I24" s="47" t="s">
        <v>225</v>
      </c>
      <c r="J24" s="46" t="s">
        <v>251</v>
      </c>
      <c r="L24">
        <f t="shared" si="2"/>
        <v>66.666666666666671</v>
      </c>
    </row>
    <row r="25" spans="1:12" x14ac:dyDescent="0.25">
      <c r="A25" s="527"/>
      <c r="B25" s="82" t="s">
        <v>371</v>
      </c>
      <c r="C25" s="49" t="s">
        <v>372</v>
      </c>
      <c r="D25" s="42" t="s">
        <v>60</v>
      </c>
      <c r="E25" s="42">
        <v>1</v>
      </c>
      <c r="F25" s="42">
        <v>4</v>
      </c>
      <c r="G25" s="44">
        <f t="shared" si="0"/>
        <v>80</v>
      </c>
      <c r="H25" s="45">
        <f t="shared" si="1"/>
        <v>66.666666666666671</v>
      </c>
      <c r="I25" s="47" t="s">
        <v>225</v>
      </c>
      <c r="J25" s="46" t="s">
        <v>251</v>
      </c>
      <c r="L25">
        <f t="shared" si="2"/>
        <v>66.666666666666671</v>
      </c>
    </row>
    <row r="26" spans="1:12" x14ac:dyDescent="0.25">
      <c r="A26" s="527" t="s">
        <v>311</v>
      </c>
      <c r="B26" s="40" t="s">
        <v>373</v>
      </c>
      <c r="C26" s="49" t="s">
        <v>374</v>
      </c>
      <c r="D26" s="42" t="s">
        <v>60</v>
      </c>
      <c r="E26" s="42">
        <v>1</v>
      </c>
      <c r="F26" s="42">
        <v>4</v>
      </c>
      <c r="G26" s="44">
        <f t="shared" si="0"/>
        <v>80</v>
      </c>
      <c r="H26" s="45">
        <f t="shared" si="1"/>
        <v>66.666666666666671</v>
      </c>
      <c r="I26" s="47" t="s">
        <v>21</v>
      </c>
      <c r="J26" s="46" t="s">
        <v>251</v>
      </c>
      <c r="L26">
        <f t="shared" si="2"/>
        <v>66.666666666666671</v>
      </c>
    </row>
    <row r="27" spans="1:12" x14ac:dyDescent="0.25">
      <c r="A27" s="527"/>
      <c r="B27" s="40" t="s">
        <v>375</v>
      </c>
      <c r="C27" s="49" t="s">
        <v>376</v>
      </c>
      <c r="D27" s="42" t="s">
        <v>60</v>
      </c>
      <c r="E27" s="42">
        <v>1</v>
      </c>
      <c r="F27" s="42">
        <v>4</v>
      </c>
      <c r="G27" s="44">
        <f t="shared" si="0"/>
        <v>80</v>
      </c>
      <c r="H27" s="45">
        <f t="shared" si="1"/>
        <v>66.666666666666671</v>
      </c>
      <c r="I27" s="47" t="s">
        <v>21</v>
      </c>
      <c r="J27" s="46" t="s">
        <v>251</v>
      </c>
      <c r="L27">
        <f t="shared" si="2"/>
        <v>66.666666666666671</v>
      </c>
    </row>
    <row r="28" spans="1:12" x14ac:dyDescent="0.25">
      <c r="A28" s="527"/>
      <c r="B28" s="40" t="s">
        <v>377</v>
      </c>
      <c r="C28" s="49" t="s">
        <v>378</v>
      </c>
      <c r="D28" s="42" t="s">
        <v>60</v>
      </c>
      <c r="E28" s="42">
        <v>1</v>
      </c>
      <c r="F28" s="42">
        <v>4</v>
      </c>
      <c r="G28" s="44">
        <f t="shared" si="0"/>
        <v>80</v>
      </c>
      <c r="H28" s="45">
        <f t="shared" si="1"/>
        <v>66.666666666666671</v>
      </c>
      <c r="I28" s="47" t="s">
        <v>21</v>
      </c>
      <c r="J28" s="46" t="s">
        <v>251</v>
      </c>
      <c r="L28">
        <f t="shared" si="2"/>
        <v>66.666666666666671</v>
      </c>
    </row>
    <row r="29" spans="1:12" x14ac:dyDescent="0.25">
      <c r="A29" s="527"/>
      <c r="B29" s="40" t="s">
        <v>379</v>
      </c>
      <c r="C29" s="49" t="s">
        <v>380</v>
      </c>
      <c r="D29" s="42" t="s">
        <v>60</v>
      </c>
      <c r="E29" s="42">
        <v>1</v>
      </c>
      <c r="F29" s="42">
        <v>4</v>
      </c>
      <c r="G29" s="44">
        <f t="shared" si="0"/>
        <v>80</v>
      </c>
      <c r="H29" s="45">
        <f t="shared" si="1"/>
        <v>66.666666666666671</v>
      </c>
      <c r="I29" s="47" t="s">
        <v>21</v>
      </c>
      <c r="J29" s="46" t="s">
        <v>251</v>
      </c>
      <c r="L29">
        <f t="shared" si="2"/>
        <v>66.666666666666671</v>
      </c>
    </row>
    <row r="30" spans="1:12" x14ac:dyDescent="0.25">
      <c r="A30" s="527"/>
      <c r="B30" s="40" t="s">
        <v>381</v>
      </c>
      <c r="C30" s="83" t="s">
        <v>382</v>
      </c>
      <c r="D30" s="42" t="s">
        <v>60</v>
      </c>
      <c r="E30" s="42">
        <v>1</v>
      </c>
      <c r="F30" s="42">
        <v>2</v>
      </c>
      <c r="G30" s="44">
        <f t="shared" si="0"/>
        <v>40</v>
      </c>
      <c r="H30" s="45">
        <f t="shared" si="1"/>
        <v>33.333333333333336</v>
      </c>
      <c r="I30" s="47" t="s">
        <v>225</v>
      </c>
      <c r="J30" s="46" t="s">
        <v>251</v>
      </c>
      <c r="L30">
        <f t="shared" si="2"/>
        <v>33.333333333333336</v>
      </c>
    </row>
    <row r="31" spans="1:12" ht="15.75" thickBot="1" x14ac:dyDescent="0.3">
      <c r="A31" s="528"/>
      <c r="B31" s="330" t="s">
        <v>383</v>
      </c>
      <c r="C31" s="331" t="s">
        <v>384</v>
      </c>
      <c r="D31" s="332" t="s">
        <v>60</v>
      </c>
      <c r="E31" s="332">
        <v>1</v>
      </c>
      <c r="F31" s="332">
        <v>2</v>
      </c>
      <c r="G31" s="333">
        <f t="shared" si="0"/>
        <v>40</v>
      </c>
      <c r="H31" s="334">
        <f t="shared" si="1"/>
        <v>33.333333333333336</v>
      </c>
      <c r="I31" s="335" t="s">
        <v>299</v>
      </c>
      <c r="J31" s="336" t="s">
        <v>251</v>
      </c>
      <c r="L31">
        <f t="shared" si="2"/>
        <v>33.333333333333336</v>
      </c>
    </row>
    <row r="32" spans="1:12" x14ac:dyDescent="0.25">
      <c r="A32" s="525" t="s">
        <v>385</v>
      </c>
      <c r="B32" s="294" t="s">
        <v>386</v>
      </c>
      <c r="C32" s="337" t="s">
        <v>387</v>
      </c>
      <c r="D32" s="296" t="s">
        <v>60</v>
      </c>
      <c r="E32" s="296">
        <v>1</v>
      </c>
      <c r="F32" s="296">
        <v>4</v>
      </c>
      <c r="G32" s="298">
        <f t="shared" si="0"/>
        <v>80</v>
      </c>
      <c r="H32" s="299">
        <f t="shared" si="1"/>
        <v>66.666666666666671</v>
      </c>
      <c r="I32" s="300" t="s">
        <v>21</v>
      </c>
      <c r="J32" s="338" t="s">
        <v>251</v>
      </c>
      <c r="K32" s="339"/>
      <c r="L32" s="340">
        <f t="shared" si="2"/>
        <v>66.666666666666671</v>
      </c>
    </row>
    <row r="33" spans="1:12" x14ac:dyDescent="0.25">
      <c r="A33" s="526"/>
      <c r="B33" s="81" t="s">
        <v>388</v>
      </c>
      <c r="C33" s="49" t="s">
        <v>389</v>
      </c>
      <c r="D33" s="42" t="s">
        <v>60</v>
      </c>
      <c r="E33" s="42">
        <v>1</v>
      </c>
      <c r="F33" s="42">
        <v>2</v>
      </c>
      <c r="G33" s="44">
        <f t="shared" si="0"/>
        <v>40</v>
      </c>
      <c r="H33" s="45">
        <f t="shared" si="1"/>
        <v>33.333333333333336</v>
      </c>
      <c r="I33" s="47" t="s">
        <v>21</v>
      </c>
      <c r="J33" s="46" t="s">
        <v>251</v>
      </c>
      <c r="L33" s="341">
        <f t="shared" si="2"/>
        <v>33.333333333333336</v>
      </c>
    </row>
    <row r="34" spans="1:12" x14ac:dyDescent="0.25">
      <c r="A34" s="526"/>
      <c r="B34" s="40" t="s">
        <v>390</v>
      </c>
      <c r="C34" s="49" t="s">
        <v>391</v>
      </c>
      <c r="D34" s="42" t="s">
        <v>57</v>
      </c>
      <c r="E34" s="42">
        <v>1</v>
      </c>
      <c r="F34" s="42">
        <v>4</v>
      </c>
      <c r="G34" s="44">
        <f t="shared" si="0"/>
        <v>80</v>
      </c>
      <c r="H34" s="45">
        <f t="shared" si="1"/>
        <v>66.666666666666671</v>
      </c>
      <c r="I34" s="47" t="s">
        <v>21</v>
      </c>
      <c r="J34" s="46" t="s">
        <v>251</v>
      </c>
      <c r="L34" s="341">
        <f t="shared" si="2"/>
        <v>66.666666666666671</v>
      </c>
    </row>
    <row r="35" spans="1:12" x14ac:dyDescent="0.25">
      <c r="A35" s="526"/>
      <c r="B35" s="40" t="s">
        <v>392</v>
      </c>
      <c r="C35" s="49" t="s">
        <v>393</v>
      </c>
      <c r="D35" s="42" t="s">
        <v>54</v>
      </c>
      <c r="E35" s="42">
        <v>1</v>
      </c>
      <c r="F35" s="42">
        <v>4</v>
      </c>
      <c r="G35" s="44">
        <f t="shared" si="0"/>
        <v>80</v>
      </c>
      <c r="H35" s="45">
        <f t="shared" si="1"/>
        <v>66.666666666666671</v>
      </c>
      <c r="I35" s="47" t="s">
        <v>21</v>
      </c>
      <c r="J35" s="46" t="s">
        <v>251</v>
      </c>
      <c r="L35" s="341">
        <f t="shared" si="2"/>
        <v>66.666666666666671</v>
      </c>
    </row>
    <row r="36" spans="1:12" x14ac:dyDescent="0.25">
      <c r="A36" s="526"/>
      <c r="B36" s="40" t="s">
        <v>394</v>
      </c>
      <c r="C36" s="49" t="s">
        <v>395</v>
      </c>
      <c r="D36" s="42" t="s">
        <v>54</v>
      </c>
      <c r="E36" s="84">
        <v>1</v>
      </c>
      <c r="F36" s="42">
        <v>4</v>
      </c>
      <c r="G36" s="44">
        <f t="shared" si="0"/>
        <v>80</v>
      </c>
      <c r="H36" s="45">
        <f t="shared" si="1"/>
        <v>66.666666666666671</v>
      </c>
      <c r="I36" s="47" t="s">
        <v>6</v>
      </c>
      <c r="J36" s="46" t="s">
        <v>233</v>
      </c>
      <c r="L36" s="341">
        <f t="shared" si="2"/>
        <v>66.666666666666671</v>
      </c>
    </row>
    <row r="37" spans="1:12" ht="15.75" thickBot="1" x14ac:dyDescent="0.3">
      <c r="A37" s="530"/>
      <c r="B37" s="302" t="s">
        <v>396</v>
      </c>
      <c r="C37" s="342" t="s">
        <v>397</v>
      </c>
      <c r="D37" s="304" t="s">
        <v>60</v>
      </c>
      <c r="E37" s="304">
        <v>1</v>
      </c>
      <c r="F37" s="304">
        <v>2</v>
      </c>
      <c r="G37" s="306">
        <f t="shared" ref="G37:G56" si="3">SUM(F37:F37)*$G$2</f>
        <v>40</v>
      </c>
      <c r="H37" s="307">
        <f t="shared" si="1"/>
        <v>33.333333333333336</v>
      </c>
      <c r="I37" s="308" t="s">
        <v>15</v>
      </c>
      <c r="J37" s="343" t="s">
        <v>251</v>
      </c>
      <c r="K37" s="344"/>
      <c r="L37" s="345">
        <f t="shared" si="2"/>
        <v>33.333333333333336</v>
      </c>
    </row>
    <row r="38" spans="1:12" x14ac:dyDescent="0.25">
      <c r="A38" s="525" t="s">
        <v>398</v>
      </c>
      <c r="B38" s="346" t="s">
        <v>399</v>
      </c>
      <c r="C38" s="337" t="s">
        <v>400</v>
      </c>
      <c r="D38" s="296" t="s">
        <v>60</v>
      </c>
      <c r="E38" s="296">
        <v>1</v>
      </c>
      <c r="F38" s="296">
        <v>4</v>
      </c>
      <c r="G38" s="298">
        <f t="shared" si="3"/>
        <v>80</v>
      </c>
      <c r="H38" s="299">
        <f t="shared" si="1"/>
        <v>66.666666666666671</v>
      </c>
      <c r="I38" s="300" t="s">
        <v>21</v>
      </c>
      <c r="J38" s="338" t="s">
        <v>251</v>
      </c>
      <c r="K38" s="339"/>
      <c r="L38" s="340">
        <f t="shared" si="2"/>
        <v>66.666666666666671</v>
      </c>
    </row>
    <row r="39" spans="1:12" x14ac:dyDescent="0.25">
      <c r="A39" s="526"/>
      <c r="B39" s="81" t="s">
        <v>401</v>
      </c>
      <c r="C39" s="49" t="s">
        <v>402</v>
      </c>
      <c r="D39" s="42" t="s">
        <v>60</v>
      </c>
      <c r="E39" s="42">
        <v>1</v>
      </c>
      <c r="F39" s="42">
        <v>4</v>
      </c>
      <c r="G39" s="44">
        <f t="shared" si="3"/>
        <v>80</v>
      </c>
      <c r="H39" s="45">
        <f t="shared" si="1"/>
        <v>66.666666666666671</v>
      </c>
      <c r="I39" s="47" t="s">
        <v>21</v>
      </c>
      <c r="J39" s="46" t="s">
        <v>251</v>
      </c>
      <c r="L39" s="341">
        <f t="shared" si="2"/>
        <v>66.666666666666671</v>
      </c>
    </row>
    <row r="40" spans="1:12" x14ac:dyDescent="0.25">
      <c r="A40" s="526"/>
      <c r="B40" s="81" t="s">
        <v>403</v>
      </c>
      <c r="C40" s="49" t="s">
        <v>404</v>
      </c>
      <c r="D40" s="42" t="s">
        <v>54</v>
      </c>
      <c r="E40" s="42">
        <v>1</v>
      </c>
      <c r="F40" s="42">
        <v>4</v>
      </c>
      <c r="G40" s="44">
        <f t="shared" si="3"/>
        <v>80</v>
      </c>
      <c r="H40" s="45">
        <f t="shared" si="1"/>
        <v>66.666666666666671</v>
      </c>
      <c r="I40" s="47" t="s">
        <v>21</v>
      </c>
      <c r="J40" s="46" t="s">
        <v>251</v>
      </c>
      <c r="L40" s="341">
        <f t="shared" si="2"/>
        <v>66.666666666666671</v>
      </c>
    </row>
    <row r="41" spans="1:12" x14ac:dyDescent="0.25">
      <c r="A41" s="526"/>
      <c r="B41" s="81" t="s">
        <v>405</v>
      </c>
      <c r="C41" s="49" t="s">
        <v>406</v>
      </c>
      <c r="D41" s="42" t="s">
        <v>54</v>
      </c>
      <c r="E41" s="84">
        <v>1</v>
      </c>
      <c r="F41" s="42">
        <v>4</v>
      </c>
      <c r="G41" s="44">
        <f t="shared" si="3"/>
        <v>80</v>
      </c>
      <c r="H41" s="45">
        <f t="shared" si="1"/>
        <v>66.666666666666671</v>
      </c>
      <c r="I41" s="47" t="s">
        <v>6</v>
      </c>
      <c r="J41" s="46" t="s">
        <v>233</v>
      </c>
      <c r="L41" s="341">
        <f t="shared" si="2"/>
        <v>66.666666666666671</v>
      </c>
    </row>
    <row r="42" spans="1:12" x14ac:dyDescent="0.25">
      <c r="A42" s="526"/>
      <c r="B42" s="81" t="s">
        <v>407</v>
      </c>
      <c r="C42" s="49" t="s">
        <v>408</v>
      </c>
      <c r="D42" s="42" t="s">
        <v>60</v>
      </c>
      <c r="E42" s="42">
        <v>2</v>
      </c>
      <c r="F42" s="42">
        <v>2</v>
      </c>
      <c r="G42" s="44">
        <f t="shared" si="3"/>
        <v>40</v>
      </c>
      <c r="H42" s="45">
        <f t="shared" si="1"/>
        <v>33.333333333333336</v>
      </c>
      <c r="I42" s="47" t="s">
        <v>6</v>
      </c>
      <c r="J42" s="46" t="s">
        <v>231</v>
      </c>
      <c r="L42" s="341">
        <f t="shared" si="2"/>
        <v>66.666666666666671</v>
      </c>
    </row>
    <row r="43" spans="1:12" ht="15.75" thickBot="1" x14ac:dyDescent="0.3">
      <c r="A43" s="530"/>
      <c r="B43" s="302" t="s">
        <v>409</v>
      </c>
      <c r="C43" s="342" t="s">
        <v>410</v>
      </c>
      <c r="D43" s="304" t="s">
        <v>60</v>
      </c>
      <c r="E43" s="304">
        <v>1</v>
      </c>
      <c r="F43" s="304">
        <v>2</v>
      </c>
      <c r="G43" s="306">
        <f t="shared" si="3"/>
        <v>40</v>
      </c>
      <c r="H43" s="307">
        <f t="shared" si="1"/>
        <v>33.333333333333336</v>
      </c>
      <c r="I43" s="308" t="s">
        <v>15</v>
      </c>
      <c r="J43" s="343" t="s">
        <v>251</v>
      </c>
      <c r="K43" s="344"/>
      <c r="L43" s="345">
        <f t="shared" si="2"/>
        <v>33.333333333333336</v>
      </c>
    </row>
    <row r="44" spans="1:12" x14ac:dyDescent="0.25">
      <c r="A44" s="525" t="s">
        <v>411</v>
      </c>
      <c r="B44" s="294" t="s">
        <v>412</v>
      </c>
      <c r="C44" s="347" t="s">
        <v>413</v>
      </c>
      <c r="D44" s="296" t="s">
        <v>60</v>
      </c>
      <c r="E44" s="296">
        <v>1</v>
      </c>
      <c r="F44" s="296">
        <v>4</v>
      </c>
      <c r="G44" s="298">
        <f t="shared" si="3"/>
        <v>80</v>
      </c>
      <c r="H44" s="299">
        <f t="shared" si="1"/>
        <v>66.666666666666671</v>
      </c>
      <c r="I44" s="300" t="s">
        <v>21</v>
      </c>
      <c r="J44" s="338" t="s">
        <v>251</v>
      </c>
      <c r="K44" s="339"/>
      <c r="L44" s="340">
        <f t="shared" si="2"/>
        <v>66.666666666666671</v>
      </c>
    </row>
    <row r="45" spans="1:12" x14ac:dyDescent="0.25">
      <c r="A45" s="526"/>
      <c r="B45" s="40" t="s">
        <v>414</v>
      </c>
      <c r="C45" s="83" t="s">
        <v>415</v>
      </c>
      <c r="D45" s="42" t="s">
        <v>60</v>
      </c>
      <c r="E45" s="42">
        <v>1</v>
      </c>
      <c r="F45" s="42">
        <v>2</v>
      </c>
      <c r="G45" s="44">
        <f t="shared" si="3"/>
        <v>40</v>
      </c>
      <c r="H45" s="45">
        <f t="shared" si="1"/>
        <v>33.333333333333336</v>
      </c>
      <c r="I45" s="47" t="s">
        <v>21</v>
      </c>
      <c r="J45" s="46" t="s">
        <v>251</v>
      </c>
      <c r="L45" s="341">
        <f t="shared" si="2"/>
        <v>33.333333333333336</v>
      </c>
    </row>
    <row r="46" spans="1:12" x14ac:dyDescent="0.25">
      <c r="A46" s="526"/>
      <c r="B46" s="40" t="s">
        <v>416</v>
      </c>
      <c r="C46" s="83" t="s">
        <v>417</v>
      </c>
      <c r="D46" s="42" t="s">
        <v>60</v>
      </c>
      <c r="E46" s="42">
        <v>1</v>
      </c>
      <c r="F46" s="42">
        <v>2</v>
      </c>
      <c r="G46" s="44">
        <f t="shared" si="3"/>
        <v>40</v>
      </c>
      <c r="H46" s="45">
        <f t="shared" si="1"/>
        <v>33.333333333333336</v>
      </c>
      <c r="I46" s="47" t="s">
        <v>21</v>
      </c>
      <c r="J46" s="46" t="s">
        <v>251</v>
      </c>
      <c r="L46" s="341">
        <f t="shared" si="2"/>
        <v>33.333333333333336</v>
      </c>
    </row>
    <row r="47" spans="1:12" x14ac:dyDescent="0.25">
      <c r="A47" s="526"/>
      <c r="B47" s="40" t="s">
        <v>169</v>
      </c>
      <c r="C47" s="83" t="s">
        <v>418</v>
      </c>
      <c r="D47" s="42" t="s">
        <v>60</v>
      </c>
      <c r="E47" s="42">
        <v>1</v>
      </c>
      <c r="F47" s="42">
        <v>2</v>
      </c>
      <c r="G47" s="44">
        <f t="shared" si="3"/>
        <v>40</v>
      </c>
      <c r="H47" s="45">
        <f t="shared" si="1"/>
        <v>33.333333333333336</v>
      </c>
      <c r="I47" s="47" t="s">
        <v>21</v>
      </c>
      <c r="J47" s="46" t="s">
        <v>251</v>
      </c>
      <c r="L47" s="341">
        <f>H47*E47</f>
        <v>33.333333333333336</v>
      </c>
    </row>
    <row r="48" spans="1:12" x14ac:dyDescent="0.25">
      <c r="A48" s="526"/>
      <c r="B48" s="40" t="s">
        <v>419</v>
      </c>
      <c r="C48" s="83" t="s">
        <v>420</v>
      </c>
      <c r="D48" s="42" t="s">
        <v>60</v>
      </c>
      <c r="E48" s="42">
        <v>1</v>
      </c>
      <c r="F48" s="42">
        <v>2</v>
      </c>
      <c r="G48" s="44">
        <f t="shared" si="3"/>
        <v>40</v>
      </c>
      <c r="H48" s="45">
        <f t="shared" si="1"/>
        <v>33.333333333333336</v>
      </c>
      <c r="I48" s="47" t="s">
        <v>5</v>
      </c>
      <c r="J48" s="46" t="s">
        <v>251</v>
      </c>
      <c r="L48" s="341">
        <f t="shared" si="2"/>
        <v>33.333333333333336</v>
      </c>
    </row>
    <row r="49" spans="1:24" x14ac:dyDescent="0.25">
      <c r="A49" s="526"/>
      <c r="B49" s="40" t="s">
        <v>421</v>
      </c>
      <c r="C49" s="83" t="s">
        <v>422</v>
      </c>
      <c r="D49" s="42" t="s">
        <v>54</v>
      </c>
      <c r="E49" s="42">
        <v>1</v>
      </c>
      <c r="F49" s="42">
        <v>4</v>
      </c>
      <c r="G49" s="44">
        <f t="shared" si="3"/>
        <v>80</v>
      </c>
      <c r="H49" s="45">
        <f t="shared" si="1"/>
        <v>66.666666666666671</v>
      </c>
      <c r="I49" s="47" t="s">
        <v>21</v>
      </c>
      <c r="J49" s="46" t="s">
        <v>251</v>
      </c>
      <c r="L49" s="341">
        <f t="shared" si="2"/>
        <v>66.666666666666671</v>
      </c>
    </row>
    <row r="50" spans="1:24" ht="15.75" thickBot="1" x14ac:dyDescent="0.3">
      <c r="A50" s="530"/>
      <c r="B50" s="302" t="s">
        <v>423</v>
      </c>
      <c r="C50" s="348" t="s">
        <v>424</v>
      </c>
      <c r="D50" s="304" t="s">
        <v>54</v>
      </c>
      <c r="E50" s="349">
        <v>1</v>
      </c>
      <c r="F50" s="304">
        <v>4</v>
      </c>
      <c r="G50" s="306">
        <f t="shared" si="3"/>
        <v>80</v>
      </c>
      <c r="H50" s="307">
        <f t="shared" si="1"/>
        <v>66.666666666666671</v>
      </c>
      <c r="I50" s="308" t="s">
        <v>6</v>
      </c>
      <c r="J50" s="343" t="s">
        <v>233</v>
      </c>
      <c r="K50" s="344"/>
      <c r="L50" s="345">
        <f t="shared" si="2"/>
        <v>66.666666666666671</v>
      </c>
    </row>
    <row r="51" spans="1:24" x14ac:dyDescent="0.25">
      <c r="A51" s="525" t="s">
        <v>425</v>
      </c>
      <c r="B51" s="294" t="s">
        <v>426</v>
      </c>
      <c r="C51" s="347" t="s">
        <v>427</v>
      </c>
      <c r="D51" s="296" t="s">
        <v>60</v>
      </c>
      <c r="E51" s="296">
        <v>1</v>
      </c>
      <c r="F51" s="296">
        <v>4</v>
      </c>
      <c r="G51" s="298">
        <f t="shared" si="3"/>
        <v>80</v>
      </c>
      <c r="H51" s="299">
        <f t="shared" si="1"/>
        <v>66.666666666666671</v>
      </c>
      <c r="I51" s="300" t="s">
        <v>21</v>
      </c>
      <c r="J51" s="338" t="s">
        <v>251</v>
      </c>
      <c r="K51" s="339"/>
      <c r="L51" s="340">
        <f t="shared" si="2"/>
        <v>66.666666666666671</v>
      </c>
    </row>
    <row r="52" spans="1:24" x14ac:dyDescent="0.25">
      <c r="A52" s="526"/>
      <c r="B52" s="40" t="s">
        <v>428</v>
      </c>
      <c r="C52" s="83" t="s">
        <v>429</v>
      </c>
      <c r="D52" s="42" t="s">
        <v>60</v>
      </c>
      <c r="E52" s="42">
        <v>1</v>
      </c>
      <c r="F52" s="42">
        <v>4</v>
      </c>
      <c r="G52" s="44">
        <f t="shared" si="3"/>
        <v>80</v>
      </c>
      <c r="H52" s="45">
        <f t="shared" si="1"/>
        <v>66.666666666666671</v>
      </c>
      <c r="I52" s="47" t="s">
        <v>21</v>
      </c>
      <c r="J52" s="46" t="s">
        <v>251</v>
      </c>
      <c r="L52" s="341">
        <f t="shared" si="2"/>
        <v>66.666666666666671</v>
      </c>
    </row>
    <row r="53" spans="1:24" x14ac:dyDescent="0.25">
      <c r="A53" s="526"/>
      <c r="B53" s="40" t="s">
        <v>430</v>
      </c>
      <c r="C53" s="83" t="s">
        <v>431</v>
      </c>
      <c r="D53" s="42" t="s">
        <v>60</v>
      </c>
      <c r="E53" s="42">
        <v>1</v>
      </c>
      <c r="F53" s="42">
        <v>2</v>
      </c>
      <c r="G53" s="44">
        <f t="shared" si="3"/>
        <v>40</v>
      </c>
      <c r="H53" s="45">
        <f t="shared" si="1"/>
        <v>33.333333333333336</v>
      </c>
      <c r="I53" s="47" t="s">
        <v>21</v>
      </c>
      <c r="J53" s="46" t="s">
        <v>251</v>
      </c>
      <c r="L53" s="341">
        <f t="shared" si="2"/>
        <v>33.333333333333336</v>
      </c>
    </row>
    <row r="54" spans="1:24" x14ac:dyDescent="0.25">
      <c r="A54" s="526"/>
      <c r="B54" s="40" t="s">
        <v>432</v>
      </c>
      <c r="C54" s="83" t="s">
        <v>433</v>
      </c>
      <c r="D54" s="42" t="s">
        <v>54</v>
      </c>
      <c r="E54" s="42">
        <v>1</v>
      </c>
      <c r="F54" s="42">
        <v>4</v>
      </c>
      <c r="G54" s="44">
        <f t="shared" si="3"/>
        <v>80</v>
      </c>
      <c r="H54" s="45">
        <f t="shared" si="1"/>
        <v>66.666666666666671</v>
      </c>
      <c r="I54" s="47" t="s">
        <v>21</v>
      </c>
      <c r="J54" s="46" t="s">
        <v>251</v>
      </c>
      <c r="L54" s="341">
        <f t="shared" si="2"/>
        <v>66.666666666666671</v>
      </c>
    </row>
    <row r="55" spans="1:24" x14ac:dyDescent="0.25">
      <c r="A55" s="526"/>
      <c r="B55" s="40" t="s">
        <v>434</v>
      </c>
      <c r="C55" s="83" t="s">
        <v>435</v>
      </c>
      <c r="D55" s="42" t="s">
        <v>54</v>
      </c>
      <c r="E55" s="84">
        <v>1</v>
      </c>
      <c r="F55" s="42">
        <v>2</v>
      </c>
      <c r="G55" s="44">
        <f t="shared" si="3"/>
        <v>40</v>
      </c>
      <c r="H55" s="45">
        <f t="shared" si="1"/>
        <v>33.333333333333336</v>
      </c>
      <c r="I55" s="47" t="s">
        <v>5</v>
      </c>
      <c r="J55" s="46" t="s">
        <v>251</v>
      </c>
      <c r="L55" s="341">
        <f t="shared" si="2"/>
        <v>33.333333333333336</v>
      </c>
    </row>
    <row r="56" spans="1:24" ht="15.75" thickBot="1" x14ac:dyDescent="0.3">
      <c r="A56" s="530"/>
      <c r="B56" s="302" t="s">
        <v>436</v>
      </c>
      <c r="C56" s="342" t="s">
        <v>437</v>
      </c>
      <c r="D56" s="304" t="s">
        <v>54</v>
      </c>
      <c r="E56" s="304">
        <v>1</v>
      </c>
      <c r="F56" s="304">
        <v>4</v>
      </c>
      <c r="G56" s="306">
        <f t="shared" si="3"/>
        <v>80</v>
      </c>
      <c r="H56" s="307">
        <f t="shared" si="1"/>
        <v>66.666666666666671</v>
      </c>
      <c r="I56" s="308" t="s">
        <v>225</v>
      </c>
      <c r="J56" s="343" t="s">
        <v>251</v>
      </c>
      <c r="K56" s="344"/>
      <c r="L56" s="345">
        <f t="shared" si="2"/>
        <v>66.666666666666671</v>
      </c>
    </row>
    <row r="57" spans="1:24" ht="16.5" thickBot="1" x14ac:dyDescent="0.3">
      <c r="A57" s="523" t="s">
        <v>302</v>
      </c>
      <c r="B57" s="523"/>
      <c r="C57" s="523"/>
      <c r="D57" s="523" t="s">
        <v>60</v>
      </c>
      <c r="E57" s="523">
        <v>1</v>
      </c>
      <c r="F57" s="350">
        <f>SUM(F5:F56)</f>
        <v>160</v>
      </c>
      <c r="G57" s="36"/>
      <c r="H57" s="36"/>
      <c r="I57" s="36"/>
      <c r="J57" s="36"/>
      <c r="K57" s="36"/>
      <c r="L57" s="36"/>
      <c r="M57" s="36"/>
      <c r="N57" s="53">
        <f>SUM(G5:G56)</f>
        <v>3200</v>
      </c>
      <c r="O57" s="54"/>
      <c r="P57" s="36"/>
      <c r="Q57" s="36"/>
    </row>
    <row r="58" spans="1:24" ht="16.5" thickBot="1" x14ac:dyDescent="0.3">
      <c r="A58" s="508" t="s">
        <v>303</v>
      </c>
      <c r="B58" s="508"/>
      <c r="C58" s="508"/>
      <c r="D58" s="508"/>
      <c r="E58" s="508"/>
      <c r="F58" s="55">
        <f>(F57*$G$2*$C$63)/60</f>
        <v>2666.6666666666665</v>
      </c>
      <c r="G58" s="36"/>
      <c r="H58" s="36"/>
      <c r="I58" s="36"/>
      <c r="J58" s="36"/>
      <c r="K58" s="36"/>
      <c r="L58" s="36"/>
      <c r="M58" s="36"/>
      <c r="O58" s="55">
        <f>SUM(F58:F58)</f>
        <v>2666.6666666666665</v>
      </c>
      <c r="P58" s="36"/>
      <c r="Q58" s="36"/>
    </row>
    <row r="59" spans="1:24" ht="15.75" thickBot="1" x14ac:dyDescent="0.3">
      <c r="A59" s="506" t="s">
        <v>438</v>
      </c>
      <c r="B59" s="511"/>
      <c r="C59" s="511"/>
      <c r="D59" s="511"/>
      <c r="E59" s="511"/>
      <c r="F59" s="511"/>
      <c r="G59" s="511"/>
      <c r="H59" s="511"/>
      <c r="I59" s="511"/>
      <c r="J59" s="511"/>
      <c r="K59" s="511"/>
      <c r="L59" s="511"/>
      <c r="M59" s="36"/>
      <c r="N59" s="36"/>
      <c r="O59" s="36"/>
      <c r="P59" s="36"/>
      <c r="Q59" s="36"/>
      <c r="R59" s="36"/>
      <c r="S59" s="36"/>
      <c r="T59" s="36"/>
      <c r="V59" s="55">
        <v>200</v>
      </c>
      <c r="W59" s="36"/>
      <c r="X59" s="36"/>
    </row>
    <row r="60" spans="1:24" ht="15.75" thickBot="1" x14ac:dyDescent="0.3">
      <c r="A60" s="506" t="s">
        <v>439</v>
      </c>
      <c r="B60" s="511"/>
      <c r="C60" s="511"/>
      <c r="D60" s="511"/>
      <c r="E60" s="511"/>
      <c r="F60" s="511"/>
      <c r="G60" s="511"/>
      <c r="H60" s="511"/>
      <c r="I60" s="511"/>
      <c r="J60" s="511"/>
      <c r="K60" s="511"/>
      <c r="L60" s="511"/>
      <c r="M60" s="36"/>
      <c r="N60" s="36"/>
      <c r="O60" s="36"/>
      <c r="P60" s="36"/>
      <c r="Q60" s="36"/>
      <c r="R60" s="36"/>
      <c r="S60" s="36"/>
      <c r="T60" s="36"/>
      <c r="V60" s="55">
        <v>60</v>
      </c>
      <c r="W60" s="36"/>
      <c r="X60" s="36"/>
    </row>
    <row r="61" spans="1:24" ht="15.75" thickBot="1" x14ac:dyDescent="0.3">
      <c r="A61" s="506" t="s">
        <v>440</v>
      </c>
      <c r="B61" s="511"/>
      <c r="C61" s="511"/>
      <c r="D61" s="511"/>
      <c r="E61" s="511"/>
      <c r="F61" s="511"/>
      <c r="G61" s="511"/>
      <c r="H61" s="511"/>
      <c r="I61" s="511"/>
      <c r="J61" s="511"/>
      <c r="K61" s="511"/>
      <c r="L61" s="511"/>
      <c r="M61" s="36"/>
      <c r="N61" s="36"/>
      <c r="O61" s="36"/>
      <c r="P61" s="36"/>
      <c r="Q61" s="36"/>
      <c r="R61" s="36"/>
      <c r="S61" s="36"/>
      <c r="T61" s="36"/>
      <c r="V61" s="55">
        <v>400</v>
      </c>
      <c r="W61" s="36"/>
      <c r="X61" s="36"/>
    </row>
    <row r="62" spans="1:24" ht="16.5" thickBot="1" x14ac:dyDescent="0.3">
      <c r="A62" s="508" t="s">
        <v>441</v>
      </c>
      <c r="B62" s="509"/>
      <c r="C62" s="509"/>
      <c r="D62" s="509"/>
      <c r="E62" s="509"/>
      <c r="F62" s="509"/>
      <c r="G62" s="509"/>
      <c r="H62" s="509"/>
      <c r="I62" s="509"/>
      <c r="J62" s="509"/>
      <c r="K62" s="509"/>
      <c r="L62" s="509"/>
      <c r="M62" s="36"/>
      <c r="N62" s="36"/>
      <c r="O62" s="36"/>
      <c r="P62" s="36"/>
      <c r="Q62" s="36"/>
      <c r="R62" s="36"/>
      <c r="S62" s="36"/>
      <c r="T62" s="36"/>
      <c r="V62" s="56">
        <f>O58+SUM(V59:V61)</f>
        <v>3326.6666666666665</v>
      </c>
      <c r="W62" s="36"/>
      <c r="X62" s="36"/>
    </row>
    <row r="63" spans="1:24" ht="15.75" x14ac:dyDescent="0.25">
      <c r="A63" s="532" t="s">
        <v>309</v>
      </c>
      <c r="B63" s="532"/>
      <c r="C63" s="78">
        <v>50</v>
      </c>
      <c r="D63" s="79" t="s">
        <v>310</v>
      </c>
      <c r="E63" s="79"/>
      <c r="F63" s="79"/>
      <c r="G63" s="79"/>
      <c r="H63" s="79"/>
      <c r="I63" s="79"/>
      <c r="J63" s="79"/>
      <c r="K63" s="79"/>
      <c r="L63" s="79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</row>
    <row r="67" spans="6:6" x14ac:dyDescent="0.25">
      <c r="F67">
        <f>SUMPRODUCT(H5:H56,E5:E56)/F58</f>
        <v>1.0125000000000002</v>
      </c>
    </row>
  </sheetData>
  <mergeCells count="20">
    <mergeCell ref="E3:E4"/>
    <mergeCell ref="A5:A11"/>
    <mergeCell ref="A44:A50"/>
    <mergeCell ref="A2:C2"/>
    <mergeCell ref="B3:B4"/>
    <mergeCell ref="C3:C4"/>
    <mergeCell ref="D3:D4"/>
    <mergeCell ref="A12:A19"/>
    <mergeCell ref="A20:A25"/>
    <mergeCell ref="A26:A31"/>
    <mergeCell ref="A32:A37"/>
    <mergeCell ref="A38:A43"/>
    <mergeCell ref="A62:L62"/>
    <mergeCell ref="A63:B63"/>
    <mergeCell ref="A51:A56"/>
    <mergeCell ref="A57:E57"/>
    <mergeCell ref="A58:E58"/>
    <mergeCell ref="A59:L59"/>
    <mergeCell ref="A60:L60"/>
    <mergeCell ref="A61:L61"/>
  </mergeCells>
  <dataValidations count="2">
    <dataValidation type="list" allowBlank="1" showInputMessage="1" showErrorMessage="1" sqref="I5:I56" xr:uid="{00000000-0002-0000-0600-000000000000}">
      <formula1>Docentes</formula1>
    </dataValidation>
    <dataValidation type="list" allowBlank="1" showInputMessage="1" showErrorMessage="1" sqref="J5:J56" xr:uid="{00000000-0002-0000-06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>
    <tabColor theme="7"/>
  </sheetPr>
  <dimension ref="A1:X67"/>
  <sheetViews>
    <sheetView topLeftCell="A46" workbookViewId="0">
      <selection activeCell="I30" sqref="I30"/>
    </sheetView>
  </sheetViews>
  <sheetFormatPr defaultRowHeight="15" x14ac:dyDescent="0.25"/>
  <cols>
    <col min="2" max="2" width="51.5703125" bestFit="1" customWidth="1"/>
    <col min="9" max="9" width="14.42578125" bestFit="1" customWidth="1"/>
    <col min="10" max="10" width="15" bestFit="1" customWidth="1"/>
  </cols>
  <sheetData>
    <row r="1" spans="1:24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</row>
    <row r="2" spans="1:24" ht="15.75" x14ac:dyDescent="0.25">
      <c r="A2" s="513" t="s">
        <v>327</v>
      </c>
      <c r="B2" s="513"/>
      <c r="C2" s="513"/>
      <c r="D2" s="37" t="s">
        <v>237</v>
      </c>
      <c r="E2" s="38"/>
      <c r="F2" s="38"/>
      <c r="G2" s="38">
        <v>20</v>
      </c>
      <c r="H2" s="38"/>
      <c r="I2" s="38"/>
      <c r="J2" s="38"/>
      <c r="K2" s="38"/>
      <c r="L2" s="38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</row>
    <row r="3" spans="1:24" ht="15" customHeight="1" x14ac:dyDescent="0.25">
      <c r="A3" s="65"/>
      <c r="B3" s="514" t="s">
        <v>44</v>
      </c>
      <c r="C3" s="514" t="s">
        <v>238</v>
      </c>
      <c r="D3" s="524" t="s">
        <v>46</v>
      </c>
      <c r="E3" s="524" t="s">
        <v>328</v>
      </c>
      <c r="F3" s="87" t="s">
        <v>241</v>
      </c>
      <c r="G3" s="86" t="s">
        <v>329</v>
      </c>
      <c r="H3" s="86" t="s">
        <v>330</v>
      </c>
      <c r="I3" s="39" t="s">
        <v>243</v>
      </c>
      <c r="J3" s="39" t="s">
        <v>224</v>
      </c>
    </row>
    <row r="4" spans="1:24" x14ac:dyDescent="0.25">
      <c r="A4" s="65"/>
      <c r="B4" s="514"/>
      <c r="C4" s="514"/>
      <c r="D4" s="514"/>
      <c r="E4" s="514"/>
      <c r="F4" s="39" t="s">
        <v>246</v>
      </c>
      <c r="G4" s="86"/>
      <c r="H4" s="86"/>
      <c r="I4" s="39"/>
      <c r="J4" s="39"/>
    </row>
    <row r="5" spans="1:24" x14ac:dyDescent="0.25">
      <c r="A5" s="504" t="s">
        <v>318</v>
      </c>
      <c r="B5" s="40" t="s">
        <v>331</v>
      </c>
      <c r="C5" s="41" t="s">
        <v>332</v>
      </c>
      <c r="D5" s="42" t="s">
        <v>54</v>
      </c>
      <c r="E5" s="43">
        <v>1</v>
      </c>
      <c r="F5" s="42">
        <v>4</v>
      </c>
      <c r="G5" s="44">
        <f t="shared" ref="G5:G36" si="0">SUM(F5:F5)*$G$2</f>
        <v>80</v>
      </c>
      <c r="H5" s="45">
        <f>(G5)*$C$63/60</f>
        <v>66.666666666666671</v>
      </c>
      <c r="I5" s="47" t="s">
        <v>21</v>
      </c>
      <c r="J5" s="46" t="s">
        <v>230</v>
      </c>
      <c r="L5">
        <f>H5*E5</f>
        <v>66.666666666666671</v>
      </c>
    </row>
    <row r="6" spans="1:24" x14ac:dyDescent="0.25">
      <c r="A6" s="504"/>
      <c r="B6" s="40" t="s">
        <v>333</v>
      </c>
      <c r="C6" s="41" t="s">
        <v>334</v>
      </c>
      <c r="D6" s="42" t="s">
        <v>54</v>
      </c>
      <c r="E6" s="43">
        <v>1</v>
      </c>
      <c r="F6" s="42">
        <v>4</v>
      </c>
      <c r="G6" s="44">
        <f t="shared" si="0"/>
        <v>80</v>
      </c>
      <c r="H6" s="45">
        <f t="shared" ref="H6:H56" si="1">(G6)*$C$63/60</f>
        <v>66.666666666666671</v>
      </c>
      <c r="I6" s="47" t="s">
        <v>21</v>
      </c>
      <c r="J6" s="46" t="s">
        <v>251</v>
      </c>
      <c r="L6">
        <f t="shared" ref="L6:L56" si="2">H6*E6</f>
        <v>66.666666666666671</v>
      </c>
    </row>
    <row r="7" spans="1:24" x14ac:dyDescent="0.25">
      <c r="A7" s="504"/>
      <c r="B7" s="40" t="s">
        <v>335</v>
      </c>
      <c r="C7" s="41" t="s">
        <v>336</v>
      </c>
      <c r="D7" s="42" t="s">
        <v>54</v>
      </c>
      <c r="E7" s="43">
        <v>1</v>
      </c>
      <c r="F7" s="42">
        <v>2</v>
      </c>
      <c r="G7" s="44">
        <f t="shared" si="0"/>
        <v>40</v>
      </c>
      <c r="H7" s="45">
        <f t="shared" si="1"/>
        <v>33.333333333333336</v>
      </c>
      <c r="I7" s="47" t="s">
        <v>21</v>
      </c>
      <c r="J7" s="46" t="s">
        <v>251</v>
      </c>
      <c r="L7">
        <f t="shared" si="2"/>
        <v>33.333333333333336</v>
      </c>
    </row>
    <row r="8" spans="1:24" x14ac:dyDescent="0.25">
      <c r="A8" s="504"/>
      <c r="B8" s="40" t="s">
        <v>337</v>
      </c>
      <c r="C8" s="41" t="s">
        <v>338</v>
      </c>
      <c r="D8" s="42" t="s">
        <v>54</v>
      </c>
      <c r="E8" s="43">
        <v>1</v>
      </c>
      <c r="F8" s="42">
        <v>2</v>
      </c>
      <c r="G8" s="44">
        <f t="shared" si="0"/>
        <v>40</v>
      </c>
      <c r="H8" s="45">
        <f t="shared" si="1"/>
        <v>33.333333333333336</v>
      </c>
      <c r="I8" s="47" t="s">
        <v>21</v>
      </c>
      <c r="J8" s="46" t="s">
        <v>251</v>
      </c>
      <c r="L8">
        <f t="shared" si="2"/>
        <v>33.333333333333336</v>
      </c>
    </row>
    <row r="9" spans="1:24" x14ac:dyDescent="0.25">
      <c r="A9" s="504"/>
      <c r="B9" s="40" t="s">
        <v>339</v>
      </c>
      <c r="C9" s="41" t="s">
        <v>340</v>
      </c>
      <c r="D9" s="42" t="s">
        <v>60</v>
      </c>
      <c r="E9" s="43">
        <v>1</v>
      </c>
      <c r="F9" s="42">
        <v>4</v>
      </c>
      <c r="G9" s="44">
        <f t="shared" si="0"/>
        <v>80</v>
      </c>
      <c r="H9" s="45">
        <f t="shared" si="1"/>
        <v>66.666666666666671</v>
      </c>
      <c r="I9" s="47" t="s">
        <v>225</v>
      </c>
      <c r="J9" s="46" t="s">
        <v>251</v>
      </c>
      <c r="L9">
        <f t="shared" si="2"/>
        <v>66.666666666666671</v>
      </c>
    </row>
    <row r="10" spans="1:24" x14ac:dyDescent="0.25">
      <c r="A10" s="504"/>
      <c r="B10" s="40" t="s">
        <v>341</v>
      </c>
      <c r="C10" s="41" t="s">
        <v>342</v>
      </c>
      <c r="D10" s="42" t="s">
        <v>60</v>
      </c>
      <c r="E10" s="43">
        <v>1</v>
      </c>
      <c r="F10" s="42">
        <v>2</v>
      </c>
      <c r="G10" s="44">
        <f t="shared" si="0"/>
        <v>40</v>
      </c>
      <c r="H10" s="45">
        <f t="shared" si="1"/>
        <v>33.333333333333336</v>
      </c>
      <c r="I10" s="47" t="s">
        <v>9</v>
      </c>
      <c r="J10" s="46" t="s">
        <v>251</v>
      </c>
      <c r="L10">
        <f t="shared" si="2"/>
        <v>33.333333333333336</v>
      </c>
    </row>
    <row r="11" spans="1:24" x14ac:dyDescent="0.25">
      <c r="A11" s="504"/>
      <c r="B11" s="40" t="s">
        <v>343</v>
      </c>
      <c r="C11" s="41" t="s">
        <v>344</v>
      </c>
      <c r="D11" s="42" t="s">
        <v>60</v>
      </c>
      <c r="E11" s="43">
        <v>1</v>
      </c>
      <c r="F11" s="42">
        <v>2</v>
      </c>
      <c r="G11" s="44">
        <f t="shared" si="0"/>
        <v>40</v>
      </c>
      <c r="H11" s="45">
        <f t="shared" si="1"/>
        <v>33.333333333333336</v>
      </c>
      <c r="I11" s="47" t="s">
        <v>14</v>
      </c>
      <c r="J11" s="46" t="s">
        <v>251</v>
      </c>
      <c r="L11">
        <f t="shared" si="2"/>
        <v>33.333333333333336</v>
      </c>
    </row>
    <row r="12" spans="1:24" x14ac:dyDescent="0.25">
      <c r="A12" s="527" t="s">
        <v>321</v>
      </c>
      <c r="B12" s="81" t="s">
        <v>345</v>
      </c>
      <c r="C12" s="41" t="s">
        <v>346</v>
      </c>
      <c r="D12" s="42" t="s">
        <v>60</v>
      </c>
      <c r="E12" s="43">
        <v>1</v>
      </c>
      <c r="F12" s="42">
        <v>2</v>
      </c>
      <c r="G12" s="44">
        <f t="shared" si="0"/>
        <v>40</v>
      </c>
      <c r="H12" s="45">
        <f t="shared" si="1"/>
        <v>33.333333333333336</v>
      </c>
      <c r="I12" s="47" t="s">
        <v>21</v>
      </c>
      <c r="J12" s="46" t="s">
        <v>251</v>
      </c>
      <c r="L12">
        <f t="shared" si="2"/>
        <v>33.333333333333336</v>
      </c>
    </row>
    <row r="13" spans="1:24" x14ac:dyDescent="0.25">
      <c r="A13" s="527"/>
      <c r="B13" s="81" t="s">
        <v>347</v>
      </c>
      <c r="C13" s="41" t="s">
        <v>348</v>
      </c>
      <c r="D13" s="42" t="s">
        <v>60</v>
      </c>
      <c r="E13" s="43">
        <v>1</v>
      </c>
      <c r="F13" s="42">
        <v>2</v>
      </c>
      <c r="G13" s="44">
        <f t="shared" si="0"/>
        <v>40</v>
      </c>
      <c r="H13" s="45">
        <f t="shared" si="1"/>
        <v>33.333333333333336</v>
      </c>
      <c r="I13" s="47" t="s">
        <v>21</v>
      </c>
      <c r="J13" s="46" t="s">
        <v>251</v>
      </c>
      <c r="L13">
        <f t="shared" si="2"/>
        <v>33.333333333333336</v>
      </c>
    </row>
    <row r="14" spans="1:24" x14ac:dyDescent="0.25">
      <c r="A14" s="527"/>
      <c r="B14" s="81" t="s">
        <v>349</v>
      </c>
      <c r="C14" s="41" t="s">
        <v>350</v>
      </c>
      <c r="D14" s="42" t="s">
        <v>60</v>
      </c>
      <c r="E14" s="43">
        <v>1</v>
      </c>
      <c r="F14" s="42">
        <v>4</v>
      </c>
      <c r="G14" s="44">
        <f t="shared" si="0"/>
        <v>80</v>
      </c>
      <c r="H14" s="45">
        <f t="shared" si="1"/>
        <v>66.666666666666671</v>
      </c>
      <c r="I14" s="47" t="s">
        <v>21</v>
      </c>
      <c r="J14" s="46" t="s">
        <v>251</v>
      </c>
      <c r="L14">
        <f t="shared" si="2"/>
        <v>66.666666666666671</v>
      </c>
    </row>
    <row r="15" spans="1:24" x14ac:dyDescent="0.25">
      <c r="A15" s="527"/>
      <c r="B15" s="81" t="s">
        <v>351</v>
      </c>
      <c r="C15" s="41" t="s">
        <v>352</v>
      </c>
      <c r="D15" s="42" t="s">
        <v>60</v>
      </c>
      <c r="E15" s="43">
        <v>1</v>
      </c>
      <c r="F15" s="42">
        <v>2</v>
      </c>
      <c r="G15" s="44">
        <f t="shared" si="0"/>
        <v>40</v>
      </c>
      <c r="H15" s="45">
        <f t="shared" si="1"/>
        <v>33.333333333333336</v>
      </c>
      <c r="I15" s="47" t="s">
        <v>21</v>
      </c>
      <c r="J15" s="46" t="s">
        <v>251</v>
      </c>
      <c r="L15">
        <f t="shared" si="2"/>
        <v>33.333333333333336</v>
      </c>
    </row>
    <row r="16" spans="1:24" x14ac:dyDescent="0.25">
      <c r="A16" s="527"/>
      <c r="B16" s="81" t="s">
        <v>353</v>
      </c>
      <c r="C16" s="48" t="s">
        <v>354</v>
      </c>
      <c r="D16" s="42" t="s">
        <v>60</v>
      </c>
      <c r="E16" s="42">
        <v>1</v>
      </c>
      <c r="F16" s="42">
        <v>4</v>
      </c>
      <c r="G16" s="44">
        <f t="shared" si="0"/>
        <v>80</v>
      </c>
      <c r="H16" s="45">
        <f t="shared" si="1"/>
        <v>66.666666666666671</v>
      </c>
      <c r="I16" s="47" t="s">
        <v>225</v>
      </c>
      <c r="J16" s="46" t="s">
        <v>251</v>
      </c>
      <c r="L16">
        <f t="shared" si="2"/>
        <v>66.666666666666671</v>
      </c>
    </row>
    <row r="17" spans="1:12" x14ac:dyDescent="0.25">
      <c r="A17" s="527"/>
      <c r="B17" s="40" t="s">
        <v>355</v>
      </c>
      <c r="C17" s="48" t="s">
        <v>356</v>
      </c>
      <c r="D17" s="42" t="s">
        <v>60</v>
      </c>
      <c r="E17" s="42">
        <v>1</v>
      </c>
      <c r="F17" s="42">
        <v>2</v>
      </c>
      <c r="G17" s="44">
        <f t="shared" si="0"/>
        <v>40</v>
      </c>
      <c r="H17" s="45">
        <f t="shared" si="1"/>
        <v>33.333333333333336</v>
      </c>
      <c r="I17" s="47" t="s">
        <v>14</v>
      </c>
      <c r="J17" s="46" t="s">
        <v>251</v>
      </c>
      <c r="L17">
        <f t="shared" si="2"/>
        <v>33.333333333333336</v>
      </c>
    </row>
    <row r="18" spans="1:12" x14ac:dyDescent="0.25">
      <c r="A18" s="527"/>
      <c r="B18" s="82" t="s">
        <v>357</v>
      </c>
      <c r="C18" s="49" t="s">
        <v>358</v>
      </c>
      <c r="D18" s="42" t="s">
        <v>60</v>
      </c>
      <c r="E18" s="42">
        <v>1</v>
      </c>
      <c r="F18" s="42">
        <v>2</v>
      </c>
      <c r="G18" s="44">
        <f t="shared" si="0"/>
        <v>40</v>
      </c>
      <c r="H18" s="45">
        <f t="shared" si="1"/>
        <v>33.333333333333336</v>
      </c>
      <c r="I18" s="47" t="s">
        <v>225</v>
      </c>
      <c r="J18" s="46" t="s">
        <v>251</v>
      </c>
      <c r="L18">
        <f t="shared" si="2"/>
        <v>33.333333333333336</v>
      </c>
    </row>
    <row r="19" spans="1:12" x14ac:dyDescent="0.25">
      <c r="A19" s="527"/>
      <c r="B19" s="40" t="s">
        <v>359</v>
      </c>
      <c r="C19" s="49" t="s">
        <v>360</v>
      </c>
      <c r="D19" s="42" t="s">
        <v>60</v>
      </c>
      <c r="E19" s="42">
        <v>1</v>
      </c>
      <c r="F19" s="42">
        <v>2</v>
      </c>
      <c r="G19" s="44">
        <f t="shared" si="0"/>
        <v>40</v>
      </c>
      <c r="H19" s="45">
        <f t="shared" si="1"/>
        <v>33.333333333333336</v>
      </c>
      <c r="I19" s="47" t="s">
        <v>225</v>
      </c>
      <c r="J19" s="46" t="s">
        <v>251</v>
      </c>
      <c r="L19">
        <f t="shared" si="2"/>
        <v>33.333333333333336</v>
      </c>
    </row>
    <row r="20" spans="1:12" x14ac:dyDescent="0.25">
      <c r="A20" s="527" t="s">
        <v>323</v>
      </c>
      <c r="B20" s="81" t="s">
        <v>361</v>
      </c>
      <c r="C20" s="49" t="s">
        <v>362</v>
      </c>
      <c r="D20" s="42" t="s">
        <v>60</v>
      </c>
      <c r="E20" s="42">
        <v>1</v>
      </c>
      <c r="F20" s="42">
        <v>4</v>
      </c>
      <c r="G20" s="44">
        <f t="shared" si="0"/>
        <v>80</v>
      </c>
      <c r="H20" s="45">
        <f t="shared" si="1"/>
        <v>66.666666666666671</v>
      </c>
      <c r="I20" s="47" t="s">
        <v>21</v>
      </c>
      <c r="J20" s="46" t="s">
        <v>251</v>
      </c>
      <c r="L20">
        <f t="shared" si="2"/>
        <v>66.666666666666671</v>
      </c>
    </row>
    <row r="21" spans="1:12" x14ac:dyDescent="0.25">
      <c r="A21" s="527"/>
      <c r="B21" s="81" t="s">
        <v>363</v>
      </c>
      <c r="C21" s="49" t="s">
        <v>364</v>
      </c>
      <c r="D21" s="42" t="s">
        <v>60</v>
      </c>
      <c r="E21" s="42">
        <v>1</v>
      </c>
      <c r="F21" s="42">
        <v>4</v>
      </c>
      <c r="G21" s="44">
        <f t="shared" si="0"/>
        <v>80</v>
      </c>
      <c r="H21" s="45">
        <f t="shared" si="1"/>
        <v>66.666666666666671</v>
      </c>
      <c r="I21" s="47" t="s">
        <v>21</v>
      </c>
      <c r="J21" s="46" t="s">
        <v>251</v>
      </c>
      <c r="L21">
        <f t="shared" si="2"/>
        <v>66.666666666666671</v>
      </c>
    </row>
    <row r="22" spans="1:12" x14ac:dyDescent="0.25">
      <c r="A22" s="527"/>
      <c r="B22" s="81" t="s">
        <v>365</v>
      </c>
      <c r="C22" s="41" t="s">
        <v>366</v>
      </c>
      <c r="D22" s="42" t="s">
        <v>54</v>
      </c>
      <c r="E22" s="43">
        <v>1</v>
      </c>
      <c r="F22" s="42">
        <v>2</v>
      </c>
      <c r="G22" s="44">
        <f t="shared" si="0"/>
        <v>40</v>
      </c>
      <c r="H22" s="45">
        <f t="shared" si="1"/>
        <v>33.333333333333336</v>
      </c>
      <c r="I22" s="47" t="s">
        <v>21</v>
      </c>
      <c r="J22" s="46" t="s">
        <v>251</v>
      </c>
      <c r="L22">
        <f t="shared" si="2"/>
        <v>33.333333333333336</v>
      </c>
    </row>
    <row r="23" spans="1:12" x14ac:dyDescent="0.25">
      <c r="A23" s="527"/>
      <c r="B23" s="81" t="s">
        <v>367</v>
      </c>
      <c r="C23" s="41" t="s">
        <v>368</v>
      </c>
      <c r="D23" s="42" t="s">
        <v>60</v>
      </c>
      <c r="E23" s="43">
        <v>1</v>
      </c>
      <c r="F23" s="42">
        <v>2</v>
      </c>
      <c r="G23" s="44">
        <f t="shared" si="0"/>
        <v>40</v>
      </c>
      <c r="H23" s="45">
        <f t="shared" si="1"/>
        <v>33.333333333333336</v>
      </c>
      <c r="I23" s="47" t="s">
        <v>21</v>
      </c>
      <c r="J23" s="46" t="s">
        <v>251</v>
      </c>
      <c r="L23">
        <f t="shared" si="2"/>
        <v>33.333333333333336</v>
      </c>
    </row>
    <row r="24" spans="1:12" x14ac:dyDescent="0.25">
      <c r="A24" s="527"/>
      <c r="B24" s="82" t="s">
        <v>369</v>
      </c>
      <c r="C24" s="49" t="s">
        <v>370</v>
      </c>
      <c r="D24" s="42" t="s">
        <v>60</v>
      </c>
      <c r="E24" s="42">
        <v>1</v>
      </c>
      <c r="F24" s="42">
        <v>4</v>
      </c>
      <c r="G24" s="44">
        <f t="shared" si="0"/>
        <v>80</v>
      </c>
      <c r="H24" s="45">
        <f t="shared" si="1"/>
        <v>66.666666666666671</v>
      </c>
      <c r="I24" s="47" t="s">
        <v>225</v>
      </c>
      <c r="J24" s="46" t="s">
        <v>251</v>
      </c>
      <c r="L24">
        <f t="shared" si="2"/>
        <v>66.666666666666671</v>
      </c>
    </row>
    <row r="25" spans="1:12" x14ac:dyDescent="0.25">
      <c r="A25" s="527"/>
      <c r="B25" s="82" t="s">
        <v>371</v>
      </c>
      <c r="C25" s="49" t="s">
        <v>372</v>
      </c>
      <c r="D25" s="42" t="s">
        <v>60</v>
      </c>
      <c r="E25" s="42">
        <v>1</v>
      </c>
      <c r="F25" s="42">
        <v>4</v>
      </c>
      <c r="G25" s="44">
        <f t="shared" si="0"/>
        <v>80</v>
      </c>
      <c r="H25" s="45">
        <f t="shared" si="1"/>
        <v>66.666666666666671</v>
      </c>
      <c r="I25" s="47" t="s">
        <v>225</v>
      </c>
      <c r="J25" s="46" t="s">
        <v>251</v>
      </c>
      <c r="L25">
        <f t="shared" si="2"/>
        <v>66.666666666666671</v>
      </c>
    </row>
    <row r="26" spans="1:12" x14ac:dyDescent="0.25">
      <c r="A26" s="527" t="s">
        <v>311</v>
      </c>
      <c r="B26" s="40" t="s">
        <v>373</v>
      </c>
      <c r="C26" s="49" t="s">
        <v>374</v>
      </c>
      <c r="D26" s="42" t="s">
        <v>60</v>
      </c>
      <c r="E26" s="42">
        <v>1</v>
      </c>
      <c r="F26" s="42">
        <v>4</v>
      </c>
      <c r="G26" s="44">
        <f t="shared" si="0"/>
        <v>80</v>
      </c>
      <c r="H26" s="45">
        <f t="shared" si="1"/>
        <v>66.666666666666671</v>
      </c>
      <c r="I26" s="47" t="s">
        <v>21</v>
      </c>
      <c r="J26" s="46" t="s">
        <v>251</v>
      </c>
      <c r="L26">
        <f t="shared" si="2"/>
        <v>66.666666666666671</v>
      </c>
    </row>
    <row r="27" spans="1:12" x14ac:dyDescent="0.25">
      <c r="A27" s="527"/>
      <c r="B27" s="40" t="s">
        <v>375</v>
      </c>
      <c r="C27" s="49" t="s">
        <v>376</v>
      </c>
      <c r="D27" s="42" t="s">
        <v>60</v>
      </c>
      <c r="E27" s="42">
        <v>1</v>
      </c>
      <c r="F27" s="42">
        <v>4</v>
      </c>
      <c r="G27" s="44">
        <f t="shared" si="0"/>
        <v>80</v>
      </c>
      <c r="H27" s="45">
        <f t="shared" si="1"/>
        <v>66.666666666666671</v>
      </c>
      <c r="I27" s="47" t="s">
        <v>21</v>
      </c>
      <c r="J27" s="46" t="s">
        <v>251</v>
      </c>
      <c r="L27">
        <f t="shared" si="2"/>
        <v>66.666666666666671</v>
      </c>
    </row>
    <row r="28" spans="1:12" x14ac:dyDescent="0.25">
      <c r="A28" s="527"/>
      <c r="B28" s="40" t="s">
        <v>377</v>
      </c>
      <c r="C28" s="49" t="s">
        <v>378</v>
      </c>
      <c r="D28" s="42" t="s">
        <v>60</v>
      </c>
      <c r="E28" s="42">
        <v>1</v>
      </c>
      <c r="F28" s="42">
        <v>4</v>
      </c>
      <c r="G28" s="44">
        <f t="shared" si="0"/>
        <v>80</v>
      </c>
      <c r="H28" s="45">
        <f t="shared" si="1"/>
        <v>66.666666666666671</v>
      </c>
      <c r="I28" s="47" t="s">
        <v>21</v>
      </c>
      <c r="J28" s="46" t="s">
        <v>251</v>
      </c>
      <c r="L28">
        <f t="shared" si="2"/>
        <v>66.666666666666671</v>
      </c>
    </row>
    <row r="29" spans="1:12" x14ac:dyDescent="0.25">
      <c r="A29" s="527"/>
      <c r="B29" s="40" t="s">
        <v>379</v>
      </c>
      <c r="C29" s="49" t="s">
        <v>380</v>
      </c>
      <c r="D29" s="42" t="s">
        <v>60</v>
      </c>
      <c r="E29" s="42">
        <v>1</v>
      </c>
      <c r="F29" s="42">
        <v>4</v>
      </c>
      <c r="G29" s="44">
        <f t="shared" si="0"/>
        <v>80</v>
      </c>
      <c r="H29" s="45">
        <f t="shared" si="1"/>
        <v>66.666666666666671</v>
      </c>
      <c r="I29" s="47" t="s">
        <v>21</v>
      </c>
      <c r="J29" s="46" t="s">
        <v>251</v>
      </c>
      <c r="L29">
        <f t="shared" si="2"/>
        <v>66.666666666666671</v>
      </c>
    </row>
    <row r="30" spans="1:12" x14ac:dyDescent="0.25">
      <c r="A30" s="527"/>
      <c r="B30" s="40" t="s">
        <v>381</v>
      </c>
      <c r="C30" s="83" t="s">
        <v>382</v>
      </c>
      <c r="D30" s="42" t="s">
        <v>60</v>
      </c>
      <c r="E30" s="42">
        <v>1</v>
      </c>
      <c r="F30" s="42">
        <v>2</v>
      </c>
      <c r="G30" s="44">
        <f t="shared" si="0"/>
        <v>40</v>
      </c>
      <c r="H30" s="45">
        <f t="shared" si="1"/>
        <v>33.333333333333336</v>
      </c>
      <c r="I30" s="47" t="s">
        <v>225</v>
      </c>
      <c r="J30" s="46" t="s">
        <v>251</v>
      </c>
      <c r="L30">
        <f t="shared" si="2"/>
        <v>33.333333333333336</v>
      </c>
    </row>
    <row r="31" spans="1:12" ht="15.75" thickBot="1" x14ac:dyDescent="0.3">
      <c r="A31" s="528"/>
      <c r="B31" s="330" t="s">
        <v>383</v>
      </c>
      <c r="C31" s="331" t="s">
        <v>384</v>
      </c>
      <c r="D31" s="332" t="s">
        <v>60</v>
      </c>
      <c r="E31" s="332">
        <v>1</v>
      </c>
      <c r="F31" s="332">
        <v>2</v>
      </c>
      <c r="G31" s="333">
        <f t="shared" si="0"/>
        <v>40</v>
      </c>
      <c r="H31" s="334">
        <f t="shared" si="1"/>
        <v>33.333333333333336</v>
      </c>
      <c r="I31" s="335" t="s">
        <v>299</v>
      </c>
      <c r="J31" s="336" t="s">
        <v>251</v>
      </c>
      <c r="L31">
        <f t="shared" si="2"/>
        <v>33.333333333333336</v>
      </c>
    </row>
    <row r="32" spans="1:12" x14ac:dyDescent="0.25">
      <c r="A32" s="525" t="s">
        <v>385</v>
      </c>
      <c r="B32" s="294" t="s">
        <v>386</v>
      </c>
      <c r="C32" s="337" t="s">
        <v>387</v>
      </c>
      <c r="D32" s="296" t="s">
        <v>60</v>
      </c>
      <c r="E32" s="296">
        <v>1</v>
      </c>
      <c r="F32" s="296">
        <v>4</v>
      </c>
      <c r="G32" s="298">
        <f t="shared" si="0"/>
        <v>80</v>
      </c>
      <c r="H32" s="299">
        <f t="shared" si="1"/>
        <v>66.666666666666671</v>
      </c>
      <c r="I32" s="300" t="s">
        <v>21</v>
      </c>
      <c r="J32" s="338" t="s">
        <v>251</v>
      </c>
      <c r="K32" s="339"/>
      <c r="L32" s="340">
        <f t="shared" si="2"/>
        <v>66.666666666666671</v>
      </c>
    </row>
    <row r="33" spans="1:12" x14ac:dyDescent="0.25">
      <c r="A33" s="526"/>
      <c r="B33" s="81" t="s">
        <v>388</v>
      </c>
      <c r="C33" s="49" t="s">
        <v>389</v>
      </c>
      <c r="D33" s="42" t="s">
        <v>60</v>
      </c>
      <c r="E33" s="42">
        <v>1</v>
      </c>
      <c r="F33" s="42">
        <v>2</v>
      </c>
      <c r="G33" s="44">
        <f t="shared" si="0"/>
        <v>40</v>
      </c>
      <c r="H33" s="45">
        <f t="shared" si="1"/>
        <v>33.333333333333336</v>
      </c>
      <c r="I33" s="47" t="s">
        <v>21</v>
      </c>
      <c r="J33" s="46" t="s">
        <v>251</v>
      </c>
      <c r="L33" s="341">
        <f t="shared" si="2"/>
        <v>33.333333333333336</v>
      </c>
    </row>
    <row r="34" spans="1:12" x14ac:dyDescent="0.25">
      <c r="A34" s="526"/>
      <c r="B34" s="40" t="s">
        <v>390</v>
      </c>
      <c r="C34" s="49" t="s">
        <v>391</v>
      </c>
      <c r="D34" s="42" t="s">
        <v>57</v>
      </c>
      <c r="E34" s="42">
        <v>1</v>
      </c>
      <c r="F34" s="42">
        <v>4</v>
      </c>
      <c r="G34" s="44">
        <f t="shared" si="0"/>
        <v>80</v>
      </c>
      <c r="H34" s="45">
        <f t="shared" si="1"/>
        <v>66.666666666666671</v>
      </c>
      <c r="I34" s="47" t="s">
        <v>21</v>
      </c>
      <c r="J34" s="46" t="s">
        <v>251</v>
      </c>
      <c r="L34" s="341">
        <f t="shared" si="2"/>
        <v>66.666666666666671</v>
      </c>
    </row>
    <row r="35" spans="1:12" x14ac:dyDescent="0.25">
      <c r="A35" s="526"/>
      <c r="B35" s="40" t="s">
        <v>392</v>
      </c>
      <c r="C35" s="49" t="s">
        <v>393</v>
      </c>
      <c r="D35" s="42" t="s">
        <v>54</v>
      </c>
      <c r="E35" s="42">
        <v>2</v>
      </c>
      <c r="F35" s="42">
        <v>4</v>
      </c>
      <c r="G35" s="44">
        <f t="shared" si="0"/>
        <v>80</v>
      </c>
      <c r="H35" s="45">
        <f t="shared" si="1"/>
        <v>66.666666666666671</v>
      </c>
      <c r="I35" s="47" t="s">
        <v>21</v>
      </c>
      <c r="J35" s="46" t="s">
        <v>251</v>
      </c>
      <c r="L35" s="341">
        <f t="shared" si="2"/>
        <v>133.33333333333334</v>
      </c>
    </row>
    <row r="36" spans="1:12" x14ac:dyDescent="0.25">
      <c r="A36" s="526"/>
      <c r="B36" s="40" t="s">
        <v>394</v>
      </c>
      <c r="C36" s="49" t="s">
        <v>395</v>
      </c>
      <c r="D36" s="42" t="s">
        <v>54</v>
      </c>
      <c r="E36" s="84">
        <v>2</v>
      </c>
      <c r="F36" s="42">
        <v>4</v>
      </c>
      <c r="G36" s="44">
        <f t="shared" si="0"/>
        <v>80</v>
      </c>
      <c r="H36" s="45">
        <f t="shared" si="1"/>
        <v>66.666666666666671</v>
      </c>
      <c r="I36" s="47" t="s">
        <v>6</v>
      </c>
      <c r="J36" s="46" t="s">
        <v>233</v>
      </c>
      <c r="L36" s="341">
        <f t="shared" si="2"/>
        <v>133.33333333333334</v>
      </c>
    </row>
    <row r="37" spans="1:12" ht="15.75" thickBot="1" x14ac:dyDescent="0.3">
      <c r="A37" s="530"/>
      <c r="B37" s="302" t="s">
        <v>396</v>
      </c>
      <c r="C37" s="342" t="s">
        <v>397</v>
      </c>
      <c r="D37" s="304" t="s">
        <v>60</v>
      </c>
      <c r="E37" s="304">
        <v>1</v>
      </c>
      <c r="F37" s="304">
        <v>2</v>
      </c>
      <c r="G37" s="306">
        <f t="shared" ref="G37:G56" si="3">SUM(F37:F37)*$G$2</f>
        <v>40</v>
      </c>
      <c r="H37" s="307">
        <f t="shared" si="1"/>
        <v>33.333333333333336</v>
      </c>
      <c r="I37" s="308" t="s">
        <v>15</v>
      </c>
      <c r="J37" s="343" t="s">
        <v>251</v>
      </c>
      <c r="K37" s="344"/>
      <c r="L37" s="345">
        <f t="shared" si="2"/>
        <v>33.333333333333336</v>
      </c>
    </row>
    <row r="38" spans="1:12" x14ac:dyDescent="0.25">
      <c r="A38" s="525" t="s">
        <v>398</v>
      </c>
      <c r="B38" s="346" t="s">
        <v>399</v>
      </c>
      <c r="C38" s="337" t="s">
        <v>400</v>
      </c>
      <c r="D38" s="296" t="s">
        <v>60</v>
      </c>
      <c r="E38" s="296">
        <v>1</v>
      </c>
      <c r="F38" s="296">
        <v>4</v>
      </c>
      <c r="G38" s="298">
        <f t="shared" si="3"/>
        <v>80</v>
      </c>
      <c r="H38" s="299">
        <f t="shared" si="1"/>
        <v>66.666666666666671</v>
      </c>
      <c r="I38" s="300" t="s">
        <v>21</v>
      </c>
      <c r="J38" s="338" t="s">
        <v>251</v>
      </c>
      <c r="K38" s="339"/>
      <c r="L38" s="340">
        <f t="shared" si="2"/>
        <v>66.666666666666671</v>
      </c>
    </row>
    <row r="39" spans="1:12" x14ac:dyDescent="0.25">
      <c r="A39" s="526"/>
      <c r="B39" s="81" t="s">
        <v>401</v>
      </c>
      <c r="C39" s="49" t="s">
        <v>402</v>
      </c>
      <c r="D39" s="42" t="s">
        <v>60</v>
      </c>
      <c r="E39" s="42">
        <v>1</v>
      </c>
      <c r="F39" s="42">
        <v>4</v>
      </c>
      <c r="G39" s="44">
        <f t="shared" si="3"/>
        <v>80</v>
      </c>
      <c r="H39" s="45">
        <f t="shared" si="1"/>
        <v>66.666666666666671</v>
      </c>
      <c r="I39" s="47" t="s">
        <v>21</v>
      </c>
      <c r="J39" s="46" t="s">
        <v>251</v>
      </c>
      <c r="L39" s="341">
        <f t="shared" si="2"/>
        <v>66.666666666666671</v>
      </c>
    </row>
    <row r="40" spans="1:12" x14ac:dyDescent="0.25">
      <c r="A40" s="526"/>
      <c r="B40" s="81" t="s">
        <v>403</v>
      </c>
      <c r="C40" s="49" t="s">
        <v>404</v>
      </c>
      <c r="D40" s="42" t="s">
        <v>54</v>
      </c>
      <c r="E40" s="42">
        <v>2</v>
      </c>
      <c r="F40" s="42">
        <v>4</v>
      </c>
      <c r="G40" s="44">
        <f t="shared" si="3"/>
        <v>80</v>
      </c>
      <c r="H40" s="45">
        <f t="shared" si="1"/>
        <v>66.666666666666671</v>
      </c>
      <c r="I40" s="47" t="s">
        <v>21</v>
      </c>
      <c r="J40" s="46" t="s">
        <v>251</v>
      </c>
      <c r="L40" s="341">
        <f t="shared" si="2"/>
        <v>133.33333333333334</v>
      </c>
    </row>
    <row r="41" spans="1:12" x14ac:dyDescent="0.25">
      <c r="A41" s="526"/>
      <c r="B41" s="81" t="s">
        <v>405</v>
      </c>
      <c r="C41" s="49" t="s">
        <v>406</v>
      </c>
      <c r="D41" s="42" t="s">
        <v>54</v>
      </c>
      <c r="E41" s="84">
        <v>2</v>
      </c>
      <c r="F41" s="42">
        <v>4</v>
      </c>
      <c r="G41" s="44">
        <f t="shared" si="3"/>
        <v>80</v>
      </c>
      <c r="H41" s="45">
        <f t="shared" si="1"/>
        <v>66.666666666666671</v>
      </c>
      <c r="I41" s="47" t="s">
        <v>6</v>
      </c>
      <c r="J41" s="46" t="s">
        <v>233</v>
      </c>
      <c r="L41" s="341">
        <f t="shared" si="2"/>
        <v>133.33333333333334</v>
      </c>
    </row>
    <row r="42" spans="1:12" x14ac:dyDescent="0.25">
      <c r="A42" s="526"/>
      <c r="B42" s="81" t="s">
        <v>407</v>
      </c>
      <c r="C42" s="49" t="s">
        <v>408</v>
      </c>
      <c r="D42" s="42" t="s">
        <v>60</v>
      </c>
      <c r="E42" s="42">
        <v>2</v>
      </c>
      <c r="F42" s="42">
        <v>2</v>
      </c>
      <c r="G42" s="44">
        <f t="shared" si="3"/>
        <v>40</v>
      </c>
      <c r="H42" s="45">
        <f t="shared" si="1"/>
        <v>33.333333333333336</v>
      </c>
      <c r="I42" s="85" t="s">
        <v>21</v>
      </c>
      <c r="J42" s="46" t="s">
        <v>231</v>
      </c>
      <c r="L42" s="341">
        <f t="shared" si="2"/>
        <v>66.666666666666671</v>
      </c>
    </row>
    <row r="43" spans="1:12" ht="15.75" thickBot="1" x14ac:dyDescent="0.3">
      <c r="A43" s="530"/>
      <c r="B43" s="302" t="s">
        <v>409</v>
      </c>
      <c r="C43" s="342" t="s">
        <v>410</v>
      </c>
      <c r="D43" s="304" t="s">
        <v>60</v>
      </c>
      <c r="E43" s="304">
        <v>1</v>
      </c>
      <c r="F43" s="304">
        <v>2</v>
      </c>
      <c r="G43" s="306">
        <f t="shared" si="3"/>
        <v>40</v>
      </c>
      <c r="H43" s="307">
        <f t="shared" si="1"/>
        <v>33.333333333333336</v>
      </c>
      <c r="I43" s="308" t="s">
        <v>15</v>
      </c>
      <c r="J43" s="343" t="s">
        <v>251</v>
      </c>
      <c r="K43" s="344"/>
      <c r="L43" s="345">
        <f t="shared" si="2"/>
        <v>33.333333333333336</v>
      </c>
    </row>
    <row r="44" spans="1:12" x14ac:dyDescent="0.25">
      <c r="A44" s="525" t="s">
        <v>411</v>
      </c>
      <c r="B44" s="294" t="s">
        <v>412</v>
      </c>
      <c r="C44" s="347" t="s">
        <v>413</v>
      </c>
      <c r="D44" s="296" t="s">
        <v>60</v>
      </c>
      <c r="E44" s="296">
        <v>1</v>
      </c>
      <c r="F44" s="296">
        <v>4</v>
      </c>
      <c r="G44" s="298">
        <f t="shared" si="3"/>
        <v>80</v>
      </c>
      <c r="H44" s="299">
        <f t="shared" si="1"/>
        <v>66.666666666666671</v>
      </c>
      <c r="I44" s="300" t="s">
        <v>21</v>
      </c>
      <c r="J44" s="338" t="s">
        <v>251</v>
      </c>
      <c r="K44" s="339"/>
      <c r="L44" s="340">
        <f t="shared" si="2"/>
        <v>66.666666666666671</v>
      </c>
    </row>
    <row r="45" spans="1:12" x14ac:dyDescent="0.25">
      <c r="A45" s="526"/>
      <c r="B45" s="40" t="s">
        <v>414</v>
      </c>
      <c r="C45" s="83" t="s">
        <v>415</v>
      </c>
      <c r="D45" s="42" t="s">
        <v>60</v>
      </c>
      <c r="E45" s="42">
        <v>1</v>
      </c>
      <c r="F45" s="42">
        <v>2</v>
      </c>
      <c r="G45" s="44">
        <f t="shared" si="3"/>
        <v>40</v>
      </c>
      <c r="H45" s="45">
        <f t="shared" si="1"/>
        <v>33.333333333333336</v>
      </c>
      <c r="I45" s="47" t="s">
        <v>21</v>
      </c>
      <c r="J45" s="46" t="s">
        <v>251</v>
      </c>
      <c r="L45" s="341">
        <f t="shared" si="2"/>
        <v>33.333333333333336</v>
      </c>
    </row>
    <row r="46" spans="1:12" x14ac:dyDescent="0.25">
      <c r="A46" s="526"/>
      <c r="B46" s="40" t="s">
        <v>416</v>
      </c>
      <c r="C46" s="83" t="s">
        <v>417</v>
      </c>
      <c r="D46" s="42" t="s">
        <v>60</v>
      </c>
      <c r="E46" s="42">
        <v>1</v>
      </c>
      <c r="F46" s="42">
        <v>2</v>
      </c>
      <c r="G46" s="44">
        <f t="shared" si="3"/>
        <v>40</v>
      </c>
      <c r="H46" s="45">
        <f t="shared" si="1"/>
        <v>33.333333333333336</v>
      </c>
      <c r="I46" s="47" t="s">
        <v>21</v>
      </c>
      <c r="J46" s="46" t="s">
        <v>251</v>
      </c>
      <c r="L46" s="341">
        <f t="shared" si="2"/>
        <v>33.333333333333336</v>
      </c>
    </row>
    <row r="47" spans="1:12" x14ac:dyDescent="0.25">
      <c r="A47" s="526"/>
      <c r="B47" s="40" t="s">
        <v>169</v>
      </c>
      <c r="C47" s="83" t="s">
        <v>418</v>
      </c>
      <c r="D47" s="42" t="s">
        <v>60</v>
      </c>
      <c r="E47" s="42">
        <v>1</v>
      </c>
      <c r="F47" s="42">
        <v>2</v>
      </c>
      <c r="G47" s="44">
        <f t="shared" si="3"/>
        <v>40</v>
      </c>
      <c r="H47" s="45">
        <f t="shared" si="1"/>
        <v>33.333333333333336</v>
      </c>
      <c r="I47" s="47" t="s">
        <v>21</v>
      </c>
      <c r="J47" s="46" t="s">
        <v>251</v>
      </c>
      <c r="L47" s="341">
        <f>H47*E47</f>
        <v>33.333333333333336</v>
      </c>
    </row>
    <row r="48" spans="1:12" x14ac:dyDescent="0.25">
      <c r="A48" s="526"/>
      <c r="B48" s="40" t="s">
        <v>419</v>
      </c>
      <c r="C48" s="83" t="s">
        <v>420</v>
      </c>
      <c r="D48" s="42" t="s">
        <v>60</v>
      </c>
      <c r="E48" s="42">
        <v>1</v>
      </c>
      <c r="F48" s="42">
        <v>2</v>
      </c>
      <c r="G48" s="44">
        <f t="shared" si="3"/>
        <v>40</v>
      </c>
      <c r="H48" s="45">
        <f t="shared" si="1"/>
        <v>33.333333333333336</v>
      </c>
      <c r="I48" s="47" t="s">
        <v>5</v>
      </c>
      <c r="J48" s="46" t="s">
        <v>251</v>
      </c>
      <c r="L48" s="341">
        <f t="shared" si="2"/>
        <v>33.333333333333336</v>
      </c>
    </row>
    <row r="49" spans="1:24" x14ac:dyDescent="0.25">
      <c r="A49" s="526"/>
      <c r="B49" s="40" t="s">
        <v>421</v>
      </c>
      <c r="C49" s="83" t="s">
        <v>422</v>
      </c>
      <c r="D49" s="42" t="s">
        <v>54</v>
      </c>
      <c r="E49" s="42">
        <v>2</v>
      </c>
      <c r="F49" s="42">
        <v>4</v>
      </c>
      <c r="G49" s="44">
        <f t="shared" si="3"/>
        <v>80</v>
      </c>
      <c r="H49" s="45">
        <f t="shared" si="1"/>
        <v>66.666666666666671</v>
      </c>
      <c r="I49" s="47" t="s">
        <v>21</v>
      </c>
      <c r="J49" s="46" t="s">
        <v>251</v>
      </c>
      <c r="L49" s="341">
        <f t="shared" si="2"/>
        <v>133.33333333333334</v>
      </c>
    </row>
    <row r="50" spans="1:24" ht="15.75" thickBot="1" x14ac:dyDescent="0.3">
      <c r="A50" s="530"/>
      <c r="B50" s="302" t="s">
        <v>423</v>
      </c>
      <c r="C50" s="348" t="s">
        <v>424</v>
      </c>
      <c r="D50" s="304" t="s">
        <v>54</v>
      </c>
      <c r="E50" s="349">
        <v>2</v>
      </c>
      <c r="F50" s="304">
        <v>4</v>
      </c>
      <c r="G50" s="306">
        <f t="shared" si="3"/>
        <v>80</v>
      </c>
      <c r="H50" s="307">
        <f t="shared" si="1"/>
        <v>66.666666666666671</v>
      </c>
      <c r="I50" s="308" t="s">
        <v>6</v>
      </c>
      <c r="J50" s="343" t="s">
        <v>233</v>
      </c>
      <c r="K50" s="344"/>
      <c r="L50" s="345">
        <f t="shared" si="2"/>
        <v>133.33333333333334</v>
      </c>
    </row>
    <row r="51" spans="1:24" x14ac:dyDescent="0.25">
      <c r="A51" s="525" t="s">
        <v>425</v>
      </c>
      <c r="B51" s="294" t="s">
        <v>426</v>
      </c>
      <c r="C51" s="347" t="s">
        <v>427</v>
      </c>
      <c r="D51" s="296" t="s">
        <v>60</v>
      </c>
      <c r="E51" s="296">
        <v>1</v>
      </c>
      <c r="F51" s="296">
        <v>4</v>
      </c>
      <c r="G51" s="298">
        <f t="shared" si="3"/>
        <v>80</v>
      </c>
      <c r="H51" s="299">
        <f t="shared" si="1"/>
        <v>66.666666666666671</v>
      </c>
      <c r="I51" s="300" t="s">
        <v>21</v>
      </c>
      <c r="J51" s="338" t="s">
        <v>251</v>
      </c>
      <c r="K51" s="339"/>
      <c r="L51" s="340">
        <f t="shared" si="2"/>
        <v>66.666666666666671</v>
      </c>
    </row>
    <row r="52" spans="1:24" x14ac:dyDescent="0.25">
      <c r="A52" s="526"/>
      <c r="B52" s="40" t="s">
        <v>428</v>
      </c>
      <c r="C52" s="83" t="s">
        <v>429</v>
      </c>
      <c r="D52" s="42" t="s">
        <v>60</v>
      </c>
      <c r="E52" s="42">
        <v>1</v>
      </c>
      <c r="F52" s="42">
        <v>4</v>
      </c>
      <c r="G52" s="44">
        <f t="shared" si="3"/>
        <v>80</v>
      </c>
      <c r="H52" s="45">
        <f t="shared" si="1"/>
        <v>66.666666666666671</v>
      </c>
      <c r="I52" s="47" t="s">
        <v>21</v>
      </c>
      <c r="J52" s="46" t="s">
        <v>251</v>
      </c>
      <c r="L52" s="341">
        <f t="shared" si="2"/>
        <v>66.666666666666671</v>
      </c>
    </row>
    <row r="53" spans="1:24" x14ac:dyDescent="0.25">
      <c r="A53" s="526"/>
      <c r="B53" s="40" t="s">
        <v>430</v>
      </c>
      <c r="C53" s="83" t="s">
        <v>431</v>
      </c>
      <c r="D53" s="42" t="s">
        <v>60</v>
      </c>
      <c r="E53" s="42">
        <v>1</v>
      </c>
      <c r="F53" s="42">
        <v>2</v>
      </c>
      <c r="G53" s="44">
        <f t="shared" si="3"/>
        <v>40</v>
      </c>
      <c r="H53" s="45">
        <f t="shared" si="1"/>
        <v>33.333333333333336</v>
      </c>
      <c r="I53" s="47" t="s">
        <v>21</v>
      </c>
      <c r="J53" s="46" t="s">
        <v>251</v>
      </c>
      <c r="L53" s="341">
        <f t="shared" si="2"/>
        <v>33.333333333333336</v>
      </c>
    </row>
    <row r="54" spans="1:24" x14ac:dyDescent="0.25">
      <c r="A54" s="526"/>
      <c r="B54" s="40" t="s">
        <v>432</v>
      </c>
      <c r="C54" s="83" t="s">
        <v>433</v>
      </c>
      <c r="D54" s="42" t="s">
        <v>54</v>
      </c>
      <c r="E54" s="42">
        <v>2</v>
      </c>
      <c r="F54" s="42">
        <v>4</v>
      </c>
      <c r="G54" s="44">
        <f t="shared" si="3"/>
        <v>80</v>
      </c>
      <c r="H54" s="45">
        <f t="shared" si="1"/>
        <v>66.666666666666671</v>
      </c>
      <c r="I54" s="47" t="s">
        <v>21</v>
      </c>
      <c r="J54" s="46" t="s">
        <v>251</v>
      </c>
      <c r="L54" s="341">
        <f t="shared" si="2"/>
        <v>133.33333333333334</v>
      </c>
    </row>
    <row r="55" spans="1:24" x14ac:dyDescent="0.25">
      <c r="A55" s="526"/>
      <c r="B55" s="40" t="s">
        <v>434</v>
      </c>
      <c r="C55" s="83" t="s">
        <v>435</v>
      </c>
      <c r="D55" s="42" t="s">
        <v>54</v>
      </c>
      <c r="E55" s="84">
        <v>2</v>
      </c>
      <c r="F55" s="42">
        <v>2</v>
      </c>
      <c r="G55" s="44">
        <f t="shared" si="3"/>
        <v>40</v>
      </c>
      <c r="H55" s="45">
        <f t="shared" si="1"/>
        <v>33.333333333333336</v>
      </c>
      <c r="I55" s="47" t="s">
        <v>5</v>
      </c>
      <c r="J55" s="46" t="s">
        <v>251</v>
      </c>
      <c r="L55" s="341">
        <f t="shared" si="2"/>
        <v>66.666666666666671</v>
      </c>
    </row>
    <row r="56" spans="1:24" ht="15.75" thickBot="1" x14ac:dyDescent="0.3">
      <c r="A56" s="530"/>
      <c r="B56" s="302" t="s">
        <v>436</v>
      </c>
      <c r="C56" s="342" t="s">
        <v>437</v>
      </c>
      <c r="D56" s="304" t="s">
        <v>54</v>
      </c>
      <c r="E56" s="304">
        <v>1</v>
      </c>
      <c r="F56" s="304">
        <v>4</v>
      </c>
      <c r="G56" s="306">
        <f t="shared" si="3"/>
        <v>80</v>
      </c>
      <c r="H56" s="307">
        <f t="shared" si="1"/>
        <v>66.666666666666671</v>
      </c>
      <c r="I56" s="308" t="s">
        <v>225</v>
      </c>
      <c r="J56" s="343" t="s">
        <v>251</v>
      </c>
      <c r="K56" s="344"/>
      <c r="L56" s="345">
        <f t="shared" si="2"/>
        <v>66.666666666666671</v>
      </c>
    </row>
    <row r="57" spans="1:24" ht="16.5" thickBot="1" x14ac:dyDescent="0.3">
      <c r="A57" s="523" t="s">
        <v>302</v>
      </c>
      <c r="B57" s="523"/>
      <c r="C57" s="523"/>
      <c r="D57" s="523" t="s">
        <v>60</v>
      </c>
      <c r="E57" s="523">
        <v>1</v>
      </c>
      <c r="F57" s="350">
        <f>SUM(F5:F56)</f>
        <v>160</v>
      </c>
      <c r="G57" s="36"/>
      <c r="H57" s="36"/>
      <c r="I57" s="36"/>
      <c r="J57" s="36"/>
      <c r="K57" s="36"/>
      <c r="L57" s="36"/>
      <c r="M57" s="36"/>
      <c r="N57" s="53">
        <f>SUM(G5:G56)</f>
        <v>3200</v>
      </c>
      <c r="O57" s="54"/>
      <c r="P57" s="36"/>
      <c r="Q57" s="36"/>
    </row>
    <row r="58" spans="1:24" ht="16.5" thickBot="1" x14ac:dyDescent="0.3">
      <c r="A58" s="508" t="s">
        <v>303</v>
      </c>
      <c r="B58" s="508"/>
      <c r="C58" s="508"/>
      <c r="D58" s="508"/>
      <c r="E58" s="508"/>
      <c r="F58" s="55">
        <f>(F57*$G$2*$C$63)/60</f>
        <v>2666.6666666666665</v>
      </c>
      <c r="G58" s="36"/>
      <c r="H58" s="36"/>
      <c r="I58" s="36"/>
      <c r="J58" s="36"/>
      <c r="K58" s="36"/>
      <c r="L58" s="36"/>
      <c r="M58" s="36"/>
      <c r="O58" s="55">
        <f>SUM(F58:F58)</f>
        <v>2666.6666666666665</v>
      </c>
      <c r="P58" s="36"/>
      <c r="Q58" s="36"/>
    </row>
    <row r="59" spans="1:24" ht="15.75" thickBot="1" x14ac:dyDescent="0.3">
      <c r="A59" s="506" t="s">
        <v>438</v>
      </c>
      <c r="B59" s="511"/>
      <c r="C59" s="511"/>
      <c r="D59" s="511"/>
      <c r="E59" s="511"/>
      <c r="F59" s="511"/>
      <c r="G59" s="511"/>
      <c r="H59" s="511"/>
      <c r="I59" s="511"/>
      <c r="J59" s="511"/>
      <c r="K59" s="511"/>
      <c r="L59" s="511"/>
      <c r="M59" s="36"/>
      <c r="N59" s="36"/>
      <c r="O59" s="36"/>
      <c r="P59" s="36"/>
      <c r="Q59" s="36"/>
      <c r="R59" s="36"/>
      <c r="S59" s="36"/>
      <c r="T59" s="36"/>
      <c r="V59" s="55">
        <v>200</v>
      </c>
      <c r="W59" s="36"/>
      <c r="X59" s="36"/>
    </row>
    <row r="60" spans="1:24" ht="15.75" thickBot="1" x14ac:dyDescent="0.3">
      <c r="A60" s="506" t="s">
        <v>439</v>
      </c>
      <c r="B60" s="511"/>
      <c r="C60" s="511"/>
      <c r="D60" s="511"/>
      <c r="E60" s="511"/>
      <c r="F60" s="511"/>
      <c r="G60" s="511"/>
      <c r="H60" s="511"/>
      <c r="I60" s="511"/>
      <c r="J60" s="511"/>
      <c r="K60" s="511"/>
      <c r="L60" s="511"/>
      <c r="M60" s="36"/>
      <c r="N60" s="36"/>
      <c r="O60" s="36"/>
      <c r="P60" s="36"/>
      <c r="Q60" s="36"/>
      <c r="R60" s="36"/>
      <c r="S60" s="36"/>
      <c r="T60" s="36"/>
      <c r="V60" s="55">
        <v>60</v>
      </c>
      <c r="W60" s="36"/>
      <c r="X60" s="36"/>
    </row>
    <row r="61" spans="1:24" ht="15.75" thickBot="1" x14ac:dyDescent="0.3">
      <c r="A61" s="506" t="s">
        <v>440</v>
      </c>
      <c r="B61" s="511"/>
      <c r="C61" s="511"/>
      <c r="D61" s="511"/>
      <c r="E61" s="511"/>
      <c r="F61" s="511"/>
      <c r="G61" s="511"/>
      <c r="H61" s="511"/>
      <c r="I61" s="511"/>
      <c r="J61" s="511"/>
      <c r="K61" s="511"/>
      <c r="L61" s="511"/>
      <c r="M61" s="36"/>
      <c r="N61" s="36"/>
      <c r="O61" s="36"/>
      <c r="P61" s="36"/>
      <c r="Q61" s="36"/>
      <c r="R61" s="36"/>
      <c r="S61" s="36"/>
      <c r="T61" s="36"/>
      <c r="V61" s="55">
        <v>400</v>
      </c>
      <c r="W61" s="36"/>
      <c r="X61" s="36"/>
    </row>
    <row r="62" spans="1:24" ht="16.5" thickBot="1" x14ac:dyDescent="0.3">
      <c r="A62" s="508" t="s">
        <v>441</v>
      </c>
      <c r="B62" s="509"/>
      <c r="C62" s="509"/>
      <c r="D62" s="509"/>
      <c r="E62" s="509"/>
      <c r="F62" s="509"/>
      <c r="G62" s="509"/>
      <c r="H62" s="509"/>
      <c r="I62" s="509"/>
      <c r="J62" s="509"/>
      <c r="K62" s="509"/>
      <c r="L62" s="509"/>
      <c r="M62" s="36"/>
      <c r="N62" s="36"/>
      <c r="O62" s="36"/>
      <c r="P62" s="36"/>
      <c r="Q62" s="36"/>
      <c r="R62" s="36"/>
      <c r="S62" s="36"/>
      <c r="T62" s="36"/>
      <c r="V62" s="56">
        <f>O58+SUM(V59:V61)</f>
        <v>3326.6666666666665</v>
      </c>
      <c r="W62" s="36"/>
      <c r="X62" s="36"/>
    </row>
    <row r="63" spans="1:24" ht="15.75" x14ac:dyDescent="0.25">
      <c r="A63" s="532" t="s">
        <v>309</v>
      </c>
      <c r="B63" s="532"/>
      <c r="C63" s="78">
        <v>50</v>
      </c>
      <c r="D63" s="79" t="s">
        <v>310</v>
      </c>
      <c r="E63" s="79"/>
      <c r="F63" s="79"/>
      <c r="G63" s="79"/>
      <c r="H63" s="79"/>
      <c r="I63" s="79"/>
      <c r="J63" s="79"/>
      <c r="K63" s="79"/>
      <c r="L63" s="79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</row>
    <row r="67" spans="6:6" x14ac:dyDescent="0.25">
      <c r="F67">
        <f>SUMPRODUCT(H5:H56,E5:E56)/F58</f>
        <v>1.2000000000000004</v>
      </c>
    </row>
  </sheetData>
  <mergeCells count="20">
    <mergeCell ref="A62:L62"/>
    <mergeCell ref="A63:B63"/>
    <mergeCell ref="A61:L61"/>
    <mergeCell ref="A60:L60"/>
    <mergeCell ref="A59:L59"/>
    <mergeCell ref="A51:A56"/>
    <mergeCell ref="A57:E57"/>
    <mergeCell ref="A58:E58"/>
    <mergeCell ref="A12:A19"/>
    <mergeCell ref="A20:A25"/>
    <mergeCell ref="A26:A31"/>
    <mergeCell ref="A32:A37"/>
    <mergeCell ref="A38:A43"/>
    <mergeCell ref="A44:A50"/>
    <mergeCell ref="E3:E4"/>
    <mergeCell ref="A5:A11"/>
    <mergeCell ref="A2:C2"/>
    <mergeCell ref="B3:B4"/>
    <mergeCell ref="C3:C4"/>
    <mergeCell ref="D3:D4"/>
  </mergeCells>
  <dataValidations count="2">
    <dataValidation type="list" allowBlank="1" showInputMessage="1" showErrorMessage="1" sqref="J5:J56" xr:uid="{00000000-0002-0000-0700-000000000000}">
      <formula1>Ambientes</formula1>
    </dataValidation>
    <dataValidation type="list" allowBlank="1" showInputMessage="1" showErrorMessage="1" sqref="I5:I56" xr:uid="{00000000-0002-0000-0700-000001000000}">
      <formula1>Docentes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5">
    <tabColor theme="5" tint="0.79998168889431442"/>
  </sheetPr>
  <dimension ref="A1:J53"/>
  <sheetViews>
    <sheetView topLeftCell="A34" workbookViewId="0">
      <selection activeCell="F44" sqref="F44"/>
    </sheetView>
  </sheetViews>
  <sheetFormatPr defaultRowHeight="15" x14ac:dyDescent="0.25"/>
  <cols>
    <col min="2" max="2" width="48.140625" bestFit="1" customWidth="1"/>
    <col min="9" max="9" width="40.85546875" bestFit="1" customWidth="1"/>
    <col min="10" max="10" width="1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600</v>
      </c>
      <c r="B2" s="513"/>
      <c r="C2" s="513"/>
      <c r="D2" s="37" t="s">
        <v>237</v>
      </c>
      <c r="E2" s="38"/>
      <c r="F2" s="38">
        <v>20</v>
      </c>
      <c r="G2" s="36"/>
      <c r="H2" s="36"/>
      <c r="I2" s="36"/>
    </row>
    <row r="3" spans="1:10" x14ac:dyDescent="0.25">
      <c r="A3" s="65"/>
      <c r="B3" s="514" t="s">
        <v>44</v>
      </c>
      <c r="C3" s="514" t="s">
        <v>238</v>
      </c>
      <c r="D3" s="524" t="s">
        <v>46</v>
      </c>
      <c r="E3" s="524" t="s">
        <v>328</v>
      </c>
      <c r="F3" s="39" t="s">
        <v>241</v>
      </c>
      <c r="G3" s="524" t="s">
        <v>329</v>
      </c>
      <c r="H3" s="524" t="s">
        <v>330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514"/>
      <c r="E4" s="514"/>
      <c r="F4" s="39" t="s">
        <v>246</v>
      </c>
      <c r="G4" s="524"/>
      <c r="H4" s="524"/>
      <c r="I4" s="514"/>
      <c r="J4" s="514"/>
    </row>
    <row r="5" spans="1:10" x14ac:dyDescent="0.25">
      <c r="A5" s="504" t="s">
        <v>318</v>
      </c>
      <c r="B5" s="40" t="s">
        <v>341</v>
      </c>
      <c r="C5" s="41" t="s">
        <v>601</v>
      </c>
      <c r="D5" s="42" t="s">
        <v>60</v>
      </c>
      <c r="E5" s="43">
        <v>1</v>
      </c>
      <c r="F5" s="42">
        <v>2</v>
      </c>
      <c r="G5" s="44">
        <f t="shared" ref="G5:G42" si="0">SUM(F5:F5)*$F$2</f>
        <v>40</v>
      </c>
      <c r="H5" s="45">
        <f t="shared" ref="H5:H42" si="1">(G5)*$C$50/60</f>
        <v>33.333333333333336</v>
      </c>
      <c r="I5" s="113" t="s">
        <v>9</v>
      </c>
      <c r="J5" s="46" t="s">
        <v>251</v>
      </c>
    </row>
    <row r="6" spans="1:10" x14ac:dyDescent="0.25">
      <c r="A6" s="504"/>
      <c r="B6" s="40" t="s">
        <v>602</v>
      </c>
      <c r="C6" s="41" t="s">
        <v>603</v>
      </c>
      <c r="D6" s="42" t="s">
        <v>60</v>
      </c>
      <c r="E6" s="43">
        <v>1</v>
      </c>
      <c r="F6" s="42">
        <v>2</v>
      </c>
      <c r="G6" s="44">
        <f t="shared" si="0"/>
        <v>40</v>
      </c>
      <c r="H6" s="45">
        <f t="shared" si="1"/>
        <v>33.333333333333336</v>
      </c>
      <c r="I6" s="47" t="s">
        <v>15</v>
      </c>
      <c r="J6" s="46" t="s">
        <v>251</v>
      </c>
    </row>
    <row r="7" spans="1:10" x14ac:dyDescent="0.25">
      <c r="A7" s="504"/>
      <c r="B7" s="40" t="s">
        <v>604</v>
      </c>
      <c r="C7" s="41" t="s">
        <v>605</v>
      </c>
      <c r="D7" s="42" t="s">
        <v>60</v>
      </c>
      <c r="E7" s="43">
        <v>1</v>
      </c>
      <c r="F7" s="42">
        <v>2</v>
      </c>
      <c r="G7" s="44">
        <f t="shared" si="0"/>
        <v>40</v>
      </c>
      <c r="H7" s="45">
        <f t="shared" si="1"/>
        <v>33.333333333333336</v>
      </c>
      <c r="I7" s="47" t="s">
        <v>14</v>
      </c>
      <c r="J7" s="46" t="s">
        <v>251</v>
      </c>
    </row>
    <row r="8" spans="1:10" x14ac:dyDescent="0.25">
      <c r="A8" s="504"/>
      <c r="B8" s="40" t="s">
        <v>21</v>
      </c>
      <c r="C8" s="41" t="s">
        <v>606</v>
      </c>
      <c r="D8" s="42" t="s">
        <v>60</v>
      </c>
      <c r="E8" s="43">
        <v>1</v>
      </c>
      <c r="F8" s="42">
        <v>4</v>
      </c>
      <c r="G8" s="44">
        <f t="shared" si="0"/>
        <v>80</v>
      </c>
      <c r="H8" s="45">
        <f t="shared" si="1"/>
        <v>66.666666666666671</v>
      </c>
      <c r="I8" s="47" t="s">
        <v>21</v>
      </c>
      <c r="J8" s="46" t="s">
        <v>251</v>
      </c>
    </row>
    <row r="9" spans="1:10" x14ac:dyDescent="0.25">
      <c r="A9" s="504"/>
      <c r="B9" s="40" t="s">
        <v>577</v>
      </c>
      <c r="C9" s="41" t="s">
        <v>607</v>
      </c>
      <c r="D9" s="42" t="s">
        <v>57</v>
      </c>
      <c r="E9" s="43">
        <v>2</v>
      </c>
      <c r="F9" s="42">
        <v>4</v>
      </c>
      <c r="G9" s="44">
        <f t="shared" si="0"/>
        <v>80</v>
      </c>
      <c r="H9" s="45">
        <f t="shared" si="1"/>
        <v>66.666666666666671</v>
      </c>
      <c r="I9" s="113" t="s">
        <v>1189</v>
      </c>
      <c r="J9" s="46" t="s">
        <v>231</v>
      </c>
    </row>
    <row r="10" spans="1:10" x14ac:dyDescent="0.25">
      <c r="A10" s="504"/>
      <c r="B10" s="40" t="s">
        <v>608</v>
      </c>
      <c r="C10" s="41" t="s">
        <v>609</v>
      </c>
      <c r="D10" s="42" t="s">
        <v>60</v>
      </c>
      <c r="E10" s="43">
        <v>1</v>
      </c>
      <c r="F10" s="42">
        <v>2</v>
      </c>
      <c r="G10" s="44">
        <f t="shared" si="0"/>
        <v>40</v>
      </c>
      <c r="H10" s="45">
        <f t="shared" si="1"/>
        <v>33.333333333333336</v>
      </c>
      <c r="I10" s="113" t="s">
        <v>1213</v>
      </c>
      <c r="J10" s="46" t="s">
        <v>251</v>
      </c>
    </row>
    <row r="11" spans="1:10" x14ac:dyDescent="0.25">
      <c r="A11" s="504"/>
      <c r="B11" s="40" t="s">
        <v>589</v>
      </c>
      <c r="C11" s="41" t="s">
        <v>610</v>
      </c>
      <c r="D11" s="42" t="s">
        <v>57</v>
      </c>
      <c r="E11" s="43">
        <v>2</v>
      </c>
      <c r="F11" s="42">
        <v>4</v>
      </c>
      <c r="G11" s="44">
        <f t="shared" si="0"/>
        <v>80</v>
      </c>
      <c r="H11" s="45">
        <f t="shared" si="1"/>
        <v>66.666666666666671</v>
      </c>
      <c r="I11" s="113" t="s">
        <v>1189</v>
      </c>
      <c r="J11" s="46" t="s">
        <v>231</v>
      </c>
    </row>
    <row r="12" spans="1:10" x14ac:dyDescent="0.25">
      <c r="A12" s="504" t="s">
        <v>321</v>
      </c>
      <c r="B12" s="40" t="s">
        <v>611</v>
      </c>
      <c r="C12" s="41" t="s">
        <v>612</v>
      </c>
      <c r="D12" s="42" t="s">
        <v>60</v>
      </c>
      <c r="E12" s="43">
        <v>1</v>
      </c>
      <c r="F12" s="43">
        <v>2</v>
      </c>
      <c r="G12" s="44">
        <f t="shared" si="0"/>
        <v>40</v>
      </c>
      <c r="H12" s="45">
        <f t="shared" si="1"/>
        <v>33.333333333333336</v>
      </c>
      <c r="I12" s="47" t="s">
        <v>315</v>
      </c>
      <c r="J12" s="46" t="s">
        <v>251</v>
      </c>
    </row>
    <row r="13" spans="1:10" x14ac:dyDescent="0.25">
      <c r="A13" s="504"/>
      <c r="B13" s="40" t="s">
        <v>613</v>
      </c>
      <c r="C13" s="48" t="s">
        <v>614</v>
      </c>
      <c r="D13" s="42" t="s">
        <v>57</v>
      </c>
      <c r="E13" s="42">
        <v>2</v>
      </c>
      <c r="F13" s="43">
        <v>4</v>
      </c>
      <c r="G13" s="44">
        <f t="shared" si="0"/>
        <v>80</v>
      </c>
      <c r="H13" s="45">
        <f t="shared" si="1"/>
        <v>66.666666666666671</v>
      </c>
      <c r="I13" s="113" t="s">
        <v>1189</v>
      </c>
      <c r="J13" s="46" t="s">
        <v>231</v>
      </c>
    </row>
    <row r="14" spans="1:10" x14ac:dyDescent="0.25">
      <c r="A14" s="504"/>
      <c r="B14" s="40" t="s">
        <v>615</v>
      </c>
      <c r="C14" s="48" t="s">
        <v>616</v>
      </c>
      <c r="D14" s="42" t="s">
        <v>60</v>
      </c>
      <c r="E14" s="42">
        <v>1</v>
      </c>
      <c r="F14" s="43">
        <v>4</v>
      </c>
      <c r="G14" s="44">
        <f t="shared" si="0"/>
        <v>80</v>
      </c>
      <c r="H14" s="45">
        <f t="shared" si="1"/>
        <v>66.666666666666671</v>
      </c>
      <c r="I14" s="113" t="s">
        <v>1189</v>
      </c>
      <c r="J14" s="46" t="s">
        <v>251</v>
      </c>
    </row>
    <row r="15" spans="1:10" x14ac:dyDescent="0.25">
      <c r="A15" s="504"/>
      <c r="B15" s="40" t="s">
        <v>617</v>
      </c>
      <c r="C15" s="48" t="s">
        <v>618</v>
      </c>
      <c r="D15" s="42" t="s">
        <v>60</v>
      </c>
      <c r="E15" s="42">
        <v>1</v>
      </c>
      <c r="F15" s="43">
        <v>4</v>
      </c>
      <c r="G15" s="44">
        <f t="shared" si="0"/>
        <v>80</v>
      </c>
      <c r="H15" s="45">
        <f t="shared" si="1"/>
        <v>66.666666666666671</v>
      </c>
      <c r="I15" s="113" t="s">
        <v>1189</v>
      </c>
      <c r="J15" s="46" t="s">
        <v>251</v>
      </c>
    </row>
    <row r="16" spans="1:10" x14ac:dyDescent="0.25">
      <c r="A16" s="504"/>
      <c r="B16" s="40" t="s">
        <v>593</v>
      </c>
      <c r="C16" s="48" t="s">
        <v>619</v>
      </c>
      <c r="D16" s="42" t="s">
        <v>57</v>
      </c>
      <c r="E16" s="42">
        <v>2</v>
      </c>
      <c r="F16" s="43">
        <v>4</v>
      </c>
      <c r="G16" s="44">
        <f t="shared" si="0"/>
        <v>80</v>
      </c>
      <c r="H16" s="45">
        <f t="shared" si="1"/>
        <v>66.666666666666671</v>
      </c>
      <c r="I16" s="113" t="s">
        <v>1189</v>
      </c>
      <c r="J16" s="46" t="s">
        <v>231</v>
      </c>
    </row>
    <row r="17" spans="1:10" x14ac:dyDescent="0.25">
      <c r="A17" s="504"/>
      <c r="B17" s="40" t="s">
        <v>620</v>
      </c>
      <c r="C17" s="48" t="s">
        <v>621</v>
      </c>
      <c r="D17" s="42" t="s">
        <v>60</v>
      </c>
      <c r="E17" s="42">
        <v>1</v>
      </c>
      <c r="F17" s="43">
        <v>2</v>
      </c>
      <c r="G17" s="44">
        <f t="shared" si="0"/>
        <v>40</v>
      </c>
      <c r="H17" s="45">
        <f t="shared" si="1"/>
        <v>33.333333333333336</v>
      </c>
      <c r="I17" s="47" t="s">
        <v>15</v>
      </c>
      <c r="J17" s="46" t="s">
        <v>251</v>
      </c>
    </row>
    <row r="18" spans="1:10" x14ac:dyDescent="0.25">
      <c r="A18" s="504" t="s">
        <v>323</v>
      </c>
      <c r="B18" s="40" t="s">
        <v>622</v>
      </c>
      <c r="C18" s="49" t="s">
        <v>623</v>
      </c>
      <c r="D18" s="42" t="s">
        <v>60</v>
      </c>
      <c r="E18" s="42">
        <v>1</v>
      </c>
      <c r="F18" s="50">
        <v>4</v>
      </c>
      <c r="G18" s="44">
        <f t="shared" si="0"/>
        <v>80</v>
      </c>
      <c r="H18" s="45">
        <f t="shared" si="1"/>
        <v>66.666666666666671</v>
      </c>
      <c r="I18" s="113" t="s">
        <v>1189</v>
      </c>
      <c r="J18" s="46" t="s">
        <v>251</v>
      </c>
    </row>
    <row r="19" spans="1:10" x14ac:dyDescent="0.25">
      <c r="A19" s="504"/>
      <c r="B19" s="40" t="s">
        <v>624</v>
      </c>
      <c r="C19" s="49" t="s">
        <v>625</v>
      </c>
      <c r="D19" s="42" t="s">
        <v>57</v>
      </c>
      <c r="E19" s="42">
        <v>2</v>
      </c>
      <c r="F19" s="50">
        <v>4</v>
      </c>
      <c r="G19" s="44">
        <f t="shared" si="0"/>
        <v>80</v>
      </c>
      <c r="H19" s="45">
        <f t="shared" si="1"/>
        <v>66.666666666666671</v>
      </c>
      <c r="I19" s="113" t="s">
        <v>1189</v>
      </c>
      <c r="J19" s="46" t="s">
        <v>231</v>
      </c>
    </row>
    <row r="20" spans="1:10" x14ac:dyDescent="0.25">
      <c r="A20" s="504"/>
      <c r="B20" s="40" t="s">
        <v>626</v>
      </c>
      <c r="C20" s="49" t="s">
        <v>627</v>
      </c>
      <c r="D20" s="42" t="s">
        <v>60</v>
      </c>
      <c r="E20" s="42">
        <v>1</v>
      </c>
      <c r="F20" s="50">
        <v>2</v>
      </c>
      <c r="G20" s="44">
        <f t="shared" si="0"/>
        <v>40</v>
      </c>
      <c r="H20" s="45">
        <f t="shared" si="1"/>
        <v>33.333333333333336</v>
      </c>
      <c r="I20" s="113" t="s">
        <v>1189</v>
      </c>
      <c r="J20" s="46" t="s">
        <v>251</v>
      </c>
    </row>
    <row r="21" spans="1:10" x14ac:dyDescent="0.25">
      <c r="A21" s="504"/>
      <c r="B21" s="40" t="s">
        <v>628</v>
      </c>
      <c r="C21" s="49" t="s">
        <v>629</v>
      </c>
      <c r="D21" s="42" t="s">
        <v>57</v>
      </c>
      <c r="E21" s="42">
        <v>2</v>
      </c>
      <c r="F21" s="50">
        <v>4</v>
      </c>
      <c r="G21" s="44">
        <f t="shared" si="0"/>
        <v>80</v>
      </c>
      <c r="H21" s="45">
        <f t="shared" si="1"/>
        <v>66.666666666666671</v>
      </c>
      <c r="I21" s="113" t="s">
        <v>1189</v>
      </c>
      <c r="J21" s="46" t="s">
        <v>231</v>
      </c>
    </row>
    <row r="22" spans="1:10" x14ac:dyDescent="0.25">
      <c r="A22" s="504"/>
      <c r="B22" s="40" t="s">
        <v>630</v>
      </c>
      <c r="C22" s="49" t="s">
        <v>631</v>
      </c>
      <c r="D22" s="42" t="s">
        <v>57</v>
      </c>
      <c r="E22" s="43">
        <v>2</v>
      </c>
      <c r="F22" s="51">
        <v>4</v>
      </c>
      <c r="G22" s="44">
        <f t="shared" si="0"/>
        <v>80</v>
      </c>
      <c r="H22" s="45">
        <f t="shared" si="1"/>
        <v>66.666666666666671</v>
      </c>
      <c r="I22" s="113" t="s">
        <v>1189</v>
      </c>
      <c r="J22" s="46" t="s">
        <v>231</v>
      </c>
    </row>
    <row r="23" spans="1:10" x14ac:dyDescent="0.25">
      <c r="A23" s="504"/>
      <c r="B23" s="40" t="s">
        <v>416</v>
      </c>
      <c r="C23" s="49" t="s">
        <v>632</v>
      </c>
      <c r="D23" s="42" t="s">
        <v>60</v>
      </c>
      <c r="E23" s="43">
        <v>1</v>
      </c>
      <c r="F23" s="51">
        <v>2</v>
      </c>
      <c r="G23" s="44">
        <f t="shared" si="0"/>
        <v>40</v>
      </c>
      <c r="H23" s="45">
        <f t="shared" si="1"/>
        <v>33.333333333333336</v>
      </c>
      <c r="I23" s="47" t="s">
        <v>21</v>
      </c>
      <c r="J23" s="46" t="s">
        <v>251</v>
      </c>
    </row>
    <row r="24" spans="1:10" x14ac:dyDescent="0.25">
      <c r="A24" s="504" t="s">
        <v>311</v>
      </c>
      <c r="B24" s="40" t="s">
        <v>633</v>
      </c>
      <c r="C24" s="49" t="s">
        <v>634</v>
      </c>
      <c r="D24" s="42" t="s">
        <v>60</v>
      </c>
      <c r="E24" s="42">
        <v>1</v>
      </c>
      <c r="F24" s="42">
        <v>2</v>
      </c>
      <c r="G24" s="44">
        <f t="shared" si="0"/>
        <v>40</v>
      </c>
      <c r="H24" s="45">
        <f t="shared" si="1"/>
        <v>33.333333333333336</v>
      </c>
      <c r="I24" s="113" t="s">
        <v>1189</v>
      </c>
      <c r="J24" s="46" t="s">
        <v>251</v>
      </c>
    </row>
    <row r="25" spans="1:10" x14ac:dyDescent="0.25">
      <c r="A25" s="504"/>
      <c r="B25" s="40" t="s">
        <v>160</v>
      </c>
      <c r="C25" s="49" t="s">
        <v>635</v>
      </c>
      <c r="D25" s="42" t="s">
        <v>60</v>
      </c>
      <c r="E25" s="42">
        <v>1</v>
      </c>
      <c r="F25" s="42">
        <v>2</v>
      </c>
      <c r="G25" s="44">
        <f t="shared" si="0"/>
        <v>40</v>
      </c>
      <c r="H25" s="45">
        <f t="shared" si="1"/>
        <v>33.333333333333336</v>
      </c>
      <c r="I25" s="47" t="s">
        <v>21</v>
      </c>
      <c r="J25" s="46" t="s">
        <v>251</v>
      </c>
    </row>
    <row r="26" spans="1:10" x14ac:dyDescent="0.25">
      <c r="A26" s="504"/>
      <c r="B26" s="40" t="s">
        <v>636</v>
      </c>
      <c r="C26" s="49" t="s">
        <v>637</v>
      </c>
      <c r="D26" s="42" t="s">
        <v>57</v>
      </c>
      <c r="E26" s="42">
        <v>2</v>
      </c>
      <c r="F26" s="42">
        <v>4</v>
      </c>
      <c r="G26" s="44">
        <f t="shared" si="0"/>
        <v>80</v>
      </c>
      <c r="H26" s="45">
        <f t="shared" si="1"/>
        <v>66.666666666666671</v>
      </c>
      <c r="I26" s="113" t="s">
        <v>1189</v>
      </c>
      <c r="J26" s="46" t="s">
        <v>231</v>
      </c>
    </row>
    <row r="27" spans="1:10" x14ac:dyDescent="0.25">
      <c r="A27" s="504"/>
      <c r="B27" s="40" t="s">
        <v>638</v>
      </c>
      <c r="C27" s="49" t="s">
        <v>639</v>
      </c>
      <c r="D27" s="42" t="s">
        <v>57</v>
      </c>
      <c r="E27" s="42">
        <v>2</v>
      </c>
      <c r="F27" s="42">
        <v>4</v>
      </c>
      <c r="G27" s="44">
        <f t="shared" si="0"/>
        <v>80</v>
      </c>
      <c r="H27" s="45">
        <f t="shared" si="1"/>
        <v>66.666666666666671</v>
      </c>
      <c r="I27" s="113" t="s">
        <v>1189</v>
      </c>
      <c r="J27" s="46" t="s">
        <v>231</v>
      </c>
    </row>
    <row r="28" spans="1:10" x14ac:dyDescent="0.25">
      <c r="A28" s="504"/>
      <c r="B28" s="40" t="s">
        <v>640</v>
      </c>
      <c r="C28" s="49" t="s">
        <v>641</v>
      </c>
      <c r="D28" s="42" t="s">
        <v>60</v>
      </c>
      <c r="E28" s="42">
        <v>1</v>
      </c>
      <c r="F28" s="42">
        <v>4</v>
      </c>
      <c r="G28" s="44">
        <f t="shared" si="0"/>
        <v>80</v>
      </c>
      <c r="H28" s="45">
        <f t="shared" si="1"/>
        <v>66.666666666666671</v>
      </c>
      <c r="I28" s="113" t="s">
        <v>1213</v>
      </c>
      <c r="J28" s="46" t="s">
        <v>251</v>
      </c>
    </row>
    <row r="29" spans="1:10" x14ac:dyDescent="0.25">
      <c r="A29" s="504"/>
      <c r="B29" s="40" t="s">
        <v>642</v>
      </c>
      <c r="C29" s="49" t="s">
        <v>643</v>
      </c>
      <c r="D29" s="42" t="s">
        <v>60</v>
      </c>
      <c r="E29" s="42">
        <v>1</v>
      </c>
      <c r="F29" s="42">
        <v>4</v>
      </c>
      <c r="G29" s="44">
        <f t="shared" si="0"/>
        <v>80</v>
      </c>
      <c r="H29" s="45">
        <f t="shared" si="1"/>
        <v>66.666666666666671</v>
      </c>
      <c r="I29" s="113" t="s">
        <v>1189</v>
      </c>
      <c r="J29" s="46" t="s">
        <v>251</v>
      </c>
    </row>
    <row r="30" spans="1:10" x14ac:dyDescent="0.25">
      <c r="A30" s="504" t="s">
        <v>385</v>
      </c>
      <c r="B30" s="40" t="s">
        <v>203</v>
      </c>
      <c r="C30" s="49" t="s">
        <v>644</v>
      </c>
      <c r="D30" s="42" t="s">
        <v>60</v>
      </c>
      <c r="E30" s="42">
        <v>1</v>
      </c>
      <c r="F30" s="42">
        <v>4</v>
      </c>
      <c r="G30" s="44">
        <f t="shared" si="0"/>
        <v>80</v>
      </c>
      <c r="H30" s="45">
        <f t="shared" si="1"/>
        <v>66.666666666666671</v>
      </c>
      <c r="I30" s="113" t="s">
        <v>1189</v>
      </c>
      <c r="J30" s="46" t="s">
        <v>251</v>
      </c>
    </row>
    <row r="31" spans="1:10" x14ac:dyDescent="0.25">
      <c r="A31" s="504"/>
      <c r="B31" s="40" t="s">
        <v>645</v>
      </c>
      <c r="C31" s="49" t="s">
        <v>646</v>
      </c>
      <c r="D31" s="42" t="s">
        <v>57</v>
      </c>
      <c r="E31" s="42">
        <v>2</v>
      </c>
      <c r="F31" s="42">
        <v>4</v>
      </c>
      <c r="G31" s="44">
        <f t="shared" si="0"/>
        <v>80</v>
      </c>
      <c r="H31" s="45">
        <f t="shared" si="1"/>
        <v>66.666666666666671</v>
      </c>
      <c r="I31" s="113" t="s">
        <v>1189</v>
      </c>
      <c r="J31" s="46" t="s">
        <v>231</v>
      </c>
    </row>
    <row r="32" spans="1:10" x14ac:dyDescent="0.25">
      <c r="A32" s="504"/>
      <c r="B32" s="40" t="s">
        <v>647</v>
      </c>
      <c r="C32" s="49" t="s">
        <v>648</v>
      </c>
      <c r="D32" s="42" t="s">
        <v>60</v>
      </c>
      <c r="E32" s="42">
        <v>1</v>
      </c>
      <c r="F32" s="42">
        <v>2</v>
      </c>
      <c r="G32" s="44">
        <f t="shared" si="0"/>
        <v>40</v>
      </c>
      <c r="H32" s="45">
        <f t="shared" si="1"/>
        <v>33.333333333333336</v>
      </c>
      <c r="I32" s="113" t="s">
        <v>1189</v>
      </c>
      <c r="J32" s="46" t="s">
        <v>251</v>
      </c>
    </row>
    <row r="33" spans="1:10" x14ac:dyDescent="0.25">
      <c r="A33" s="504"/>
      <c r="B33" s="40" t="s">
        <v>649</v>
      </c>
      <c r="C33" s="49" t="s">
        <v>650</v>
      </c>
      <c r="D33" s="42" t="s">
        <v>60</v>
      </c>
      <c r="E33" s="42">
        <v>1</v>
      </c>
      <c r="F33" s="42">
        <v>4</v>
      </c>
      <c r="G33" s="44">
        <f t="shared" si="0"/>
        <v>80</v>
      </c>
      <c r="H33" s="45">
        <f t="shared" si="1"/>
        <v>66.666666666666671</v>
      </c>
      <c r="I33" s="113" t="s">
        <v>1189</v>
      </c>
      <c r="J33" s="46" t="s">
        <v>251</v>
      </c>
    </row>
    <row r="34" spans="1:10" x14ac:dyDescent="0.25">
      <c r="A34" s="504"/>
      <c r="B34" s="40" t="s">
        <v>651</v>
      </c>
      <c r="C34" s="49" t="s">
        <v>652</v>
      </c>
      <c r="D34" s="42" t="s">
        <v>60</v>
      </c>
      <c r="E34" s="42">
        <v>1</v>
      </c>
      <c r="F34" s="42">
        <v>4</v>
      </c>
      <c r="G34" s="44">
        <f t="shared" si="0"/>
        <v>80</v>
      </c>
      <c r="H34" s="45">
        <f t="shared" si="1"/>
        <v>66.666666666666671</v>
      </c>
      <c r="I34" s="113" t="s">
        <v>1213</v>
      </c>
      <c r="J34" s="46" t="s">
        <v>251</v>
      </c>
    </row>
    <row r="35" spans="1:10" x14ac:dyDescent="0.25">
      <c r="A35" s="504"/>
      <c r="B35" s="40" t="s">
        <v>653</v>
      </c>
      <c r="C35" s="49" t="s">
        <v>654</v>
      </c>
      <c r="D35" s="42" t="s">
        <v>60</v>
      </c>
      <c r="E35" s="42">
        <v>1</v>
      </c>
      <c r="F35" s="42">
        <v>2</v>
      </c>
      <c r="G35" s="44">
        <f t="shared" si="0"/>
        <v>40</v>
      </c>
      <c r="H35" s="45">
        <f t="shared" si="1"/>
        <v>33.333333333333336</v>
      </c>
      <c r="I35" s="113" t="s">
        <v>1189</v>
      </c>
      <c r="J35" s="46" t="s">
        <v>251</v>
      </c>
    </row>
    <row r="36" spans="1:10" x14ac:dyDescent="0.25">
      <c r="A36" s="504" t="s">
        <v>398</v>
      </c>
      <c r="B36" s="40" t="s">
        <v>655</v>
      </c>
      <c r="C36" s="49" t="s">
        <v>656</v>
      </c>
      <c r="D36" s="42" t="s">
        <v>60</v>
      </c>
      <c r="E36" s="42">
        <v>1</v>
      </c>
      <c r="F36" s="42">
        <v>2</v>
      </c>
      <c r="G36" s="44">
        <f t="shared" si="0"/>
        <v>40</v>
      </c>
      <c r="H36" s="45">
        <f t="shared" si="1"/>
        <v>33.333333333333336</v>
      </c>
      <c r="I36" s="47" t="s">
        <v>315</v>
      </c>
      <c r="J36" s="46" t="s">
        <v>251</v>
      </c>
    </row>
    <row r="37" spans="1:10" x14ac:dyDescent="0.25">
      <c r="A37" s="504"/>
      <c r="B37" s="40" t="s">
        <v>657</v>
      </c>
      <c r="C37" s="49" t="s">
        <v>658</v>
      </c>
      <c r="D37" s="42" t="s">
        <v>60</v>
      </c>
      <c r="E37" s="42">
        <v>1</v>
      </c>
      <c r="F37" s="42">
        <v>4</v>
      </c>
      <c r="G37" s="44">
        <f t="shared" si="0"/>
        <v>80</v>
      </c>
      <c r="H37" s="45">
        <f t="shared" si="1"/>
        <v>66.666666666666671</v>
      </c>
      <c r="I37" s="113" t="s">
        <v>1189</v>
      </c>
      <c r="J37" s="46" t="s">
        <v>251</v>
      </c>
    </row>
    <row r="38" spans="1:10" x14ac:dyDescent="0.25">
      <c r="A38" s="504"/>
      <c r="B38" s="40" t="s">
        <v>659</v>
      </c>
      <c r="C38" s="49" t="s">
        <v>660</v>
      </c>
      <c r="D38" s="42" t="s">
        <v>54</v>
      </c>
      <c r="E38" s="42">
        <v>1</v>
      </c>
      <c r="F38" s="42">
        <v>4</v>
      </c>
      <c r="G38" s="44">
        <f t="shared" si="0"/>
        <v>80</v>
      </c>
      <c r="H38" s="45">
        <f t="shared" si="1"/>
        <v>66.666666666666671</v>
      </c>
      <c r="I38" s="113" t="s">
        <v>1213</v>
      </c>
      <c r="J38" s="46" t="s">
        <v>231</v>
      </c>
    </row>
    <row r="39" spans="1:10" x14ac:dyDescent="0.25">
      <c r="A39" s="504"/>
      <c r="B39" s="40" t="s">
        <v>661</v>
      </c>
      <c r="C39" s="49" t="s">
        <v>662</v>
      </c>
      <c r="D39" s="42" t="s">
        <v>57</v>
      </c>
      <c r="E39" s="42">
        <v>2</v>
      </c>
      <c r="F39" s="42">
        <v>4</v>
      </c>
      <c r="G39" s="44">
        <f t="shared" si="0"/>
        <v>80</v>
      </c>
      <c r="H39" s="45">
        <f t="shared" si="1"/>
        <v>66.666666666666671</v>
      </c>
      <c r="I39" s="113" t="s">
        <v>1189</v>
      </c>
      <c r="J39" s="46" t="s">
        <v>231</v>
      </c>
    </row>
    <row r="40" spans="1:10" x14ac:dyDescent="0.25">
      <c r="A40" s="504"/>
      <c r="B40" s="40" t="s">
        <v>663</v>
      </c>
      <c r="C40" s="49" t="s">
        <v>664</v>
      </c>
      <c r="D40" s="42" t="s">
        <v>60</v>
      </c>
      <c r="E40" s="42">
        <v>1</v>
      </c>
      <c r="F40" s="42">
        <v>2</v>
      </c>
      <c r="G40" s="44">
        <f t="shared" si="0"/>
        <v>40</v>
      </c>
      <c r="H40" s="45">
        <f t="shared" si="1"/>
        <v>33.333333333333336</v>
      </c>
      <c r="I40" s="113" t="s">
        <v>1189</v>
      </c>
      <c r="J40" s="46" t="s">
        <v>251</v>
      </c>
    </row>
    <row r="41" spans="1:10" ht="15.75" thickBot="1" x14ac:dyDescent="0.3">
      <c r="A41" s="504"/>
      <c r="B41" s="40" t="s">
        <v>665</v>
      </c>
      <c r="C41" s="49" t="s">
        <v>666</v>
      </c>
      <c r="D41" s="42" t="s">
        <v>57</v>
      </c>
      <c r="E41" s="42">
        <v>2</v>
      </c>
      <c r="F41" s="42">
        <v>4</v>
      </c>
      <c r="G41" s="44">
        <f t="shared" si="0"/>
        <v>80</v>
      </c>
      <c r="H41" s="45">
        <f t="shared" si="1"/>
        <v>66.666666666666671</v>
      </c>
      <c r="I41" s="113" t="s">
        <v>1189</v>
      </c>
      <c r="J41" s="46" t="s">
        <v>231</v>
      </c>
    </row>
    <row r="42" spans="1:10" ht="15.75" thickBot="1" x14ac:dyDescent="0.3">
      <c r="A42" s="506" t="s">
        <v>297</v>
      </c>
      <c r="B42" s="506"/>
      <c r="C42" s="42" t="s">
        <v>298</v>
      </c>
      <c r="D42" s="42" t="s">
        <v>54</v>
      </c>
      <c r="E42" s="42">
        <v>1</v>
      </c>
      <c r="F42" s="42">
        <v>2</v>
      </c>
      <c r="G42" s="44">
        <f t="shared" si="0"/>
        <v>40</v>
      </c>
      <c r="H42" s="45">
        <f t="shared" si="1"/>
        <v>33.333333333333336</v>
      </c>
      <c r="I42" s="47" t="s">
        <v>299</v>
      </c>
      <c r="J42" s="46" t="s">
        <v>251</v>
      </c>
    </row>
    <row r="43" spans="1:10" ht="16.5" thickBot="1" x14ac:dyDescent="0.3">
      <c r="A43" s="508" t="s">
        <v>302</v>
      </c>
      <c r="B43" s="508"/>
      <c r="C43" s="508"/>
      <c r="D43" s="508"/>
      <c r="E43" s="508"/>
      <c r="F43" s="53">
        <f>SUM(F5:F41)</f>
        <v>120</v>
      </c>
      <c r="G43" s="53">
        <f>SUM(G5:G42)</f>
        <v>2440</v>
      </c>
      <c r="H43" s="54"/>
      <c r="I43" s="36"/>
    </row>
    <row r="44" spans="1:10" ht="16.5" thickBot="1" x14ac:dyDescent="0.3">
      <c r="A44" s="508" t="s">
        <v>303</v>
      </c>
      <c r="B44" s="508"/>
      <c r="C44" s="508"/>
      <c r="D44" s="508"/>
      <c r="E44" s="508"/>
      <c r="F44" s="55">
        <f>(F43*$F$2*$C$50)/60</f>
        <v>2000</v>
      </c>
      <c r="H44" s="55">
        <f>SUM(F44:F44)</f>
        <v>2000</v>
      </c>
      <c r="I44" s="36"/>
    </row>
    <row r="45" spans="1:10" ht="15.75" thickBot="1" x14ac:dyDescent="0.3">
      <c r="A45" s="506" t="s">
        <v>667</v>
      </c>
      <c r="B45" s="506"/>
      <c r="C45" s="506"/>
      <c r="D45" s="506"/>
      <c r="E45" s="506"/>
      <c r="F45" s="506"/>
      <c r="G45" s="82"/>
      <c r="H45" s="58">
        <v>80</v>
      </c>
      <c r="I45" s="36"/>
    </row>
    <row r="46" spans="1:10" ht="16.5" thickBot="1" x14ac:dyDescent="0.3">
      <c r="A46" s="508" t="s">
        <v>305</v>
      </c>
      <c r="B46" s="508"/>
      <c r="C46" s="508"/>
      <c r="D46" s="508"/>
      <c r="E46" s="508"/>
      <c r="F46" s="508"/>
      <c r="H46" s="56">
        <f>H44+H45</f>
        <v>2080</v>
      </c>
      <c r="I46" s="36"/>
    </row>
    <row r="47" spans="1:10" ht="15.75" thickBot="1" x14ac:dyDescent="0.3">
      <c r="A47" s="506" t="s">
        <v>668</v>
      </c>
      <c r="B47" s="506"/>
      <c r="C47" s="506"/>
      <c r="D47" s="506"/>
      <c r="E47" s="506"/>
      <c r="F47" s="506"/>
      <c r="G47" s="82"/>
      <c r="H47" s="58">
        <v>240</v>
      </c>
      <c r="I47" s="36"/>
    </row>
    <row r="48" spans="1:10" ht="15.75" thickBot="1" x14ac:dyDescent="0.3">
      <c r="A48" s="506" t="s">
        <v>669</v>
      </c>
      <c r="B48" s="506"/>
      <c r="C48" s="506"/>
      <c r="D48" s="506"/>
      <c r="E48" s="506"/>
      <c r="F48" s="506"/>
      <c r="G48" s="82"/>
      <c r="H48" s="58">
        <v>80</v>
      </c>
      <c r="I48" s="36"/>
    </row>
    <row r="49" spans="1:9" ht="16.5" thickBot="1" x14ac:dyDescent="0.3">
      <c r="A49" s="523" t="s">
        <v>308</v>
      </c>
      <c r="B49" s="523"/>
      <c r="C49" s="523"/>
      <c r="D49" s="523"/>
      <c r="E49" s="523"/>
      <c r="F49" s="523"/>
      <c r="H49" s="56">
        <f>H46+H42+H47+H48</f>
        <v>2433.3333333333335</v>
      </c>
      <c r="I49" s="36"/>
    </row>
    <row r="50" spans="1:9" ht="15.75" x14ac:dyDescent="0.25">
      <c r="A50" s="532" t="s">
        <v>309</v>
      </c>
      <c r="B50" s="532"/>
      <c r="C50" s="78">
        <v>50</v>
      </c>
      <c r="D50" s="79" t="s">
        <v>310</v>
      </c>
      <c r="E50" s="79"/>
      <c r="F50" s="79"/>
      <c r="G50" s="36"/>
      <c r="H50" s="36"/>
      <c r="I50" s="36"/>
    </row>
    <row r="53" spans="1:9" x14ac:dyDescent="0.25">
      <c r="E53">
        <f>SUMPRODUCT(H5:H41,E5:E41)/F44</f>
        <v>1.4</v>
      </c>
    </row>
  </sheetData>
  <mergeCells count="24">
    <mergeCell ref="A48:F48"/>
    <mergeCell ref="A49:F49"/>
    <mergeCell ref="A50:B50"/>
    <mergeCell ref="A42:B42"/>
    <mergeCell ref="A43:E43"/>
    <mergeCell ref="A44:E44"/>
    <mergeCell ref="A45:F45"/>
    <mergeCell ref="A46:F46"/>
    <mergeCell ref="A47:F47"/>
    <mergeCell ref="A36:A41"/>
    <mergeCell ref="G3:G4"/>
    <mergeCell ref="H3:H4"/>
    <mergeCell ref="J3:J4"/>
    <mergeCell ref="I3:I4"/>
    <mergeCell ref="A5:A11"/>
    <mergeCell ref="A12:A17"/>
    <mergeCell ref="A18:A23"/>
    <mergeCell ref="A24:A29"/>
    <mergeCell ref="A30:A35"/>
    <mergeCell ref="A2:C2"/>
    <mergeCell ref="B3:B4"/>
    <mergeCell ref="C3:C4"/>
    <mergeCell ref="D3:D4"/>
    <mergeCell ref="E3:E4"/>
  </mergeCells>
  <dataValidations count="2">
    <dataValidation type="list" allowBlank="1" showInputMessage="1" showErrorMessage="1" sqref="I1:I1048576" xr:uid="{00000000-0002-0000-0800-000000000000}">
      <formula1>Áreas</formula1>
    </dataValidation>
    <dataValidation type="list" allowBlank="1" showInputMessage="1" showErrorMessage="1" sqref="J1:J1048576" xr:uid="{00000000-0002-0000-08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0">
    <tabColor theme="5"/>
  </sheetPr>
  <dimension ref="A1:J75"/>
  <sheetViews>
    <sheetView topLeftCell="A46" workbookViewId="0">
      <selection activeCell="I58" sqref="I58"/>
    </sheetView>
  </sheetViews>
  <sheetFormatPr defaultColWidth="9.140625" defaultRowHeight="15" x14ac:dyDescent="0.25"/>
  <cols>
    <col min="1" max="1" width="9.7109375" bestFit="1" customWidth="1"/>
    <col min="2" max="2" width="40.7109375" customWidth="1"/>
    <col min="6" max="6" width="14.5703125" customWidth="1"/>
    <col min="9" max="9" width="21" customWidth="1"/>
    <col min="10" max="10" width="33.85546875" bestFit="1" customWidth="1"/>
  </cols>
  <sheetData>
    <row r="1" spans="1:10" x14ac:dyDescent="0.25">
      <c r="A1" s="559" t="s">
        <v>36</v>
      </c>
      <c r="B1" s="560"/>
      <c r="C1" s="560"/>
      <c r="D1" s="560"/>
      <c r="E1" s="560"/>
      <c r="F1" s="561"/>
      <c r="G1" s="562" t="str">
        <f>_xlfn.CONCAT("Carga horária mínima do curso: ",TEXT(H71,"0,0")," h")</f>
        <v>Carga horária mínima do curso: 3627,6 h</v>
      </c>
      <c r="H1" s="563"/>
    </row>
    <row r="2" spans="1:10" x14ac:dyDescent="0.25">
      <c r="A2" s="568" t="s">
        <v>1015</v>
      </c>
      <c r="B2" s="569"/>
      <c r="C2" s="569"/>
      <c r="D2" s="569"/>
      <c r="E2" s="569"/>
      <c r="F2" s="570"/>
      <c r="G2" s="564"/>
      <c r="H2" s="565"/>
    </row>
    <row r="3" spans="1:10" x14ac:dyDescent="0.25">
      <c r="A3" s="571" t="s">
        <v>1014</v>
      </c>
      <c r="B3" s="572"/>
      <c r="C3" s="572"/>
      <c r="D3" s="572"/>
      <c r="E3" s="572"/>
      <c r="F3" s="573"/>
      <c r="G3" s="564"/>
      <c r="H3" s="565"/>
    </row>
    <row r="4" spans="1:10" x14ac:dyDescent="0.25">
      <c r="A4" s="571" t="s">
        <v>19</v>
      </c>
      <c r="B4" s="572"/>
      <c r="C4" s="572"/>
      <c r="D4" s="572"/>
      <c r="E4" s="572"/>
      <c r="F4" s="573"/>
      <c r="G4" s="564"/>
      <c r="H4" s="565"/>
    </row>
    <row r="5" spans="1:10" ht="15.75" thickBot="1" x14ac:dyDescent="0.3">
      <c r="A5" s="574" t="s">
        <v>40</v>
      </c>
      <c r="B5" s="575"/>
      <c r="C5" s="575"/>
      <c r="D5" s="575"/>
      <c r="E5" s="575"/>
      <c r="F5" s="576"/>
      <c r="G5" s="566"/>
      <c r="H5" s="567"/>
    </row>
    <row r="6" spans="1:10" x14ac:dyDescent="0.25">
      <c r="A6" s="2"/>
      <c r="B6" s="3"/>
      <c r="C6" s="3"/>
      <c r="D6" s="3"/>
      <c r="E6" s="3"/>
      <c r="F6" s="4"/>
      <c r="G6" s="548" t="s">
        <v>41</v>
      </c>
      <c r="H6" s="549"/>
    </row>
    <row r="7" spans="1:10" ht="15.75" thickBot="1" x14ac:dyDescent="0.3">
      <c r="A7" s="550" t="s">
        <v>42</v>
      </c>
      <c r="B7" s="551"/>
      <c r="C7" s="551"/>
      <c r="D7" s="551"/>
      <c r="E7" s="552"/>
      <c r="F7" s="553"/>
      <c r="G7" s="554" t="s">
        <v>43</v>
      </c>
      <c r="H7" s="555"/>
    </row>
    <row r="8" spans="1:10" ht="29.2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0" x14ac:dyDescent="0.25">
      <c r="A9" s="537" t="s">
        <v>51</v>
      </c>
      <c r="B9" s="8" t="s">
        <v>902</v>
      </c>
      <c r="C9" s="9" t="s">
        <v>903</v>
      </c>
      <c r="D9" s="10" t="s">
        <v>60</v>
      </c>
      <c r="E9" s="9">
        <v>1</v>
      </c>
      <c r="F9" s="11">
        <v>2</v>
      </c>
      <c r="G9" s="12">
        <f t="shared" ref="G9:G40" si="0">$E$75*F9</f>
        <v>40</v>
      </c>
      <c r="H9" s="13">
        <f t="shared" ref="H9:H40" si="1">ROUND(G9*$C$75/60,1)</f>
        <v>33.299999999999997</v>
      </c>
      <c r="I9" s="69" t="s">
        <v>14</v>
      </c>
      <c r="J9" s="69" t="s">
        <v>231</v>
      </c>
    </row>
    <row r="10" spans="1:10" x14ac:dyDescent="0.25">
      <c r="A10" s="538"/>
      <c r="B10" s="14" t="s">
        <v>904</v>
      </c>
      <c r="C10" s="15" t="s">
        <v>905</v>
      </c>
      <c r="D10" s="16" t="s">
        <v>57</v>
      </c>
      <c r="E10" s="15">
        <v>2</v>
      </c>
      <c r="F10" s="17">
        <v>4</v>
      </c>
      <c r="G10" s="18">
        <f t="shared" si="0"/>
        <v>80</v>
      </c>
      <c r="H10" s="19">
        <f t="shared" si="1"/>
        <v>66.7</v>
      </c>
      <c r="I10" s="70" t="s">
        <v>19</v>
      </c>
      <c r="J10" s="70" t="s">
        <v>231</v>
      </c>
    </row>
    <row r="11" spans="1:10" x14ac:dyDescent="0.25">
      <c r="A11" s="538"/>
      <c r="B11" s="14" t="s">
        <v>910</v>
      </c>
      <c r="C11" s="15" t="s">
        <v>911</v>
      </c>
      <c r="D11" s="16" t="s">
        <v>60</v>
      </c>
      <c r="E11" s="15">
        <v>1</v>
      </c>
      <c r="F11" s="17">
        <v>4</v>
      </c>
      <c r="G11" s="18">
        <f t="shared" si="0"/>
        <v>80</v>
      </c>
      <c r="H11" s="19">
        <f t="shared" si="1"/>
        <v>66.7</v>
      </c>
      <c r="I11" s="70" t="s">
        <v>19</v>
      </c>
      <c r="J11" s="70" t="s">
        <v>230</v>
      </c>
    </row>
    <row r="12" spans="1:10" ht="16.5" customHeight="1" x14ac:dyDescent="0.25">
      <c r="A12" s="538"/>
      <c r="B12" s="14" t="s">
        <v>906</v>
      </c>
      <c r="C12" s="15" t="s">
        <v>907</v>
      </c>
      <c r="D12" s="16" t="s">
        <v>60</v>
      </c>
      <c r="E12" s="15">
        <v>1</v>
      </c>
      <c r="F12" s="17">
        <v>2</v>
      </c>
      <c r="G12" s="18">
        <f t="shared" si="0"/>
        <v>40</v>
      </c>
      <c r="H12" s="19">
        <f t="shared" si="1"/>
        <v>33.299999999999997</v>
      </c>
      <c r="I12" s="70" t="s">
        <v>19</v>
      </c>
      <c r="J12" s="70" t="s">
        <v>230</v>
      </c>
    </row>
    <row r="13" spans="1:10" x14ac:dyDescent="0.25">
      <c r="A13" s="538"/>
      <c r="B13" s="14" t="s">
        <v>912</v>
      </c>
      <c r="C13" s="15" t="s">
        <v>913</v>
      </c>
      <c r="D13" s="16" t="s">
        <v>54</v>
      </c>
      <c r="E13" s="15">
        <v>2</v>
      </c>
      <c r="F13" s="17">
        <v>4</v>
      </c>
      <c r="G13" s="18">
        <f t="shared" si="0"/>
        <v>80</v>
      </c>
      <c r="H13" s="19">
        <f t="shared" si="1"/>
        <v>66.7</v>
      </c>
      <c r="I13" s="70" t="s">
        <v>6</v>
      </c>
      <c r="J13" s="70" t="s">
        <v>230</v>
      </c>
    </row>
    <row r="14" spans="1:10" x14ac:dyDescent="0.25">
      <c r="A14" s="538"/>
      <c r="B14" s="14" t="s">
        <v>908</v>
      </c>
      <c r="C14" s="15" t="s">
        <v>909</v>
      </c>
      <c r="D14" s="16" t="s">
        <v>60</v>
      </c>
      <c r="E14" s="15">
        <v>1</v>
      </c>
      <c r="F14" s="17">
        <v>4</v>
      </c>
      <c r="G14" s="18">
        <f t="shared" si="0"/>
        <v>80</v>
      </c>
      <c r="H14" s="19">
        <f t="shared" si="1"/>
        <v>66.7</v>
      </c>
      <c r="I14" s="70" t="s">
        <v>21</v>
      </c>
      <c r="J14" s="70" t="s">
        <v>232</v>
      </c>
    </row>
    <row r="15" spans="1:10" ht="15.75" thickBot="1" x14ac:dyDescent="0.3">
      <c r="A15" s="541"/>
      <c r="B15" s="20" t="s">
        <v>914</v>
      </c>
      <c r="C15" s="21" t="s">
        <v>915</v>
      </c>
      <c r="D15" s="22" t="s">
        <v>54</v>
      </c>
      <c r="E15" s="21">
        <v>2</v>
      </c>
      <c r="F15" s="23">
        <v>4</v>
      </c>
      <c r="G15" s="24">
        <f t="shared" si="0"/>
        <v>80</v>
      </c>
      <c r="H15" s="25">
        <f t="shared" si="1"/>
        <v>66.7</v>
      </c>
      <c r="I15" s="71" t="s">
        <v>7</v>
      </c>
      <c r="J15" s="71" t="s">
        <v>230</v>
      </c>
    </row>
    <row r="16" spans="1:10" x14ac:dyDescent="0.25">
      <c r="A16" s="537" t="s">
        <v>67</v>
      </c>
      <c r="B16" s="8" t="s">
        <v>916</v>
      </c>
      <c r="C16" s="9" t="s">
        <v>917</v>
      </c>
      <c r="D16" s="10" t="s">
        <v>60</v>
      </c>
      <c r="E16" s="9">
        <v>1</v>
      </c>
      <c r="F16" s="11">
        <v>4</v>
      </c>
      <c r="G16" s="12">
        <f t="shared" si="0"/>
        <v>80</v>
      </c>
      <c r="H16" s="13">
        <f t="shared" si="1"/>
        <v>66.7</v>
      </c>
      <c r="I16" s="69" t="s">
        <v>21</v>
      </c>
      <c r="J16" s="69" t="s">
        <v>230</v>
      </c>
    </row>
    <row r="17" spans="1:10" ht="28.5" x14ac:dyDescent="0.25">
      <c r="A17" s="538"/>
      <c r="B17" s="14" t="s">
        <v>918</v>
      </c>
      <c r="C17" s="15" t="s">
        <v>919</v>
      </c>
      <c r="D17" s="16" t="s">
        <v>57</v>
      </c>
      <c r="E17" s="15">
        <v>2</v>
      </c>
      <c r="F17" s="17">
        <v>2</v>
      </c>
      <c r="G17" s="18">
        <f t="shared" si="0"/>
        <v>40</v>
      </c>
      <c r="H17" s="19">
        <f t="shared" si="1"/>
        <v>33.299999999999997</v>
      </c>
      <c r="I17" s="70" t="s">
        <v>18</v>
      </c>
      <c r="J17" s="70" t="s">
        <v>230</v>
      </c>
    </row>
    <row r="18" spans="1:10" x14ac:dyDescent="0.25">
      <c r="A18" s="538"/>
      <c r="B18" s="14" t="s">
        <v>920</v>
      </c>
      <c r="C18" s="15" t="s">
        <v>921</v>
      </c>
      <c r="D18" s="16" t="s">
        <v>60</v>
      </c>
      <c r="E18" s="15">
        <v>1</v>
      </c>
      <c r="F18" s="17">
        <v>4</v>
      </c>
      <c r="G18" s="18">
        <f t="shared" si="0"/>
        <v>80</v>
      </c>
      <c r="H18" s="19">
        <f t="shared" si="1"/>
        <v>66.7</v>
      </c>
      <c r="I18" s="70" t="s">
        <v>21</v>
      </c>
      <c r="J18" s="70" t="s">
        <v>232</v>
      </c>
    </row>
    <row r="19" spans="1:10" ht="28.5" x14ac:dyDescent="0.25">
      <c r="A19" s="538"/>
      <c r="B19" s="14" t="s">
        <v>922</v>
      </c>
      <c r="C19" s="15" t="s">
        <v>923</v>
      </c>
      <c r="D19" s="16" t="s">
        <v>57</v>
      </c>
      <c r="E19" s="15">
        <v>2</v>
      </c>
      <c r="F19" s="17">
        <v>4</v>
      </c>
      <c r="G19" s="18">
        <f t="shared" si="0"/>
        <v>80</v>
      </c>
      <c r="H19" s="19">
        <f t="shared" si="1"/>
        <v>66.7</v>
      </c>
      <c r="I19" s="70" t="s">
        <v>19</v>
      </c>
      <c r="J19" s="70" t="s">
        <v>230</v>
      </c>
    </row>
    <row r="20" spans="1:10" x14ac:dyDescent="0.25">
      <c r="A20" s="538"/>
      <c r="B20" s="14" t="s">
        <v>924</v>
      </c>
      <c r="C20" s="15" t="s">
        <v>925</v>
      </c>
      <c r="D20" s="16" t="s">
        <v>54</v>
      </c>
      <c r="E20" s="15">
        <v>2</v>
      </c>
      <c r="F20" s="17">
        <v>4</v>
      </c>
      <c r="G20" s="18">
        <f t="shared" si="0"/>
        <v>80</v>
      </c>
      <c r="H20" s="19">
        <f t="shared" si="1"/>
        <v>66.7</v>
      </c>
      <c r="I20" s="70" t="s">
        <v>6</v>
      </c>
      <c r="J20" s="70" t="s">
        <v>232</v>
      </c>
    </row>
    <row r="21" spans="1:10" x14ac:dyDescent="0.25">
      <c r="A21" s="538"/>
      <c r="B21" s="14" t="s">
        <v>926</v>
      </c>
      <c r="C21" s="15" t="s">
        <v>927</v>
      </c>
      <c r="D21" s="16" t="s">
        <v>60</v>
      </c>
      <c r="E21" s="15">
        <v>1</v>
      </c>
      <c r="F21" s="17">
        <v>4</v>
      </c>
      <c r="G21" s="18">
        <f t="shared" si="0"/>
        <v>80</v>
      </c>
      <c r="H21" s="19">
        <f t="shared" si="1"/>
        <v>66.7</v>
      </c>
      <c r="I21" s="70" t="s">
        <v>19</v>
      </c>
      <c r="J21" s="70" t="s">
        <v>230</v>
      </c>
    </row>
    <row r="22" spans="1:10" ht="15.75" thickBot="1" x14ac:dyDescent="0.3">
      <c r="A22" s="538"/>
      <c r="B22" s="14" t="s">
        <v>928</v>
      </c>
      <c r="C22" s="15" t="s">
        <v>929</v>
      </c>
      <c r="D22" s="16" t="s">
        <v>60</v>
      </c>
      <c r="E22" s="15">
        <v>1</v>
      </c>
      <c r="F22" s="17">
        <v>2</v>
      </c>
      <c r="G22" s="18">
        <f t="shared" si="0"/>
        <v>40</v>
      </c>
      <c r="H22" s="19">
        <f t="shared" si="1"/>
        <v>33.299999999999997</v>
      </c>
      <c r="I22" s="70" t="s">
        <v>20</v>
      </c>
      <c r="J22" s="70" t="s">
        <v>314</v>
      </c>
    </row>
    <row r="23" spans="1:10" x14ac:dyDescent="0.25">
      <c r="A23" s="537" t="s">
        <v>85</v>
      </c>
      <c r="B23" s="8" t="s">
        <v>930</v>
      </c>
      <c r="C23" s="9" t="s">
        <v>931</v>
      </c>
      <c r="D23" s="10" t="s">
        <v>60</v>
      </c>
      <c r="E23" s="9">
        <v>1</v>
      </c>
      <c r="F23" s="11">
        <v>4</v>
      </c>
      <c r="G23" s="12">
        <f t="shared" si="0"/>
        <v>80</v>
      </c>
      <c r="H23" s="13">
        <f t="shared" si="1"/>
        <v>66.7</v>
      </c>
      <c r="I23" s="69" t="s">
        <v>21</v>
      </c>
      <c r="J23" s="69" t="s">
        <v>230</v>
      </c>
    </row>
    <row r="24" spans="1:10" x14ac:dyDescent="0.25">
      <c r="A24" s="538"/>
      <c r="B24" s="14" t="s">
        <v>932</v>
      </c>
      <c r="C24" s="15" t="s">
        <v>933</v>
      </c>
      <c r="D24" s="16" t="s">
        <v>54</v>
      </c>
      <c r="E24" s="15">
        <v>2</v>
      </c>
      <c r="F24" s="17">
        <v>4</v>
      </c>
      <c r="G24" s="18">
        <f t="shared" si="0"/>
        <v>80</v>
      </c>
      <c r="H24" s="19">
        <f t="shared" si="1"/>
        <v>66.7</v>
      </c>
      <c r="I24" s="70" t="s">
        <v>20</v>
      </c>
      <c r="J24" s="70" t="s">
        <v>230</v>
      </c>
    </row>
    <row r="25" spans="1:10" x14ac:dyDescent="0.25">
      <c r="A25" s="538"/>
      <c r="B25" s="14" t="s">
        <v>934</v>
      </c>
      <c r="C25" s="15" t="s">
        <v>935</v>
      </c>
      <c r="D25" s="16" t="s">
        <v>60</v>
      </c>
      <c r="E25" s="15">
        <v>1</v>
      </c>
      <c r="F25" s="17">
        <v>2</v>
      </c>
      <c r="G25" s="18">
        <f t="shared" si="0"/>
        <v>40</v>
      </c>
      <c r="H25" s="19">
        <f t="shared" si="1"/>
        <v>33.299999999999997</v>
      </c>
      <c r="I25" s="70" t="s">
        <v>19</v>
      </c>
      <c r="J25" s="70" t="s">
        <v>232</v>
      </c>
    </row>
    <row r="26" spans="1:10" ht="28.5" x14ac:dyDescent="0.25">
      <c r="A26" s="538"/>
      <c r="B26" s="14" t="s">
        <v>936</v>
      </c>
      <c r="C26" s="15" t="s">
        <v>937</v>
      </c>
      <c r="D26" s="16" t="s">
        <v>54</v>
      </c>
      <c r="E26" s="15">
        <v>2</v>
      </c>
      <c r="F26" s="17">
        <v>4</v>
      </c>
      <c r="G26" s="18">
        <f t="shared" si="0"/>
        <v>80</v>
      </c>
      <c r="H26" s="19">
        <f t="shared" si="1"/>
        <v>66.7</v>
      </c>
      <c r="I26" s="70" t="s">
        <v>19</v>
      </c>
      <c r="J26" s="70" t="s">
        <v>230</v>
      </c>
    </row>
    <row r="27" spans="1:10" x14ac:dyDescent="0.25">
      <c r="A27" s="538"/>
      <c r="B27" s="14" t="s">
        <v>938</v>
      </c>
      <c r="C27" s="15" t="s">
        <v>939</v>
      </c>
      <c r="D27" s="15" t="s">
        <v>60</v>
      </c>
      <c r="E27" s="15">
        <v>1</v>
      </c>
      <c r="F27" s="17">
        <v>4</v>
      </c>
      <c r="G27" s="18">
        <f t="shared" si="0"/>
        <v>80</v>
      </c>
      <c r="H27" s="19">
        <f t="shared" si="1"/>
        <v>66.7</v>
      </c>
      <c r="I27" s="70" t="s">
        <v>19</v>
      </c>
      <c r="J27" s="70" t="s">
        <v>232</v>
      </c>
    </row>
    <row r="28" spans="1:10" x14ac:dyDescent="0.25">
      <c r="A28" s="538"/>
      <c r="B28" s="14" t="s">
        <v>940</v>
      </c>
      <c r="C28" s="15" t="s">
        <v>941</v>
      </c>
      <c r="D28" s="16" t="s">
        <v>54</v>
      </c>
      <c r="E28" s="15">
        <v>2</v>
      </c>
      <c r="F28" s="17">
        <v>4</v>
      </c>
      <c r="G28" s="18">
        <f t="shared" si="0"/>
        <v>80</v>
      </c>
      <c r="H28" s="19">
        <f t="shared" si="1"/>
        <v>66.7</v>
      </c>
      <c r="I28" s="70" t="s">
        <v>19</v>
      </c>
      <c r="J28" s="70" t="s">
        <v>230</v>
      </c>
    </row>
    <row r="29" spans="1:10" ht="15.75" thickBot="1" x14ac:dyDescent="0.3">
      <c r="A29" s="541"/>
      <c r="B29" s="20" t="s">
        <v>942</v>
      </c>
      <c r="C29" s="21" t="s">
        <v>943</v>
      </c>
      <c r="D29" s="22" t="s">
        <v>57</v>
      </c>
      <c r="E29" s="21">
        <v>2</v>
      </c>
      <c r="F29" s="23">
        <v>2</v>
      </c>
      <c r="G29" s="24">
        <f t="shared" si="0"/>
        <v>40</v>
      </c>
      <c r="H29" s="25">
        <f t="shared" si="1"/>
        <v>33.299999999999997</v>
      </c>
      <c r="I29" s="71" t="s">
        <v>19</v>
      </c>
      <c r="J29" s="71" t="s">
        <v>231</v>
      </c>
    </row>
    <row r="30" spans="1:10" x14ac:dyDescent="0.25">
      <c r="A30" s="537" t="s">
        <v>99</v>
      </c>
      <c r="B30" s="8" t="s">
        <v>944</v>
      </c>
      <c r="C30" s="9" t="s">
        <v>945</v>
      </c>
      <c r="D30" s="10" t="s">
        <v>54</v>
      </c>
      <c r="E30" s="9">
        <v>2</v>
      </c>
      <c r="F30" s="11">
        <v>4</v>
      </c>
      <c r="G30" s="12">
        <f t="shared" si="0"/>
        <v>80</v>
      </c>
      <c r="H30" s="13">
        <f t="shared" si="1"/>
        <v>66.7</v>
      </c>
      <c r="I30" s="69" t="s">
        <v>20</v>
      </c>
      <c r="J30" s="69" t="s">
        <v>230</v>
      </c>
    </row>
    <row r="31" spans="1:10" x14ac:dyDescent="0.25">
      <c r="A31" s="538"/>
      <c r="B31" s="14" t="s">
        <v>946</v>
      </c>
      <c r="C31" s="15" t="s">
        <v>947</v>
      </c>
      <c r="D31" s="16" t="s">
        <v>60</v>
      </c>
      <c r="E31" s="15">
        <v>1</v>
      </c>
      <c r="F31" s="17">
        <v>2</v>
      </c>
      <c r="G31" s="18">
        <f t="shared" si="0"/>
        <v>40</v>
      </c>
      <c r="H31" s="19">
        <f t="shared" si="1"/>
        <v>33.299999999999997</v>
      </c>
      <c r="I31" s="70" t="s">
        <v>19</v>
      </c>
      <c r="J31" s="70" t="s">
        <v>230</v>
      </c>
    </row>
    <row r="32" spans="1:10" x14ac:dyDescent="0.25">
      <c r="A32" s="538"/>
      <c r="B32" s="14" t="s">
        <v>948</v>
      </c>
      <c r="C32" s="15" t="s">
        <v>949</v>
      </c>
      <c r="D32" s="16" t="s">
        <v>60</v>
      </c>
      <c r="E32" s="15">
        <v>1</v>
      </c>
      <c r="F32" s="17">
        <v>4</v>
      </c>
      <c r="G32" s="18">
        <f t="shared" si="0"/>
        <v>80</v>
      </c>
      <c r="H32" s="19">
        <f t="shared" si="1"/>
        <v>66.7</v>
      </c>
      <c r="I32" s="70" t="s">
        <v>21</v>
      </c>
      <c r="J32" s="70" t="s">
        <v>232</v>
      </c>
    </row>
    <row r="33" spans="1:10" x14ac:dyDescent="0.25">
      <c r="A33" s="538"/>
      <c r="B33" s="14" t="s">
        <v>950</v>
      </c>
      <c r="C33" s="15" t="s">
        <v>951</v>
      </c>
      <c r="D33" s="16" t="s">
        <v>54</v>
      </c>
      <c r="E33" s="15">
        <v>2</v>
      </c>
      <c r="F33" s="17">
        <v>4</v>
      </c>
      <c r="G33" s="18">
        <f t="shared" si="0"/>
        <v>80</v>
      </c>
      <c r="H33" s="19">
        <f t="shared" si="1"/>
        <v>66.7</v>
      </c>
      <c r="I33" s="70" t="s">
        <v>19</v>
      </c>
      <c r="J33" s="70" t="s">
        <v>230</v>
      </c>
    </row>
    <row r="34" spans="1:10" x14ac:dyDescent="0.25">
      <c r="A34" s="538"/>
      <c r="B34" s="14" t="s">
        <v>952</v>
      </c>
      <c r="C34" s="15" t="s">
        <v>953</v>
      </c>
      <c r="D34" s="16" t="s">
        <v>54</v>
      </c>
      <c r="E34" s="15">
        <v>2</v>
      </c>
      <c r="F34" s="17">
        <v>4</v>
      </c>
      <c r="G34" s="18">
        <f t="shared" si="0"/>
        <v>80</v>
      </c>
      <c r="H34" s="19">
        <f t="shared" si="1"/>
        <v>66.7</v>
      </c>
      <c r="I34" s="70" t="s">
        <v>19</v>
      </c>
      <c r="J34" s="70" t="s">
        <v>230</v>
      </c>
    </row>
    <row r="35" spans="1:10" x14ac:dyDescent="0.25">
      <c r="A35" s="538"/>
      <c r="B35" s="14" t="s">
        <v>954</v>
      </c>
      <c r="C35" s="15" t="s">
        <v>955</v>
      </c>
      <c r="D35" s="16" t="s">
        <v>60</v>
      </c>
      <c r="E35" s="15">
        <v>1</v>
      </c>
      <c r="F35" s="17">
        <v>4</v>
      </c>
      <c r="G35" s="18">
        <f t="shared" si="0"/>
        <v>80</v>
      </c>
      <c r="H35" s="19">
        <f t="shared" si="1"/>
        <v>66.7</v>
      </c>
      <c r="I35" s="70" t="s">
        <v>19</v>
      </c>
      <c r="J35" s="70" t="s">
        <v>231</v>
      </c>
    </row>
    <row r="36" spans="1:10" ht="15.75" thickBot="1" x14ac:dyDescent="0.3">
      <c r="A36" s="538"/>
      <c r="B36" s="14" t="s">
        <v>956</v>
      </c>
      <c r="C36" s="15" t="s">
        <v>957</v>
      </c>
      <c r="D36" s="16" t="s">
        <v>60</v>
      </c>
      <c r="E36" s="15">
        <v>1</v>
      </c>
      <c r="F36" s="17">
        <v>2</v>
      </c>
      <c r="G36" s="18">
        <f t="shared" si="0"/>
        <v>40</v>
      </c>
      <c r="H36" s="19">
        <f t="shared" si="1"/>
        <v>33.299999999999997</v>
      </c>
      <c r="I36" s="70" t="s">
        <v>19</v>
      </c>
      <c r="J36" s="70" t="s">
        <v>230</v>
      </c>
    </row>
    <row r="37" spans="1:10" x14ac:dyDescent="0.25">
      <c r="A37" s="537" t="s">
        <v>115</v>
      </c>
      <c r="B37" s="8" t="s">
        <v>958</v>
      </c>
      <c r="C37" s="9" t="s">
        <v>959</v>
      </c>
      <c r="D37" s="10" t="s">
        <v>54</v>
      </c>
      <c r="E37" s="9">
        <v>2</v>
      </c>
      <c r="F37" s="11">
        <v>4</v>
      </c>
      <c r="G37" s="12">
        <f t="shared" si="0"/>
        <v>80</v>
      </c>
      <c r="H37" s="13">
        <f t="shared" si="1"/>
        <v>66.7</v>
      </c>
      <c r="I37" s="69" t="s">
        <v>20</v>
      </c>
      <c r="J37" s="69" t="s">
        <v>232</v>
      </c>
    </row>
    <row r="38" spans="1:10" x14ac:dyDescent="0.25">
      <c r="A38" s="538"/>
      <c r="B38" s="14" t="s">
        <v>960</v>
      </c>
      <c r="C38" s="15" t="s">
        <v>961</v>
      </c>
      <c r="D38" s="16" t="s">
        <v>60</v>
      </c>
      <c r="E38" s="15">
        <v>1</v>
      </c>
      <c r="F38" s="17">
        <v>2</v>
      </c>
      <c r="G38" s="18">
        <f t="shared" si="0"/>
        <v>40</v>
      </c>
      <c r="H38" s="19">
        <f t="shared" si="1"/>
        <v>33.299999999999997</v>
      </c>
      <c r="I38" s="70" t="s">
        <v>8</v>
      </c>
      <c r="J38" s="70" t="s">
        <v>232</v>
      </c>
    </row>
    <row r="39" spans="1:10" ht="28.5" x14ac:dyDescent="0.25">
      <c r="A39" s="538"/>
      <c r="B39" s="14" t="s">
        <v>962</v>
      </c>
      <c r="C39" s="15" t="s">
        <v>963</v>
      </c>
      <c r="D39" s="16" t="s">
        <v>60</v>
      </c>
      <c r="E39" s="15">
        <v>1</v>
      </c>
      <c r="F39" s="17">
        <v>4</v>
      </c>
      <c r="G39" s="18">
        <f t="shared" si="0"/>
        <v>80</v>
      </c>
      <c r="H39" s="19">
        <f t="shared" si="1"/>
        <v>66.7</v>
      </c>
      <c r="I39" s="70" t="s">
        <v>19</v>
      </c>
      <c r="J39" s="70" t="s">
        <v>230</v>
      </c>
    </row>
    <row r="40" spans="1:10" x14ac:dyDescent="0.25">
      <c r="A40" s="538"/>
      <c r="B40" s="14" t="s">
        <v>964</v>
      </c>
      <c r="C40" s="15" t="s">
        <v>965</v>
      </c>
      <c r="D40" s="16" t="s">
        <v>57</v>
      </c>
      <c r="E40" s="15">
        <v>2</v>
      </c>
      <c r="F40" s="17">
        <v>4</v>
      </c>
      <c r="G40" s="18">
        <f t="shared" si="0"/>
        <v>80</v>
      </c>
      <c r="H40" s="19">
        <f t="shared" si="1"/>
        <v>66.7</v>
      </c>
      <c r="I40" s="70" t="s">
        <v>19</v>
      </c>
      <c r="J40" s="70" t="s">
        <v>230</v>
      </c>
    </row>
    <row r="41" spans="1:10" x14ac:dyDescent="0.25">
      <c r="A41" s="538"/>
      <c r="B41" s="14" t="s">
        <v>971</v>
      </c>
      <c r="C41" s="15" t="s">
        <v>966</v>
      </c>
      <c r="D41" s="16" t="s">
        <v>60</v>
      </c>
      <c r="E41" s="15">
        <v>1</v>
      </c>
      <c r="F41" s="17">
        <v>4</v>
      </c>
      <c r="G41" s="18">
        <f t="shared" ref="G41:G66" si="2">$E$75*F41</f>
        <v>80</v>
      </c>
      <c r="H41" s="19">
        <f t="shared" ref="H41:H66" si="3">ROUND(G41*$C$75/60,1)</f>
        <v>66.7</v>
      </c>
      <c r="I41" s="70" t="s">
        <v>19</v>
      </c>
      <c r="J41" s="70" t="s">
        <v>230</v>
      </c>
    </row>
    <row r="42" spans="1:10" x14ac:dyDescent="0.25">
      <c r="A42" s="538"/>
      <c r="B42" s="14" t="s">
        <v>967</v>
      </c>
      <c r="C42" s="15" t="s">
        <v>968</v>
      </c>
      <c r="D42" s="16" t="s">
        <v>60</v>
      </c>
      <c r="E42" s="15">
        <v>1</v>
      </c>
      <c r="F42" s="17">
        <v>4</v>
      </c>
      <c r="G42" s="18">
        <f t="shared" si="2"/>
        <v>80</v>
      </c>
      <c r="H42" s="19">
        <f t="shared" si="3"/>
        <v>66.7</v>
      </c>
      <c r="I42" s="70" t="s">
        <v>19</v>
      </c>
      <c r="J42" s="70" t="s">
        <v>233</v>
      </c>
    </row>
    <row r="43" spans="1:10" ht="15.75" thickBot="1" x14ac:dyDescent="0.3">
      <c r="A43" s="538"/>
      <c r="B43" s="14" t="s">
        <v>969</v>
      </c>
      <c r="C43" s="15" t="s">
        <v>970</v>
      </c>
      <c r="D43" s="16" t="s">
        <v>60</v>
      </c>
      <c r="E43" s="15">
        <v>1</v>
      </c>
      <c r="F43" s="17">
        <v>2</v>
      </c>
      <c r="G43" s="18">
        <f t="shared" si="2"/>
        <v>40</v>
      </c>
      <c r="H43" s="19">
        <f t="shared" si="3"/>
        <v>33.299999999999997</v>
      </c>
      <c r="I43" s="70" t="s">
        <v>19</v>
      </c>
      <c r="J43" s="70" t="s">
        <v>230</v>
      </c>
    </row>
    <row r="44" spans="1:10" ht="28.5" x14ac:dyDescent="0.25">
      <c r="A44" s="537" t="s">
        <v>132</v>
      </c>
      <c r="B44" s="8" t="s">
        <v>972</v>
      </c>
      <c r="C44" s="9" t="s">
        <v>973</v>
      </c>
      <c r="D44" s="10" t="s">
        <v>54</v>
      </c>
      <c r="E44" s="9">
        <v>2</v>
      </c>
      <c r="F44" s="11">
        <v>4</v>
      </c>
      <c r="G44" s="12">
        <f t="shared" si="2"/>
        <v>80</v>
      </c>
      <c r="H44" s="13">
        <f t="shared" si="3"/>
        <v>66.7</v>
      </c>
      <c r="I44" s="72" t="s">
        <v>19</v>
      </c>
      <c r="J44" s="72" t="s">
        <v>230</v>
      </c>
    </row>
    <row r="45" spans="1:10" x14ac:dyDescent="0.25">
      <c r="A45" s="538"/>
      <c r="B45" s="14" t="s">
        <v>974</v>
      </c>
      <c r="C45" s="15" t="s">
        <v>975</v>
      </c>
      <c r="D45" s="15" t="s">
        <v>60</v>
      </c>
      <c r="E45" s="15">
        <v>1</v>
      </c>
      <c r="F45" s="17">
        <v>4</v>
      </c>
      <c r="G45" s="18">
        <f t="shared" si="2"/>
        <v>80</v>
      </c>
      <c r="H45" s="19">
        <f t="shared" si="3"/>
        <v>66.7</v>
      </c>
      <c r="I45" s="70" t="s">
        <v>19</v>
      </c>
      <c r="J45" s="70" t="s">
        <v>232</v>
      </c>
    </row>
    <row r="46" spans="1:10" x14ac:dyDescent="0.25">
      <c r="A46" s="538"/>
      <c r="B46" s="14" t="s">
        <v>976</v>
      </c>
      <c r="C46" s="15" t="s">
        <v>977</v>
      </c>
      <c r="D46" s="15" t="s">
        <v>54</v>
      </c>
      <c r="E46" s="15">
        <v>2</v>
      </c>
      <c r="F46" s="17">
        <v>4</v>
      </c>
      <c r="G46" s="18">
        <f t="shared" si="2"/>
        <v>80</v>
      </c>
      <c r="H46" s="19">
        <f t="shared" si="3"/>
        <v>66.7</v>
      </c>
      <c r="I46" s="70" t="s">
        <v>20</v>
      </c>
      <c r="J46" s="70" t="s">
        <v>231</v>
      </c>
    </row>
    <row r="47" spans="1:10" x14ac:dyDescent="0.25">
      <c r="A47" s="538"/>
      <c r="B47" s="14" t="s">
        <v>978</v>
      </c>
      <c r="C47" s="15" t="s">
        <v>979</v>
      </c>
      <c r="D47" s="16" t="s">
        <v>60</v>
      </c>
      <c r="E47" s="15">
        <v>1</v>
      </c>
      <c r="F47" s="17">
        <v>4</v>
      </c>
      <c r="G47" s="18">
        <f t="shared" si="2"/>
        <v>80</v>
      </c>
      <c r="H47" s="19">
        <f t="shared" si="3"/>
        <v>66.7</v>
      </c>
      <c r="I47" s="70" t="s">
        <v>19</v>
      </c>
      <c r="J47" s="70" t="s">
        <v>230</v>
      </c>
    </row>
    <row r="48" spans="1:10" x14ac:dyDescent="0.25">
      <c r="A48" s="538"/>
      <c r="B48" s="14" t="s">
        <v>980</v>
      </c>
      <c r="C48" s="15" t="s">
        <v>981</v>
      </c>
      <c r="D48" s="16" t="s">
        <v>60</v>
      </c>
      <c r="E48" s="15">
        <v>1</v>
      </c>
      <c r="F48" s="17">
        <v>4</v>
      </c>
      <c r="G48" s="18">
        <f t="shared" si="2"/>
        <v>80</v>
      </c>
      <c r="H48" s="19">
        <f t="shared" si="3"/>
        <v>66.7</v>
      </c>
      <c r="I48" s="70" t="s">
        <v>19</v>
      </c>
      <c r="J48" s="70" t="s">
        <v>230</v>
      </c>
    </row>
    <row r="49" spans="1:10" ht="15.75" thickBot="1" x14ac:dyDescent="0.3">
      <c r="A49" s="538"/>
      <c r="B49" s="14" t="s">
        <v>982</v>
      </c>
      <c r="C49" s="15" t="s">
        <v>983</v>
      </c>
      <c r="D49" s="16" t="s">
        <v>60</v>
      </c>
      <c r="E49" s="15">
        <v>1</v>
      </c>
      <c r="F49" s="17">
        <v>4</v>
      </c>
      <c r="G49" s="18">
        <f t="shared" si="2"/>
        <v>80</v>
      </c>
      <c r="H49" s="19">
        <f t="shared" si="3"/>
        <v>66.7</v>
      </c>
      <c r="I49" s="70" t="s">
        <v>19</v>
      </c>
      <c r="J49" s="70" t="s">
        <v>230</v>
      </c>
    </row>
    <row r="50" spans="1:10" ht="28.5" x14ac:dyDescent="0.25">
      <c r="A50" s="537" t="s">
        <v>151</v>
      </c>
      <c r="B50" s="8" t="s">
        <v>984</v>
      </c>
      <c r="C50" s="9" t="s">
        <v>985</v>
      </c>
      <c r="D50" s="10" t="s">
        <v>54</v>
      </c>
      <c r="E50" s="9">
        <v>2</v>
      </c>
      <c r="F50" s="11">
        <v>4</v>
      </c>
      <c r="G50" s="12">
        <f t="shared" si="2"/>
        <v>80</v>
      </c>
      <c r="H50" s="13">
        <f t="shared" si="3"/>
        <v>66.7</v>
      </c>
      <c r="I50" s="69" t="s">
        <v>19</v>
      </c>
      <c r="J50" s="69" t="s">
        <v>232</v>
      </c>
    </row>
    <row r="51" spans="1:10" x14ac:dyDescent="0.25">
      <c r="A51" s="538"/>
      <c r="B51" s="14" t="s">
        <v>986</v>
      </c>
      <c r="C51" s="15" t="s">
        <v>987</v>
      </c>
      <c r="D51" s="16" t="s">
        <v>60</v>
      </c>
      <c r="E51" s="15">
        <v>1</v>
      </c>
      <c r="F51" s="17">
        <v>4</v>
      </c>
      <c r="G51" s="18">
        <f t="shared" si="2"/>
        <v>80</v>
      </c>
      <c r="H51" s="19">
        <f t="shared" si="3"/>
        <v>66.7</v>
      </c>
      <c r="I51" s="70" t="s">
        <v>20</v>
      </c>
      <c r="J51" s="70" t="s">
        <v>230</v>
      </c>
    </row>
    <row r="52" spans="1:10" x14ac:dyDescent="0.25">
      <c r="A52" s="538"/>
      <c r="B52" s="14" t="s">
        <v>988</v>
      </c>
      <c r="C52" s="15" t="s">
        <v>989</v>
      </c>
      <c r="D52" s="16" t="s">
        <v>60</v>
      </c>
      <c r="E52" s="15">
        <v>1</v>
      </c>
      <c r="F52" s="17">
        <v>4</v>
      </c>
      <c r="G52" s="18">
        <f t="shared" si="2"/>
        <v>80</v>
      </c>
      <c r="H52" s="19">
        <f t="shared" si="3"/>
        <v>66.7</v>
      </c>
      <c r="I52" s="70" t="s">
        <v>19</v>
      </c>
      <c r="J52" s="70" t="s">
        <v>230</v>
      </c>
    </row>
    <row r="53" spans="1:10" x14ac:dyDescent="0.25">
      <c r="A53" s="538"/>
      <c r="B53" s="14" t="s">
        <v>990</v>
      </c>
      <c r="C53" s="15" t="s">
        <v>991</v>
      </c>
      <c r="D53" s="16" t="s">
        <v>54</v>
      </c>
      <c r="E53" s="15">
        <v>2</v>
      </c>
      <c r="F53" s="17">
        <v>4</v>
      </c>
      <c r="G53" s="18">
        <f t="shared" si="2"/>
        <v>80</v>
      </c>
      <c r="H53" s="19">
        <f t="shared" si="3"/>
        <v>66.7</v>
      </c>
      <c r="I53" s="70" t="s">
        <v>19</v>
      </c>
      <c r="J53" s="70" t="s">
        <v>230</v>
      </c>
    </row>
    <row r="54" spans="1:10" x14ac:dyDescent="0.25">
      <c r="A54" s="538"/>
      <c r="B54" s="14" t="s">
        <v>992</v>
      </c>
      <c r="C54" s="15" t="s">
        <v>993</v>
      </c>
      <c r="D54" s="16" t="s">
        <v>60</v>
      </c>
      <c r="E54" s="15">
        <v>1</v>
      </c>
      <c r="F54" s="17">
        <v>4</v>
      </c>
      <c r="G54" s="18">
        <f t="shared" si="2"/>
        <v>80</v>
      </c>
      <c r="H54" s="19">
        <f t="shared" si="3"/>
        <v>66.7</v>
      </c>
      <c r="I54" s="70" t="s">
        <v>19</v>
      </c>
      <c r="J54" s="70" t="s">
        <v>230</v>
      </c>
    </row>
    <row r="55" spans="1:10" ht="29.25" thickBot="1" x14ac:dyDescent="0.3">
      <c r="A55" s="538"/>
      <c r="B55" s="14" t="s">
        <v>994</v>
      </c>
      <c r="C55" s="15" t="s">
        <v>995</v>
      </c>
      <c r="D55" s="16" t="s">
        <v>60</v>
      </c>
      <c r="E55" s="15">
        <v>1</v>
      </c>
      <c r="F55" s="17">
        <v>4</v>
      </c>
      <c r="G55" s="18">
        <f t="shared" si="2"/>
        <v>80</v>
      </c>
      <c r="H55" s="19">
        <f t="shared" si="3"/>
        <v>66.7</v>
      </c>
      <c r="I55" s="70" t="s">
        <v>19</v>
      </c>
      <c r="J55" s="70" t="s">
        <v>230</v>
      </c>
    </row>
    <row r="56" spans="1:10" ht="28.5" x14ac:dyDescent="0.25">
      <c r="A56" s="537" t="s">
        <v>168</v>
      </c>
      <c r="B56" s="8" t="s">
        <v>996</v>
      </c>
      <c r="C56" s="9" t="s">
        <v>997</v>
      </c>
      <c r="D56" s="10" t="s">
        <v>60</v>
      </c>
      <c r="E56" s="9">
        <v>1</v>
      </c>
      <c r="F56" s="11">
        <v>2</v>
      </c>
      <c r="G56" s="12">
        <f t="shared" si="2"/>
        <v>40</v>
      </c>
      <c r="H56" s="13">
        <f t="shared" si="3"/>
        <v>33.299999999999997</v>
      </c>
      <c r="I56" s="69" t="s">
        <v>315</v>
      </c>
      <c r="J56" s="69" t="s">
        <v>230</v>
      </c>
    </row>
    <row r="57" spans="1:10" ht="28.5" x14ac:dyDescent="0.25">
      <c r="A57" s="538"/>
      <c r="B57" s="14" t="s">
        <v>998</v>
      </c>
      <c r="C57" s="15" t="s">
        <v>999</v>
      </c>
      <c r="D57" s="16" t="s">
        <v>60</v>
      </c>
      <c r="E57" s="15">
        <v>1</v>
      </c>
      <c r="F57" s="17">
        <v>4</v>
      </c>
      <c r="G57" s="18">
        <f t="shared" si="2"/>
        <v>80</v>
      </c>
      <c r="H57" s="19">
        <f t="shared" si="3"/>
        <v>66.7</v>
      </c>
      <c r="I57" s="70" t="s">
        <v>20</v>
      </c>
      <c r="J57" s="70" t="s">
        <v>232</v>
      </c>
    </row>
    <row r="58" spans="1:10" x14ac:dyDescent="0.25">
      <c r="A58" s="538"/>
      <c r="B58" s="14" t="s">
        <v>1000</v>
      </c>
      <c r="C58" s="15" t="s">
        <v>1001</v>
      </c>
      <c r="D58" s="16" t="s">
        <v>60</v>
      </c>
      <c r="E58" s="15">
        <v>1</v>
      </c>
      <c r="F58" s="17">
        <v>2</v>
      </c>
      <c r="G58" s="18">
        <f t="shared" si="2"/>
        <v>40</v>
      </c>
      <c r="H58" s="19">
        <f t="shared" si="3"/>
        <v>33.299999999999997</v>
      </c>
      <c r="I58" s="70" t="s">
        <v>20</v>
      </c>
      <c r="J58" s="70" t="s">
        <v>230</v>
      </c>
    </row>
    <row r="59" spans="1:10" x14ac:dyDescent="0.25">
      <c r="A59" s="538"/>
      <c r="B59" s="14" t="s">
        <v>1002</v>
      </c>
      <c r="C59" s="15" t="s">
        <v>1003</v>
      </c>
      <c r="D59" s="16" t="s">
        <v>60</v>
      </c>
      <c r="E59" s="15">
        <v>1</v>
      </c>
      <c r="F59" s="17">
        <v>2</v>
      </c>
      <c r="G59" s="18">
        <f t="shared" si="2"/>
        <v>40</v>
      </c>
      <c r="H59" s="19">
        <f t="shared" si="3"/>
        <v>33.299999999999997</v>
      </c>
      <c r="I59" s="70" t="s">
        <v>19</v>
      </c>
      <c r="J59" s="70" t="s">
        <v>233</v>
      </c>
    </row>
    <row r="60" spans="1:10" ht="28.5" x14ac:dyDescent="0.25">
      <c r="A60" s="538"/>
      <c r="B60" s="14" t="s">
        <v>1004</v>
      </c>
      <c r="C60" s="15" t="s">
        <v>1005</v>
      </c>
      <c r="D60" s="16" t="s">
        <v>60</v>
      </c>
      <c r="E60" s="15">
        <v>1</v>
      </c>
      <c r="F60" s="17">
        <v>4</v>
      </c>
      <c r="G60" s="18">
        <f t="shared" si="2"/>
        <v>80</v>
      </c>
      <c r="H60" s="19">
        <f t="shared" si="3"/>
        <v>66.7</v>
      </c>
      <c r="I60" s="73" t="s">
        <v>19</v>
      </c>
      <c r="J60" s="73" t="s">
        <v>230</v>
      </c>
    </row>
    <row r="61" spans="1:10" x14ac:dyDescent="0.25">
      <c r="A61" s="538"/>
      <c r="B61" s="14" t="s">
        <v>1006</v>
      </c>
      <c r="C61" s="15" t="s">
        <v>1007</v>
      </c>
      <c r="D61" s="16" t="s">
        <v>54</v>
      </c>
      <c r="E61" s="15">
        <v>2</v>
      </c>
      <c r="F61" s="17">
        <v>4</v>
      </c>
      <c r="G61" s="18">
        <f t="shared" si="2"/>
        <v>80</v>
      </c>
      <c r="H61" s="19">
        <f t="shared" si="3"/>
        <v>66.7</v>
      </c>
      <c r="I61" s="70" t="s">
        <v>19</v>
      </c>
      <c r="J61" s="70" t="s">
        <v>230</v>
      </c>
    </row>
    <row r="62" spans="1:10" ht="29.25" thickBot="1" x14ac:dyDescent="0.3">
      <c r="A62" s="538"/>
      <c r="B62" s="14" t="s">
        <v>1009</v>
      </c>
      <c r="C62" s="15" t="s">
        <v>1008</v>
      </c>
      <c r="D62" s="16" t="s">
        <v>54</v>
      </c>
      <c r="E62" s="15">
        <v>4</v>
      </c>
      <c r="F62" s="17">
        <v>6</v>
      </c>
      <c r="G62" s="18">
        <f t="shared" si="2"/>
        <v>120</v>
      </c>
      <c r="H62" s="19">
        <f t="shared" si="3"/>
        <v>100</v>
      </c>
      <c r="I62" s="70" t="s">
        <v>19</v>
      </c>
      <c r="J62" s="70" t="s">
        <v>230</v>
      </c>
    </row>
    <row r="63" spans="1:10" ht="33" x14ac:dyDescent="0.25">
      <c r="A63" s="537" t="s">
        <v>184</v>
      </c>
      <c r="B63" s="8" t="s">
        <v>1010</v>
      </c>
      <c r="C63" s="9" t="s">
        <v>1011</v>
      </c>
      <c r="D63" s="10" t="s">
        <v>54</v>
      </c>
      <c r="E63" s="9">
        <v>4</v>
      </c>
      <c r="F63" s="11">
        <v>6</v>
      </c>
      <c r="G63" s="12">
        <f t="shared" si="2"/>
        <v>120</v>
      </c>
      <c r="H63" s="13">
        <f t="shared" si="3"/>
        <v>100</v>
      </c>
      <c r="I63" s="69" t="s">
        <v>19</v>
      </c>
      <c r="J63" s="69" t="s">
        <v>230</v>
      </c>
    </row>
    <row r="64" spans="1:10" ht="17.25" thickBot="1" x14ac:dyDescent="0.3">
      <c r="A64" s="538"/>
      <c r="B64" s="14" t="s">
        <v>187</v>
      </c>
      <c r="C64" s="15" t="s">
        <v>188</v>
      </c>
      <c r="D64" s="16" t="s">
        <v>60</v>
      </c>
      <c r="E64" s="15">
        <v>1</v>
      </c>
      <c r="F64" s="17">
        <v>0</v>
      </c>
      <c r="G64" s="18">
        <f t="shared" si="2"/>
        <v>0</v>
      </c>
      <c r="H64" s="19">
        <f t="shared" si="3"/>
        <v>0</v>
      </c>
      <c r="I64" s="70" t="s">
        <v>19</v>
      </c>
      <c r="J64" s="70" t="s">
        <v>230</v>
      </c>
    </row>
    <row r="65" spans="1:10" ht="33" x14ac:dyDescent="0.25">
      <c r="A65" s="537" t="s">
        <v>196</v>
      </c>
      <c r="B65" s="8" t="s">
        <v>1012</v>
      </c>
      <c r="C65" s="9" t="s">
        <v>1013</v>
      </c>
      <c r="D65" s="10" t="s">
        <v>54</v>
      </c>
      <c r="E65" s="9">
        <v>4</v>
      </c>
      <c r="F65" s="11">
        <v>6</v>
      </c>
      <c r="G65" s="12">
        <f t="shared" si="2"/>
        <v>120</v>
      </c>
      <c r="H65" s="13">
        <f t="shared" si="3"/>
        <v>100</v>
      </c>
      <c r="I65" s="69" t="s">
        <v>19</v>
      </c>
      <c r="J65" s="74" t="s">
        <v>230</v>
      </c>
    </row>
    <row r="66" spans="1:10" ht="17.25" thickBot="1" x14ac:dyDescent="0.3">
      <c r="A66" s="540"/>
      <c r="B66" s="14" t="s">
        <v>199</v>
      </c>
      <c r="C66" s="15" t="s">
        <v>200</v>
      </c>
      <c r="D66" s="16" t="s">
        <v>60</v>
      </c>
      <c r="E66" s="15">
        <v>1</v>
      </c>
      <c r="F66" s="17">
        <v>0</v>
      </c>
      <c r="G66" s="18">
        <f t="shared" si="2"/>
        <v>0</v>
      </c>
      <c r="H66" s="19">
        <f t="shared" si="3"/>
        <v>0</v>
      </c>
      <c r="I66" s="70" t="s">
        <v>19</v>
      </c>
      <c r="J66" s="70" t="s">
        <v>230</v>
      </c>
    </row>
    <row r="67" spans="1:10" ht="17.25" thickBot="1" x14ac:dyDescent="0.3">
      <c r="A67" s="546" t="s">
        <v>211</v>
      </c>
      <c r="B67" s="546"/>
      <c r="C67" s="546"/>
      <c r="D67" s="546"/>
      <c r="E67" s="546"/>
      <c r="F67" s="546"/>
      <c r="G67" s="26">
        <f>SUM(G9:G66)</f>
        <v>4080</v>
      </c>
      <c r="H67" s="26"/>
    </row>
    <row r="68" spans="1:10" ht="17.25" thickBot="1" x14ac:dyDescent="0.3">
      <c r="A68" s="546" t="s">
        <v>212</v>
      </c>
      <c r="B68" s="546"/>
      <c r="C68" s="546"/>
      <c r="D68" s="546"/>
      <c r="E68" s="546"/>
      <c r="F68" s="546"/>
      <c r="G68" s="546"/>
      <c r="H68" s="27">
        <f>SUM(H10:H66)</f>
        <v>3367.5999999999985</v>
      </c>
    </row>
    <row r="69" spans="1:10" ht="17.25" thickBot="1" x14ac:dyDescent="0.3">
      <c r="A69" s="546" t="s">
        <v>213</v>
      </c>
      <c r="B69" s="546"/>
      <c r="C69" s="546"/>
      <c r="D69" s="546"/>
      <c r="E69" s="546"/>
      <c r="F69" s="546"/>
      <c r="G69" s="546"/>
      <c r="H69" s="26">
        <v>100</v>
      </c>
    </row>
    <row r="70" spans="1:10" ht="17.25" thickBot="1" x14ac:dyDescent="0.3">
      <c r="A70" s="547" t="s">
        <v>214</v>
      </c>
      <c r="B70" s="547"/>
      <c r="C70" s="547"/>
      <c r="D70" s="547"/>
      <c r="E70" s="547"/>
      <c r="F70" s="547"/>
      <c r="G70" s="547"/>
      <c r="H70" s="26">
        <v>160</v>
      </c>
    </row>
    <row r="71" spans="1:10" ht="17.25" thickBot="1" x14ac:dyDescent="0.3">
      <c r="A71" s="545" t="s">
        <v>215</v>
      </c>
      <c r="B71" s="545"/>
      <c r="C71" s="545"/>
      <c r="D71" s="545"/>
      <c r="E71" s="545"/>
      <c r="F71" s="545"/>
      <c r="G71" s="545"/>
      <c r="H71" s="27">
        <f>SUM(H68:H70)</f>
        <v>3627.5999999999985</v>
      </c>
    </row>
    <row r="72" spans="1:10" ht="17.25" thickBot="1" x14ac:dyDescent="0.3">
      <c r="A72" s="546" t="s">
        <v>216</v>
      </c>
      <c r="B72" s="546"/>
      <c r="C72" s="26" t="s">
        <v>217</v>
      </c>
      <c r="D72" s="26" t="s">
        <v>54</v>
      </c>
      <c r="E72" s="26">
        <v>1</v>
      </c>
      <c r="F72" s="26">
        <v>2</v>
      </c>
      <c r="G72" s="28">
        <f>$E$75*F72</f>
        <v>40</v>
      </c>
      <c r="H72" s="29">
        <f>ROUND(G72*$C$75/60,)</f>
        <v>33</v>
      </c>
    </row>
    <row r="73" spans="1:10" ht="17.25" thickBot="1" x14ac:dyDescent="0.3">
      <c r="A73" s="546" t="s">
        <v>218</v>
      </c>
      <c r="B73" s="546"/>
      <c r="C73" s="26"/>
      <c r="D73" s="26"/>
      <c r="E73" s="26"/>
      <c r="F73" s="26"/>
      <c r="G73" s="26"/>
      <c r="H73" s="28">
        <v>100</v>
      </c>
    </row>
    <row r="74" spans="1:10" ht="17.25" thickBot="1" x14ac:dyDescent="0.3">
      <c r="A74" s="545" t="s">
        <v>219</v>
      </c>
      <c r="B74" s="545"/>
      <c r="C74" s="545"/>
      <c r="D74" s="545"/>
      <c r="E74" s="545"/>
      <c r="F74" s="545"/>
      <c r="G74" s="545"/>
      <c r="H74" s="27">
        <f>SUM(H71:H73)</f>
        <v>3760.5999999999985</v>
      </c>
    </row>
    <row r="75" spans="1:10" ht="15.75" thickBot="1" x14ac:dyDescent="0.3">
      <c r="A75" s="30"/>
      <c r="B75" s="31" t="s">
        <v>220</v>
      </c>
      <c r="C75" s="32">
        <v>50</v>
      </c>
      <c r="D75" s="33" t="s">
        <v>221</v>
      </c>
      <c r="E75" s="32">
        <v>20</v>
      </c>
      <c r="F75" s="33" t="s">
        <v>222</v>
      </c>
      <c r="G75" s="33"/>
      <c r="H75" s="34"/>
    </row>
  </sheetData>
  <mergeCells count="28">
    <mergeCell ref="A1:F1"/>
    <mergeCell ref="G1:H5"/>
    <mergeCell ref="A2:F2"/>
    <mergeCell ref="A3:F3"/>
    <mergeCell ref="A4:F4"/>
    <mergeCell ref="A5:F5"/>
    <mergeCell ref="A56:A62"/>
    <mergeCell ref="G6:H6"/>
    <mergeCell ref="A7:D7"/>
    <mergeCell ref="E7:F7"/>
    <mergeCell ref="G7:H7"/>
    <mergeCell ref="A9:A15"/>
    <mergeCell ref="A16:A22"/>
    <mergeCell ref="A23:A29"/>
    <mergeCell ref="A30:A36"/>
    <mergeCell ref="A37:A43"/>
    <mergeCell ref="A44:A49"/>
    <mergeCell ref="A50:A55"/>
    <mergeCell ref="A71:G71"/>
    <mergeCell ref="A72:B72"/>
    <mergeCell ref="A73:B73"/>
    <mergeCell ref="A74:G74"/>
    <mergeCell ref="A63:A64"/>
    <mergeCell ref="A65:A66"/>
    <mergeCell ref="A67:F67"/>
    <mergeCell ref="A68:G68"/>
    <mergeCell ref="A69:G69"/>
    <mergeCell ref="A70:G70"/>
  </mergeCells>
  <dataValidations count="2">
    <dataValidation type="list" allowBlank="1" showInputMessage="1" showErrorMessage="1" sqref="I9:I66" xr:uid="{00000000-0002-0000-0900-000000000000}">
      <formula1>Áreas</formula1>
    </dataValidation>
    <dataValidation type="list" allowBlank="1" showInputMessage="1" showErrorMessage="1" sqref="J9:J75" xr:uid="{00000000-0002-0000-0900-000001000000}">
      <formula1>Ambientes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theme="9" tint="-0.249977111117893"/>
  </sheetPr>
  <dimension ref="A1:J35"/>
  <sheetViews>
    <sheetView workbookViewId="0">
      <selection activeCell="I1" sqref="I1:J1048576"/>
    </sheetView>
  </sheetViews>
  <sheetFormatPr defaultRowHeight="15" x14ac:dyDescent="0.25"/>
  <cols>
    <col min="2" max="2" width="40.85546875" customWidth="1"/>
    <col min="9" max="9" width="20.5703125" customWidth="1"/>
    <col min="10" max="10" width="26.28515625" bestFit="1" customWidth="1"/>
  </cols>
  <sheetData>
    <row r="1" spans="1:10" x14ac:dyDescent="0.25">
      <c r="A1" s="36"/>
      <c r="B1" s="36" t="s">
        <v>531</v>
      </c>
      <c r="C1" s="36">
        <v>19</v>
      </c>
      <c r="D1" s="36"/>
      <c r="E1" s="36"/>
      <c r="F1" s="36"/>
      <c r="G1" s="36"/>
      <c r="H1" s="36"/>
      <c r="I1" s="36"/>
    </row>
    <row r="2" spans="1:10" ht="15.75" x14ac:dyDescent="0.25">
      <c r="A2" s="513" t="s">
        <v>485</v>
      </c>
      <c r="B2" s="513"/>
      <c r="C2" s="513"/>
      <c r="D2" s="37" t="s">
        <v>237</v>
      </c>
      <c r="E2" s="38"/>
      <c r="F2" s="38"/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318</v>
      </c>
      <c r="B5" s="40" t="s">
        <v>266</v>
      </c>
      <c r="C5" s="106" t="s">
        <v>486</v>
      </c>
      <c r="D5" s="42" t="s">
        <v>60</v>
      </c>
      <c r="E5" s="43">
        <v>1</v>
      </c>
      <c r="F5" s="42">
        <v>4</v>
      </c>
      <c r="G5" s="44">
        <f>SUM(F5:F5)*$C$1</f>
        <v>76</v>
      </c>
      <c r="H5" s="45">
        <f t="shared" ref="H5:H29" si="0">(G5)*$C$35/60</f>
        <v>63.333333333333336</v>
      </c>
      <c r="I5" s="108" t="s">
        <v>19</v>
      </c>
      <c r="J5" s="107" t="s">
        <v>251</v>
      </c>
    </row>
    <row r="6" spans="1:10" x14ac:dyDescent="0.25">
      <c r="A6" s="504"/>
      <c r="B6" s="40" t="s">
        <v>130</v>
      </c>
      <c r="C6" s="109" t="s">
        <v>487</v>
      </c>
      <c r="D6" s="42" t="s">
        <v>60</v>
      </c>
      <c r="E6" s="42">
        <v>1</v>
      </c>
      <c r="F6" s="42">
        <v>4</v>
      </c>
      <c r="G6" s="44">
        <f t="shared" ref="G6:G29" si="1">SUM(F6:F6)*$C$1</f>
        <v>76</v>
      </c>
      <c r="H6" s="45">
        <f t="shared" si="0"/>
        <v>63.333333333333336</v>
      </c>
      <c r="I6" s="108" t="s">
        <v>19</v>
      </c>
      <c r="J6" s="107" t="s">
        <v>251</v>
      </c>
    </row>
    <row r="7" spans="1:10" x14ac:dyDescent="0.25">
      <c r="A7" s="504"/>
      <c r="B7" s="40" t="s">
        <v>488</v>
      </c>
      <c r="C7" s="106" t="s">
        <v>489</v>
      </c>
      <c r="D7" s="42" t="s">
        <v>54</v>
      </c>
      <c r="E7" s="43">
        <v>2</v>
      </c>
      <c r="F7" s="42">
        <v>2</v>
      </c>
      <c r="G7" s="44">
        <f t="shared" si="1"/>
        <v>38</v>
      </c>
      <c r="H7" s="45">
        <f t="shared" si="0"/>
        <v>31.666666666666668</v>
      </c>
      <c r="I7" s="108" t="s">
        <v>19</v>
      </c>
      <c r="J7" s="107" t="s">
        <v>232</v>
      </c>
    </row>
    <row r="8" spans="1:10" x14ac:dyDescent="0.25">
      <c r="A8" s="504"/>
      <c r="B8" s="40" t="s">
        <v>490</v>
      </c>
      <c r="C8" s="106" t="s">
        <v>491</v>
      </c>
      <c r="D8" s="42" t="s">
        <v>57</v>
      </c>
      <c r="E8" s="43">
        <v>2</v>
      </c>
      <c r="F8" s="42">
        <v>2</v>
      </c>
      <c r="G8" s="44">
        <f t="shared" si="1"/>
        <v>38</v>
      </c>
      <c r="H8" s="45">
        <f t="shared" si="0"/>
        <v>31.666666666666668</v>
      </c>
      <c r="I8" s="108" t="s">
        <v>19</v>
      </c>
      <c r="J8" s="107" t="s">
        <v>251</v>
      </c>
    </row>
    <row r="9" spans="1:10" x14ac:dyDescent="0.25">
      <c r="A9" s="504"/>
      <c r="B9" s="40" t="s">
        <v>492</v>
      </c>
      <c r="C9" s="106" t="s">
        <v>493</v>
      </c>
      <c r="D9" s="42" t="s">
        <v>60</v>
      </c>
      <c r="E9" s="43">
        <v>1</v>
      </c>
      <c r="F9" s="42">
        <v>2</v>
      </c>
      <c r="G9" s="44">
        <f t="shared" si="1"/>
        <v>38</v>
      </c>
      <c r="H9" s="45">
        <f t="shared" si="0"/>
        <v>31.666666666666668</v>
      </c>
      <c r="I9" s="108" t="s">
        <v>21</v>
      </c>
      <c r="J9" s="107" t="s">
        <v>251</v>
      </c>
    </row>
    <row r="10" spans="1:10" x14ac:dyDescent="0.25">
      <c r="A10" s="504"/>
      <c r="B10" s="40" t="s">
        <v>494</v>
      </c>
      <c r="C10" s="106" t="s">
        <v>495</v>
      </c>
      <c r="D10" s="42" t="s">
        <v>60</v>
      </c>
      <c r="E10" s="43">
        <v>1</v>
      </c>
      <c r="F10" s="42">
        <v>2</v>
      </c>
      <c r="G10" s="44">
        <f t="shared" si="1"/>
        <v>38</v>
      </c>
      <c r="H10" s="45">
        <f t="shared" si="0"/>
        <v>31.666666666666668</v>
      </c>
      <c r="I10" s="108" t="s">
        <v>19</v>
      </c>
      <c r="J10" s="107" t="s">
        <v>251</v>
      </c>
    </row>
    <row r="11" spans="1:10" x14ac:dyDescent="0.25">
      <c r="A11" s="504"/>
      <c r="B11" s="40" t="s">
        <v>496</v>
      </c>
      <c r="C11" s="106" t="s">
        <v>497</v>
      </c>
      <c r="D11" s="42" t="s">
        <v>57</v>
      </c>
      <c r="E11" s="43">
        <v>2</v>
      </c>
      <c r="F11" s="42">
        <v>4</v>
      </c>
      <c r="G11" s="44">
        <f t="shared" si="1"/>
        <v>76</v>
      </c>
      <c r="H11" s="45">
        <f t="shared" si="0"/>
        <v>63.333333333333336</v>
      </c>
      <c r="I11" s="108" t="s">
        <v>18</v>
      </c>
      <c r="J11" s="107" t="s">
        <v>231</v>
      </c>
    </row>
    <row r="12" spans="1:10" x14ac:dyDescent="0.25">
      <c r="A12" s="504" t="s">
        <v>321</v>
      </c>
      <c r="B12" s="40" t="s">
        <v>499</v>
      </c>
      <c r="C12" s="106" t="s">
        <v>500</v>
      </c>
      <c r="D12" s="42" t="s">
        <v>60</v>
      </c>
      <c r="E12" s="43">
        <v>1</v>
      </c>
      <c r="F12" s="43">
        <v>2</v>
      </c>
      <c r="G12" s="44">
        <f t="shared" si="1"/>
        <v>38</v>
      </c>
      <c r="H12" s="45">
        <f t="shared" si="0"/>
        <v>31.666666666666668</v>
      </c>
      <c r="I12" s="108" t="s">
        <v>19</v>
      </c>
      <c r="J12" s="107" t="s">
        <v>251</v>
      </c>
    </row>
    <row r="13" spans="1:10" x14ac:dyDescent="0.25">
      <c r="A13" s="504"/>
      <c r="B13" s="40" t="s">
        <v>501</v>
      </c>
      <c r="C13" s="109" t="s">
        <v>502</v>
      </c>
      <c r="D13" s="42" t="s">
        <v>54</v>
      </c>
      <c r="E13" s="42">
        <v>2</v>
      </c>
      <c r="F13" s="43">
        <v>4</v>
      </c>
      <c r="G13" s="44">
        <f t="shared" si="1"/>
        <v>76</v>
      </c>
      <c r="H13" s="45">
        <f t="shared" si="0"/>
        <v>63.333333333333336</v>
      </c>
      <c r="I13" s="108" t="s">
        <v>19</v>
      </c>
      <c r="J13" s="107" t="s">
        <v>232</v>
      </c>
    </row>
    <row r="14" spans="1:10" x14ac:dyDescent="0.25">
      <c r="A14" s="504"/>
      <c r="B14" s="40" t="s">
        <v>171</v>
      </c>
      <c r="C14" s="109" t="s">
        <v>503</v>
      </c>
      <c r="D14" s="42" t="s">
        <v>54</v>
      </c>
      <c r="E14" s="42">
        <v>2</v>
      </c>
      <c r="F14" s="43">
        <v>4</v>
      </c>
      <c r="G14" s="44">
        <f t="shared" si="1"/>
        <v>76</v>
      </c>
      <c r="H14" s="45">
        <f t="shared" si="0"/>
        <v>63.333333333333336</v>
      </c>
      <c r="I14" s="108" t="s">
        <v>19</v>
      </c>
      <c r="J14" s="107" t="s">
        <v>232</v>
      </c>
    </row>
    <row r="15" spans="1:10" x14ac:dyDescent="0.25">
      <c r="A15" s="504"/>
      <c r="B15" s="40" t="s">
        <v>504</v>
      </c>
      <c r="C15" s="109" t="s">
        <v>505</v>
      </c>
      <c r="D15" s="42" t="s">
        <v>57</v>
      </c>
      <c r="E15" s="42">
        <v>2</v>
      </c>
      <c r="F15" s="43">
        <v>4</v>
      </c>
      <c r="G15" s="44">
        <f t="shared" si="1"/>
        <v>76</v>
      </c>
      <c r="H15" s="45">
        <f t="shared" si="0"/>
        <v>63.333333333333336</v>
      </c>
      <c r="I15" s="108" t="s">
        <v>19</v>
      </c>
      <c r="J15" s="107" t="s">
        <v>231</v>
      </c>
    </row>
    <row r="16" spans="1:10" x14ac:dyDescent="0.25">
      <c r="A16" s="504"/>
      <c r="B16" s="40" t="s">
        <v>187</v>
      </c>
      <c r="C16" s="109" t="s">
        <v>506</v>
      </c>
      <c r="D16" s="42" t="s">
        <v>54</v>
      </c>
      <c r="E16" s="42">
        <v>1</v>
      </c>
      <c r="F16" s="43">
        <v>2</v>
      </c>
      <c r="G16" s="44">
        <f t="shared" si="1"/>
        <v>38</v>
      </c>
      <c r="H16" s="45">
        <f t="shared" si="0"/>
        <v>31.666666666666668</v>
      </c>
      <c r="I16" s="108" t="s">
        <v>19</v>
      </c>
      <c r="J16" s="107" t="s">
        <v>251</v>
      </c>
    </row>
    <row r="17" spans="1:10" x14ac:dyDescent="0.25">
      <c r="A17" s="504"/>
      <c r="B17" s="40" t="s">
        <v>507</v>
      </c>
      <c r="C17" s="109" t="s">
        <v>508</v>
      </c>
      <c r="D17" s="42" t="s">
        <v>54</v>
      </c>
      <c r="E17" s="42">
        <v>2</v>
      </c>
      <c r="F17" s="43">
        <v>4</v>
      </c>
      <c r="G17" s="44">
        <f t="shared" si="1"/>
        <v>76</v>
      </c>
      <c r="H17" s="45">
        <f t="shared" si="0"/>
        <v>63.333333333333336</v>
      </c>
      <c r="I17" s="108" t="s">
        <v>19</v>
      </c>
      <c r="J17" s="107" t="s">
        <v>232</v>
      </c>
    </row>
    <row r="18" spans="1:10" x14ac:dyDescent="0.25">
      <c r="A18" s="504" t="s">
        <v>323</v>
      </c>
      <c r="B18" s="40" t="s">
        <v>509</v>
      </c>
      <c r="C18" s="110" t="s">
        <v>510</v>
      </c>
      <c r="D18" s="42" t="s">
        <v>54</v>
      </c>
      <c r="E18" s="42">
        <v>2</v>
      </c>
      <c r="F18" s="50">
        <v>4</v>
      </c>
      <c r="G18" s="44">
        <f t="shared" si="1"/>
        <v>76</v>
      </c>
      <c r="H18" s="45">
        <f t="shared" si="0"/>
        <v>63.333333333333336</v>
      </c>
      <c r="I18" s="108" t="s">
        <v>19</v>
      </c>
      <c r="J18" s="107" t="s">
        <v>232</v>
      </c>
    </row>
    <row r="19" spans="1:10" x14ac:dyDescent="0.25">
      <c r="A19" s="504"/>
      <c r="B19" s="40" t="s">
        <v>511</v>
      </c>
      <c r="C19" s="110" t="s">
        <v>512</v>
      </c>
      <c r="D19" s="42" t="s">
        <v>60</v>
      </c>
      <c r="E19" s="42">
        <v>1</v>
      </c>
      <c r="F19" s="50">
        <v>4</v>
      </c>
      <c r="G19" s="44">
        <f t="shared" si="1"/>
        <v>76</v>
      </c>
      <c r="H19" s="45">
        <f t="shared" si="0"/>
        <v>63.333333333333336</v>
      </c>
      <c r="I19" s="108" t="s">
        <v>19</v>
      </c>
      <c r="J19" s="107" t="s">
        <v>251</v>
      </c>
    </row>
    <row r="20" spans="1:10" x14ac:dyDescent="0.25">
      <c r="A20" s="504"/>
      <c r="B20" s="40" t="s">
        <v>513</v>
      </c>
      <c r="C20" s="110" t="s">
        <v>514</v>
      </c>
      <c r="D20" s="42" t="s">
        <v>54</v>
      </c>
      <c r="E20" s="42">
        <v>2</v>
      </c>
      <c r="F20" s="50">
        <v>4</v>
      </c>
      <c r="G20" s="44">
        <f t="shared" si="1"/>
        <v>76</v>
      </c>
      <c r="H20" s="45">
        <f t="shared" si="0"/>
        <v>63.333333333333336</v>
      </c>
      <c r="I20" s="108" t="s">
        <v>19</v>
      </c>
      <c r="J20" s="107" t="s">
        <v>232</v>
      </c>
    </row>
    <row r="21" spans="1:10" x14ac:dyDescent="0.25">
      <c r="A21" s="504"/>
      <c r="B21" s="40" t="s">
        <v>515</v>
      </c>
      <c r="C21" s="110" t="s">
        <v>516</v>
      </c>
      <c r="D21" s="42" t="s">
        <v>60</v>
      </c>
      <c r="E21" s="42">
        <v>1</v>
      </c>
      <c r="F21" s="50">
        <v>2</v>
      </c>
      <c r="G21" s="44">
        <f t="shared" si="1"/>
        <v>38</v>
      </c>
      <c r="H21" s="45">
        <f t="shared" si="0"/>
        <v>31.666666666666668</v>
      </c>
      <c r="I21" s="108" t="s">
        <v>19</v>
      </c>
      <c r="J21" s="107" t="s">
        <v>251</v>
      </c>
    </row>
    <row r="22" spans="1:10" x14ac:dyDescent="0.25">
      <c r="A22" s="504"/>
      <c r="B22" s="40" t="s">
        <v>517</v>
      </c>
      <c r="C22" s="110" t="s">
        <v>518</v>
      </c>
      <c r="D22" s="42" t="s">
        <v>60</v>
      </c>
      <c r="E22" s="43">
        <v>1</v>
      </c>
      <c r="F22" s="51">
        <v>2</v>
      </c>
      <c r="G22" s="44">
        <f t="shared" si="1"/>
        <v>38</v>
      </c>
      <c r="H22" s="45">
        <f t="shared" si="0"/>
        <v>31.666666666666668</v>
      </c>
      <c r="I22" s="108" t="s">
        <v>19</v>
      </c>
      <c r="J22" s="107" t="s">
        <v>251</v>
      </c>
    </row>
    <row r="23" spans="1:10" x14ac:dyDescent="0.25">
      <c r="A23" s="504"/>
      <c r="B23" s="40" t="s">
        <v>180</v>
      </c>
      <c r="C23" s="110" t="s">
        <v>519</v>
      </c>
      <c r="D23" s="42" t="s">
        <v>60</v>
      </c>
      <c r="E23" s="43">
        <v>1</v>
      </c>
      <c r="F23" s="51">
        <v>4</v>
      </c>
      <c r="G23" s="44">
        <f t="shared" si="1"/>
        <v>76</v>
      </c>
      <c r="H23" s="45">
        <f t="shared" si="0"/>
        <v>63.333333333333336</v>
      </c>
      <c r="I23" s="108" t="s">
        <v>19</v>
      </c>
      <c r="J23" s="107" t="s">
        <v>251</v>
      </c>
    </row>
    <row r="24" spans="1:10" x14ac:dyDescent="0.25">
      <c r="A24" s="504" t="s">
        <v>311</v>
      </c>
      <c r="B24" s="40" t="s">
        <v>520</v>
      </c>
      <c r="C24" s="110" t="s">
        <v>521</v>
      </c>
      <c r="D24" s="42" t="s">
        <v>60</v>
      </c>
      <c r="E24" s="42">
        <v>1</v>
      </c>
      <c r="F24" s="42">
        <v>2</v>
      </c>
      <c r="G24" s="44">
        <f t="shared" si="1"/>
        <v>38</v>
      </c>
      <c r="H24" s="45">
        <f t="shared" si="0"/>
        <v>31.666666666666668</v>
      </c>
      <c r="I24" s="108" t="s">
        <v>315</v>
      </c>
      <c r="J24" s="107" t="s">
        <v>251</v>
      </c>
    </row>
    <row r="25" spans="1:10" x14ac:dyDescent="0.25">
      <c r="A25" s="504"/>
      <c r="B25" s="40" t="s">
        <v>280</v>
      </c>
      <c r="C25" s="110" t="s">
        <v>522</v>
      </c>
      <c r="D25" s="42" t="s">
        <v>60</v>
      </c>
      <c r="E25" s="42">
        <v>1</v>
      </c>
      <c r="F25" s="42">
        <v>2</v>
      </c>
      <c r="G25" s="44">
        <f t="shared" si="1"/>
        <v>38</v>
      </c>
      <c r="H25" s="45">
        <f t="shared" si="0"/>
        <v>31.666666666666668</v>
      </c>
      <c r="I25" s="108" t="s">
        <v>19</v>
      </c>
      <c r="J25" s="107" t="s">
        <v>251</v>
      </c>
    </row>
    <row r="26" spans="1:10" x14ac:dyDescent="0.25">
      <c r="A26" s="504"/>
      <c r="B26" s="40" t="s">
        <v>523</v>
      </c>
      <c r="C26" s="110" t="s">
        <v>524</v>
      </c>
      <c r="D26" s="42" t="s">
        <v>60</v>
      </c>
      <c r="E26" s="42">
        <v>1</v>
      </c>
      <c r="F26" s="42">
        <v>4</v>
      </c>
      <c r="G26" s="44">
        <f t="shared" si="1"/>
        <v>76</v>
      </c>
      <c r="H26" s="45">
        <f t="shared" si="0"/>
        <v>63.333333333333336</v>
      </c>
      <c r="I26" s="108" t="s">
        <v>19</v>
      </c>
      <c r="J26" s="107" t="s">
        <v>251</v>
      </c>
    </row>
    <row r="27" spans="1:10" x14ac:dyDescent="0.25">
      <c r="A27" s="504"/>
      <c r="B27" s="40" t="s">
        <v>525</v>
      </c>
      <c r="C27" s="110" t="s">
        <v>526</v>
      </c>
      <c r="D27" s="42" t="s">
        <v>54</v>
      </c>
      <c r="E27" s="42">
        <v>2</v>
      </c>
      <c r="F27" s="42">
        <v>4</v>
      </c>
      <c r="G27" s="44">
        <f t="shared" si="1"/>
        <v>76</v>
      </c>
      <c r="H27" s="45">
        <f t="shared" si="0"/>
        <v>63.333333333333336</v>
      </c>
      <c r="I27" s="108" t="s">
        <v>19</v>
      </c>
      <c r="J27" s="107" t="s">
        <v>232</v>
      </c>
    </row>
    <row r="28" spans="1:10" x14ac:dyDescent="0.25">
      <c r="A28" s="504"/>
      <c r="B28" s="40" t="s">
        <v>527</v>
      </c>
      <c r="C28" s="49" t="s">
        <v>528</v>
      </c>
      <c r="D28" s="42" t="s">
        <v>57</v>
      </c>
      <c r="E28" s="42">
        <v>2</v>
      </c>
      <c r="F28" s="42">
        <v>4</v>
      </c>
      <c r="G28" s="44">
        <f t="shared" si="1"/>
        <v>76</v>
      </c>
      <c r="H28" s="45">
        <f t="shared" si="0"/>
        <v>63.333333333333336</v>
      </c>
      <c r="I28" s="47" t="s">
        <v>19</v>
      </c>
      <c r="J28" s="107" t="s">
        <v>232</v>
      </c>
    </row>
    <row r="29" spans="1:10" ht="15.75" thickBot="1" x14ac:dyDescent="0.3">
      <c r="A29" s="504"/>
      <c r="B29" s="52" t="s">
        <v>529</v>
      </c>
      <c r="C29" s="49" t="s">
        <v>530</v>
      </c>
      <c r="D29" s="42" t="s">
        <v>60</v>
      </c>
      <c r="E29" s="42">
        <v>1</v>
      </c>
      <c r="F29" s="42">
        <v>4</v>
      </c>
      <c r="G29" s="44">
        <f t="shared" si="1"/>
        <v>76</v>
      </c>
      <c r="H29" s="45">
        <f t="shared" si="0"/>
        <v>63.333333333333336</v>
      </c>
      <c r="I29" s="47" t="s">
        <v>19</v>
      </c>
      <c r="J29" s="46" t="s">
        <v>251</v>
      </c>
    </row>
    <row r="30" spans="1:10" ht="16.5" thickBot="1" x14ac:dyDescent="0.3">
      <c r="A30" s="508" t="s">
        <v>302</v>
      </c>
      <c r="B30" s="508"/>
      <c r="C30" s="508"/>
      <c r="D30" s="508"/>
      <c r="E30" s="508"/>
      <c r="F30" s="53">
        <f>SUM(F5:F11)</f>
        <v>20</v>
      </c>
      <c r="G30" s="53">
        <f>SUM(G5:G29)</f>
        <v>1520</v>
      </c>
      <c r="H30" s="54"/>
      <c r="I30" s="36"/>
    </row>
    <row r="31" spans="1:10" ht="16.5" thickBot="1" x14ac:dyDescent="0.3">
      <c r="A31" s="508" t="s">
        <v>303</v>
      </c>
      <c r="B31" s="508"/>
      <c r="C31" s="508"/>
      <c r="D31" s="508"/>
      <c r="E31" s="508"/>
      <c r="F31" s="55" t="e">
        <f>(F30*#REF!*$C$35)/60</f>
        <v>#REF!</v>
      </c>
      <c r="G31" s="53" t="s">
        <v>304</v>
      </c>
      <c r="H31" s="55" t="e">
        <f>SUM(F31+#REF!+#REF!+#REF!)</f>
        <v>#REF!</v>
      </c>
      <c r="I31" s="36"/>
    </row>
    <row r="32" spans="1:10" ht="16.5" thickBot="1" x14ac:dyDescent="0.3">
      <c r="A32" s="61" t="s">
        <v>305</v>
      </c>
      <c r="B32" s="63"/>
      <c r="C32" s="63"/>
      <c r="D32" s="63"/>
      <c r="E32" s="63"/>
      <c r="F32" s="63"/>
      <c r="G32" s="64"/>
      <c r="H32" s="56" t="e">
        <f>H31</f>
        <v>#REF!</v>
      </c>
      <c r="I32" s="57"/>
    </row>
    <row r="33" spans="1:9" ht="16.5" thickBot="1" x14ac:dyDescent="0.3">
      <c r="A33" s="533" t="s">
        <v>306</v>
      </c>
      <c r="B33" s="533"/>
      <c r="C33" s="533"/>
      <c r="D33" s="533"/>
      <c r="E33" s="533"/>
      <c r="F33" s="533"/>
      <c r="G33" s="533"/>
      <c r="H33" s="58">
        <v>360</v>
      </c>
      <c r="I33" s="36"/>
    </row>
    <row r="34" spans="1:9" ht="16.5" thickBot="1" x14ac:dyDescent="0.3">
      <c r="A34" s="62" t="s">
        <v>308</v>
      </c>
      <c r="B34" s="76"/>
      <c r="C34" s="77"/>
      <c r="D34" s="77"/>
      <c r="E34" s="77"/>
      <c r="F34" s="77"/>
      <c r="G34" s="77"/>
      <c r="H34" s="55" t="e">
        <f>SUM(H32+H33)</f>
        <v>#REF!</v>
      </c>
      <c r="I34" s="36"/>
    </row>
    <row r="35" spans="1:9" ht="15.75" x14ac:dyDescent="0.25">
      <c r="A35" s="532" t="s">
        <v>309</v>
      </c>
      <c r="B35" s="532"/>
      <c r="C35" s="78">
        <v>50</v>
      </c>
      <c r="D35" s="79" t="s">
        <v>310</v>
      </c>
      <c r="E35" s="79"/>
      <c r="F35" s="79"/>
      <c r="G35" s="79"/>
      <c r="H35" s="80"/>
      <c r="I35" s="36"/>
    </row>
  </sheetData>
  <mergeCells count="13">
    <mergeCell ref="A33:G33"/>
    <mergeCell ref="A35:B35"/>
    <mergeCell ref="J3:J4"/>
    <mergeCell ref="I3:I4"/>
    <mergeCell ref="A5:A11"/>
    <mergeCell ref="A12:A17"/>
    <mergeCell ref="A18:A23"/>
    <mergeCell ref="A24:A29"/>
    <mergeCell ref="A2:C2"/>
    <mergeCell ref="B3:B4"/>
    <mergeCell ref="C3:C4"/>
    <mergeCell ref="A30:E30"/>
    <mergeCell ref="A31:E31"/>
  </mergeCells>
  <dataValidations count="2">
    <dataValidation type="list" allowBlank="1" showInputMessage="1" showErrorMessage="1" sqref="I1:I1048576" xr:uid="{00000000-0002-0000-0A00-000000000000}">
      <formula1>Áreas</formula1>
    </dataValidation>
    <dataValidation type="list" allowBlank="1" showInputMessage="1" showErrorMessage="1" sqref="J3:J29" xr:uid="{00000000-0002-0000-0A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">
    <tabColor theme="5"/>
  </sheetPr>
  <dimension ref="A1:K97"/>
  <sheetViews>
    <sheetView topLeftCell="A6" workbookViewId="0">
      <selection activeCell="I30" sqref="I30"/>
    </sheetView>
  </sheetViews>
  <sheetFormatPr defaultRowHeight="15" x14ac:dyDescent="0.25"/>
  <cols>
    <col min="1" max="1" width="9.7109375" bestFit="1" customWidth="1"/>
    <col min="2" max="2" width="40.7109375" customWidth="1"/>
    <col min="6" max="6" width="11.5703125" customWidth="1"/>
    <col min="9" max="9" width="21" customWidth="1"/>
    <col min="10" max="10" width="33.85546875" bestFit="1" customWidth="1"/>
  </cols>
  <sheetData>
    <row r="1" spans="1:11" x14ac:dyDescent="0.25">
      <c r="A1" s="559" t="s">
        <v>36</v>
      </c>
      <c r="B1" s="560"/>
      <c r="C1" s="560"/>
      <c r="D1" s="560"/>
      <c r="E1" s="560"/>
      <c r="F1" s="561"/>
      <c r="G1" s="562" t="str">
        <f>_xlfn.CONCAT("Carga horária mínima do curso: ",TEXT(H89,"0,0")," h")</f>
        <v>Carga horária mínima do curso: 3809,3 h</v>
      </c>
      <c r="H1" s="563"/>
    </row>
    <row r="2" spans="1:11" x14ac:dyDescent="0.25">
      <c r="A2" s="568" t="s">
        <v>37</v>
      </c>
      <c r="B2" s="569"/>
      <c r="C2" s="569"/>
      <c r="D2" s="569"/>
      <c r="E2" s="569"/>
      <c r="F2" s="570"/>
      <c r="G2" s="564"/>
      <c r="H2" s="565"/>
    </row>
    <row r="3" spans="1:11" x14ac:dyDescent="0.25">
      <c r="A3" s="571" t="s">
        <v>38</v>
      </c>
      <c r="B3" s="572"/>
      <c r="C3" s="572"/>
      <c r="D3" s="572"/>
      <c r="E3" s="572"/>
      <c r="F3" s="573"/>
      <c r="G3" s="564"/>
      <c r="H3" s="565"/>
    </row>
    <row r="4" spans="1:11" x14ac:dyDescent="0.25">
      <c r="A4" s="571" t="s">
        <v>39</v>
      </c>
      <c r="B4" s="572"/>
      <c r="C4" s="572"/>
      <c r="D4" s="572"/>
      <c r="E4" s="572"/>
      <c r="F4" s="573"/>
      <c r="G4" s="564"/>
      <c r="H4" s="565"/>
    </row>
    <row r="5" spans="1:11" ht="15.75" thickBot="1" x14ac:dyDescent="0.3">
      <c r="A5" s="574" t="s">
        <v>40</v>
      </c>
      <c r="B5" s="575"/>
      <c r="C5" s="575"/>
      <c r="D5" s="575"/>
      <c r="E5" s="575"/>
      <c r="F5" s="576"/>
      <c r="G5" s="566"/>
      <c r="H5" s="567"/>
    </row>
    <row r="6" spans="1:11" x14ac:dyDescent="0.25">
      <c r="A6" s="2"/>
      <c r="B6" s="3"/>
      <c r="C6" s="3"/>
      <c r="D6" s="3"/>
      <c r="E6" s="3"/>
      <c r="F6" s="4"/>
      <c r="G6" s="548" t="s">
        <v>41</v>
      </c>
      <c r="H6" s="549"/>
    </row>
    <row r="7" spans="1:11" ht="15.75" thickBot="1" x14ac:dyDescent="0.3">
      <c r="A7" s="550" t="s">
        <v>42</v>
      </c>
      <c r="B7" s="551"/>
      <c r="C7" s="551"/>
      <c r="D7" s="551"/>
      <c r="E7" s="552"/>
      <c r="F7" s="553"/>
      <c r="G7" s="554" t="s">
        <v>43</v>
      </c>
      <c r="H7" s="555"/>
    </row>
    <row r="8" spans="1:11" ht="29.2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1" x14ac:dyDescent="0.25">
      <c r="A9" s="537" t="s">
        <v>51</v>
      </c>
      <c r="B9" s="8" t="s">
        <v>52</v>
      </c>
      <c r="C9" s="9" t="s">
        <v>53</v>
      </c>
      <c r="D9" s="10" t="s">
        <v>54</v>
      </c>
      <c r="E9" s="9">
        <v>2</v>
      </c>
      <c r="F9" s="11">
        <v>2</v>
      </c>
      <c r="G9" s="12">
        <f t="shared" ref="G9:G40" si="0">$E$93*F9</f>
        <v>40</v>
      </c>
      <c r="H9" s="13">
        <f t="shared" ref="H9:H40" si="1">ROUND(G9*$C$93/60,1)</f>
        <v>33.299999999999997</v>
      </c>
      <c r="I9" s="69" t="s">
        <v>1213</v>
      </c>
      <c r="J9" s="69" t="s">
        <v>231</v>
      </c>
      <c r="K9" t="s">
        <v>1213</v>
      </c>
    </row>
    <row r="10" spans="1:11" x14ac:dyDescent="0.25">
      <c r="A10" s="538"/>
      <c r="B10" s="14" t="s">
        <v>55</v>
      </c>
      <c r="C10" s="15" t="s">
        <v>56</v>
      </c>
      <c r="D10" s="16" t="s">
        <v>57</v>
      </c>
      <c r="E10" s="15">
        <v>2</v>
      </c>
      <c r="F10" s="17">
        <v>4</v>
      </c>
      <c r="G10" s="18">
        <f t="shared" si="0"/>
        <v>80</v>
      </c>
      <c r="H10" s="19">
        <f t="shared" si="1"/>
        <v>66.7</v>
      </c>
      <c r="I10" s="70" t="s">
        <v>19</v>
      </c>
      <c r="J10" s="70" t="s">
        <v>231</v>
      </c>
    </row>
    <row r="11" spans="1:11" x14ac:dyDescent="0.25">
      <c r="A11" s="538"/>
      <c r="B11" s="14" t="s">
        <v>58</v>
      </c>
      <c r="C11" s="15" t="s">
        <v>59</v>
      </c>
      <c r="D11" s="16" t="s">
        <v>60</v>
      </c>
      <c r="E11" s="15">
        <v>1</v>
      </c>
      <c r="F11" s="17">
        <v>4</v>
      </c>
      <c r="G11" s="18">
        <f t="shared" si="0"/>
        <v>80</v>
      </c>
      <c r="H11" s="19">
        <f t="shared" si="1"/>
        <v>66.7</v>
      </c>
      <c r="I11" s="70" t="s">
        <v>20</v>
      </c>
      <c r="J11" s="70" t="s">
        <v>230</v>
      </c>
    </row>
    <row r="12" spans="1:11" x14ac:dyDescent="0.25">
      <c r="A12" s="538"/>
      <c r="B12" s="14" t="s">
        <v>68</v>
      </c>
      <c r="C12" s="15" t="s">
        <v>1028</v>
      </c>
      <c r="D12" s="16" t="s">
        <v>60</v>
      </c>
      <c r="E12" s="15">
        <v>1</v>
      </c>
      <c r="F12" s="17">
        <v>6</v>
      </c>
      <c r="G12" s="18">
        <f t="shared" si="0"/>
        <v>120</v>
      </c>
      <c r="H12" s="19">
        <f t="shared" si="1"/>
        <v>100</v>
      </c>
      <c r="I12" s="70" t="s">
        <v>19</v>
      </c>
      <c r="J12" s="70" t="s">
        <v>230</v>
      </c>
    </row>
    <row r="13" spans="1:11" x14ac:dyDescent="0.25">
      <c r="A13" s="538"/>
      <c r="B13" s="14" t="s">
        <v>61</v>
      </c>
      <c r="C13" s="15" t="s">
        <v>62</v>
      </c>
      <c r="D13" s="16" t="s">
        <v>54</v>
      </c>
      <c r="E13" s="15">
        <v>1</v>
      </c>
      <c r="F13" s="17">
        <v>2</v>
      </c>
      <c r="G13" s="18">
        <f t="shared" si="0"/>
        <v>40</v>
      </c>
      <c r="H13" s="19">
        <f t="shared" si="1"/>
        <v>33.299999999999997</v>
      </c>
      <c r="I13" s="381" t="s">
        <v>19</v>
      </c>
      <c r="J13" s="70" t="s">
        <v>230</v>
      </c>
    </row>
    <row r="14" spans="1:11" x14ac:dyDescent="0.25">
      <c r="A14" s="538"/>
      <c r="B14" s="14" t="s">
        <v>63</v>
      </c>
      <c r="C14" s="15" t="s">
        <v>64</v>
      </c>
      <c r="D14" s="16" t="s">
        <v>57</v>
      </c>
      <c r="E14" s="15">
        <v>2</v>
      </c>
      <c r="F14" s="17">
        <v>2</v>
      </c>
      <c r="G14" s="18">
        <f t="shared" si="0"/>
        <v>40</v>
      </c>
      <c r="H14" s="19">
        <f t="shared" si="1"/>
        <v>33.299999999999997</v>
      </c>
      <c r="I14" s="70" t="s">
        <v>20</v>
      </c>
      <c r="J14" s="70" t="s">
        <v>232</v>
      </c>
    </row>
    <row r="15" spans="1:11" ht="15.75" thickBot="1" x14ac:dyDescent="0.3">
      <c r="A15" s="541"/>
      <c r="B15" s="20" t="s">
        <v>65</v>
      </c>
      <c r="C15" s="21" t="s">
        <v>66</v>
      </c>
      <c r="D15" s="22" t="s">
        <v>60</v>
      </c>
      <c r="E15" s="21">
        <v>1</v>
      </c>
      <c r="F15" s="23">
        <v>2</v>
      </c>
      <c r="G15" s="24">
        <f t="shared" si="0"/>
        <v>40</v>
      </c>
      <c r="H15" s="25">
        <f t="shared" si="1"/>
        <v>33.299999999999997</v>
      </c>
      <c r="I15" s="71" t="s">
        <v>7</v>
      </c>
      <c r="J15" s="71" t="s">
        <v>230</v>
      </c>
    </row>
    <row r="16" spans="1:11" x14ac:dyDescent="0.25">
      <c r="A16" s="537" t="s">
        <v>67</v>
      </c>
      <c r="B16" s="8" t="s">
        <v>86</v>
      </c>
      <c r="C16" s="9" t="s">
        <v>1029</v>
      </c>
      <c r="D16" s="10" t="s">
        <v>60</v>
      </c>
      <c r="E16" s="9">
        <v>1</v>
      </c>
      <c r="F16" s="11">
        <v>6</v>
      </c>
      <c r="G16" s="12">
        <f t="shared" si="0"/>
        <v>120</v>
      </c>
      <c r="H16" s="13">
        <f t="shared" si="1"/>
        <v>100</v>
      </c>
      <c r="I16" s="383" t="s">
        <v>21</v>
      </c>
      <c r="J16" s="69" t="s">
        <v>230</v>
      </c>
    </row>
    <row r="17" spans="1:11" x14ac:dyDescent="0.25">
      <c r="A17" s="538"/>
      <c r="B17" s="14" t="s">
        <v>69</v>
      </c>
      <c r="C17" s="15" t="s">
        <v>70</v>
      </c>
      <c r="D17" s="16" t="s">
        <v>60</v>
      </c>
      <c r="E17" s="15">
        <v>1</v>
      </c>
      <c r="F17" s="17">
        <v>2</v>
      </c>
      <c r="G17" s="18">
        <f t="shared" si="0"/>
        <v>40</v>
      </c>
      <c r="H17" s="19">
        <f t="shared" si="1"/>
        <v>33.299999999999997</v>
      </c>
      <c r="I17" s="70" t="s">
        <v>20</v>
      </c>
      <c r="J17" s="70" t="s">
        <v>230</v>
      </c>
    </row>
    <row r="18" spans="1:11" x14ac:dyDescent="0.25">
      <c r="A18" s="538"/>
      <c r="B18" s="14" t="s">
        <v>71</v>
      </c>
      <c r="C18" s="15" t="s">
        <v>72</v>
      </c>
      <c r="D18" s="16" t="s">
        <v>57</v>
      </c>
      <c r="E18" s="15">
        <v>2</v>
      </c>
      <c r="F18" s="17">
        <v>4</v>
      </c>
      <c r="G18" s="18">
        <f t="shared" si="0"/>
        <v>80</v>
      </c>
      <c r="H18" s="19">
        <f t="shared" si="1"/>
        <v>66.7</v>
      </c>
      <c r="I18" s="70" t="s">
        <v>20</v>
      </c>
      <c r="J18" s="70" t="s">
        <v>232</v>
      </c>
    </row>
    <row r="19" spans="1:11" x14ac:dyDescent="0.25">
      <c r="A19" s="538"/>
      <c r="B19" s="14" t="s">
        <v>73</v>
      </c>
      <c r="C19" s="15" t="s">
        <v>74</v>
      </c>
      <c r="D19" s="16" t="s">
        <v>60</v>
      </c>
      <c r="E19" s="15">
        <v>1</v>
      </c>
      <c r="F19" s="17">
        <v>4</v>
      </c>
      <c r="G19" s="18">
        <f t="shared" si="0"/>
        <v>80</v>
      </c>
      <c r="H19" s="19">
        <f t="shared" si="1"/>
        <v>66.7</v>
      </c>
      <c r="I19" s="70" t="s">
        <v>19</v>
      </c>
      <c r="J19" s="70" t="s">
        <v>230</v>
      </c>
    </row>
    <row r="20" spans="1:11" x14ac:dyDescent="0.25">
      <c r="A20" s="538"/>
      <c r="B20" s="14" t="s">
        <v>75</v>
      </c>
      <c r="C20" s="15" t="s">
        <v>76</v>
      </c>
      <c r="D20" s="16" t="s">
        <v>57</v>
      </c>
      <c r="E20" s="15">
        <v>2</v>
      </c>
      <c r="F20" s="17">
        <v>2</v>
      </c>
      <c r="G20" s="18">
        <f t="shared" si="0"/>
        <v>40</v>
      </c>
      <c r="H20" s="19">
        <f t="shared" si="1"/>
        <v>33.299999999999997</v>
      </c>
      <c r="I20" s="70" t="s">
        <v>20</v>
      </c>
      <c r="J20" s="70" t="s">
        <v>232</v>
      </c>
    </row>
    <row r="21" spans="1:11" x14ac:dyDescent="0.25">
      <c r="A21" s="538"/>
      <c r="B21" s="14" t="s">
        <v>77</v>
      </c>
      <c r="C21" s="15" t="s">
        <v>78</v>
      </c>
      <c r="D21" s="16" t="s">
        <v>60</v>
      </c>
      <c r="E21" s="15">
        <v>1</v>
      </c>
      <c r="F21" s="17">
        <v>2</v>
      </c>
      <c r="G21" s="18">
        <f t="shared" si="0"/>
        <v>40</v>
      </c>
      <c r="H21" s="19">
        <f t="shared" si="1"/>
        <v>33.299999999999997</v>
      </c>
      <c r="I21" s="70" t="s">
        <v>8</v>
      </c>
      <c r="J21" s="70" t="s">
        <v>230</v>
      </c>
    </row>
    <row r="22" spans="1:11" x14ac:dyDescent="0.25">
      <c r="A22" s="538"/>
      <c r="B22" s="14" t="s">
        <v>79</v>
      </c>
      <c r="C22" s="15" t="s">
        <v>80</v>
      </c>
      <c r="D22" s="16" t="s">
        <v>57</v>
      </c>
      <c r="E22" s="15">
        <v>2</v>
      </c>
      <c r="F22" s="17">
        <v>4</v>
      </c>
      <c r="G22" s="18">
        <f t="shared" si="0"/>
        <v>80</v>
      </c>
      <c r="H22" s="19">
        <f t="shared" si="1"/>
        <v>66.7</v>
      </c>
      <c r="I22" s="70" t="s">
        <v>1213</v>
      </c>
      <c r="J22" s="70" t="s">
        <v>314</v>
      </c>
      <c r="K22" t="s">
        <v>1189</v>
      </c>
    </row>
    <row r="23" spans="1:11" x14ac:dyDescent="0.25">
      <c r="A23" s="538"/>
      <c r="B23" s="14" t="s">
        <v>81</v>
      </c>
      <c r="C23" s="15" t="s">
        <v>82</v>
      </c>
      <c r="D23" s="16" t="s">
        <v>54</v>
      </c>
      <c r="E23" s="15">
        <v>1</v>
      </c>
      <c r="F23" s="17">
        <v>2</v>
      </c>
      <c r="G23" s="18">
        <f t="shared" si="0"/>
        <v>40</v>
      </c>
      <c r="H23" s="19">
        <f t="shared" si="1"/>
        <v>33.299999999999997</v>
      </c>
      <c r="I23" s="70" t="s">
        <v>7</v>
      </c>
      <c r="J23" s="70" t="s">
        <v>230</v>
      </c>
    </row>
    <row r="24" spans="1:11" ht="15.75" thickBot="1" x14ac:dyDescent="0.3">
      <c r="A24" s="541"/>
      <c r="B24" s="20" t="s">
        <v>83</v>
      </c>
      <c r="C24" s="21" t="s">
        <v>84</v>
      </c>
      <c r="D24" s="22" t="s">
        <v>60</v>
      </c>
      <c r="E24" s="21">
        <v>1</v>
      </c>
      <c r="F24" s="23">
        <v>1</v>
      </c>
      <c r="G24" s="24">
        <f t="shared" si="0"/>
        <v>20</v>
      </c>
      <c r="H24" s="25">
        <f t="shared" si="1"/>
        <v>16.7</v>
      </c>
      <c r="I24" s="71" t="s">
        <v>19</v>
      </c>
      <c r="J24" s="71" t="s">
        <v>316</v>
      </c>
    </row>
    <row r="25" spans="1:11" x14ac:dyDescent="0.25">
      <c r="A25" s="537" t="s">
        <v>85</v>
      </c>
      <c r="B25" s="8" t="s">
        <v>100</v>
      </c>
      <c r="C25" s="9" t="s">
        <v>1030</v>
      </c>
      <c r="D25" s="10" t="s">
        <v>60</v>
      </c>
      <c r="E25" s="9">
        <v>1</v>
      </c>
      <c r="F25" s="11">
        <v>6</v>
      </c>
      <c r="G25" s="12">
        <f t="shared" si="0"/>
        <v>120</v>
      </c>
      <c r="H25" s="13">
        <f t="shared" si="1"/>
        <v>100</v>
      </c>
      <c r="I25" s="69" t="s">
        <v>20</v>
      </c>
      <c r="J25" s="69" t="s">
        <v>230</v>
      </c>
    </row>
    <row r="26" spans="1:11" x14ac:dyDescent="0.25">
      <c r="A26" s="538"/>
      <c r="B26" s="14" t="s">
        <v>87</v>
      </c>
      <c r="C26" s="15" t="s">
        <v>88</v>
      </c>
      <c r="D26" s="16" t="s">
        <v>60</v>
      </c>
      <c r="E26" s="15">
        <v>1</v>
      </c>
      <c r="F26" s="17">
        <v>4</v>
      </c>
      <c r="G26" s="18">
        <f t="shared" si="0"/>
        <v>80</v>
      </c>
      <c r="H26" s="19">
        <f t="shared" si="1"/>
        <v>66.7</v>
      </c>
      <c r="I26" s="70" t="s">
        <v>20</v>
      </c>
      <c r="J26" s="70" t="s">
        <v>230</v>
      </c>
    </row>
    <row r="27" spans="1:11" x14ac:dyDescent="0.25">
      <c r="A27" s="538"/>
      <c r="B27" s="14" t="s">
        <v>89</v>
      </c>
      <c r="C27" s="15" t="s">
        <v>90</v>
      </c>
      <c r="D27" s="16" t="s">
        <v>57</v>
      </c>
      <c r="E27" s="15">
        <v>2</v>
      </c>
      <c r="F27" s="17">
        <v>2</v>
      </c>
      <c r="G27" s="18">
        <f t="shared" si="0"/>
        <v>40</v>
      </c>
      <c r="H27" s="19">
        <f t="shared" si="1"/>
        <v>33.299999999999997</v>
      </c>
      <c r="I27" s="70" t="s">
        <v>20</v>
      </c>
      <c r="J27" s="70" t="s">
        <v>232</v>
      </c>
    </row>
    <row r="28" spans="1:11" x14ac:dyDescent="0.25">
      <c r="A28" s="538"/>
      <c r="B28" s="14" t="s">
        <v>91</v>
      </c>
      <c r="C28" s="15" t="s">
        <v>92</v>
      </c>
      <c r="D28" s="16" t="s">
        <v>60</v>
      </c>
      <c r="E28" s="15">
        <v>1</v>
      </c>
      <c r="F28" s="17">
        <v>4</v>
      </c>
      <c r="G28" s="18">
        <f t="shared" si="0"/>
        <v>80</v>
      </c>
      <c r="H28" s="19">
        <f t="shared" si="1"/>
        <v>66.7</v>
      </c>
      <c r="I28" s="70" t="s">
        <v>19</v>
      </c>
      <c r="J28" s="70" t="s">
        <v>230</v>
      </c>
    </row>
    <row r="29" spans="1:11" x14ac:dyDescent="0.25">
      <c r="A29" s="538"/>
      <c r="B29" s="14" t="s">
        <v>93</v>
      </c>
      <c r="C29" s="15" t="s">
        <v>94</v>
      </c>
      <c r="D29" s="15" t="s">
        <v>54</v>
      </c>
      <c r="E29" s="15">
        <v>2</v>
      </c>
      <c r="F29" s="17">
        <v>4</v>
      </c>
      <c r="G29" s="18">
        <f t="shared" si="0"/>
        <v>80</v>
      </c>
      <c r="H29" s="19">
        <f t="shared" si="1"/>
        <v>66.7</v>
      </c>
      <c r="I29" s="70" t="s">
        <v>20</v>
      </c>
      <c r="J29" s="70" t="s">
        <v>232</v>
      </c>
    </row>
    <row r="30" spans="1:11" x14ac:dyDescent="0.25">
      <c r="A30" s="538"/>
      <c r="B30" s="14" t="s">
        <v>95</v>
      </c>
      <c r="C30" s="15" t="s">
        <v>96</v>
      </c>
      <c r="D30" s="16" t="s">
        <v>60</v>
      </c>
      <c r="E30" s="15">
        <v>1</v>
      </c>
      <c r="F30" s="17">
        <v>2</v>
      </c>
      <c r="G30" s="18">
        <f t="shared" si="0"/>
        <v>40</v>
      </c>
      <c r="H30" s="19">
        <f t="shared" si="1"/>
        <v>33.299999999999997</v>
      </c>
      <c r="I30" s="70" t="s">
        <v>7</v>
      </c>
      <c r="J30" s="70" t="s">
        <v>230</v>
      </c>
    </row>
    <row r="31" spans="1:11" ht="15.75" thickBot="1" x14ac:dyDescent="0.3">
      <c r="A31" s="541"/>
      <c r="B31" s="20" t="s">
        <v>97</v>
      </c>
      <c r="C31" s="21" t="s">
        <v>98</v>
      </c>
      <c r="D31" s="22" t="s">
        <v>57</v>
      </c>
      <c r="E31" s="21">
        <v>2</v>
      </c>
      <c r="F31" s="23">
        <v>4</v>
      </c>
      <c r="G31" s="24">
        <f t="shared" si="0"/>
        <v>80</v>
      </c>
      <c r="H31" s="25">
        <f t="shared" si="1"/>
        <v>66.7</v>
      </c>
      <c r="I31" s="382" t="s">
        <v>1189</v>
      </c>
      <c r="J31" s="71" t="s">
        <v>231</v>
      </c>
      <c r="K31" t="s">
        <v>1189</v>
      </c>
    </row>
    <row r="32" spans="1:11" x14ac:dyDescent="0.25">
      <c r="A32" s="556" t="s">
        <v>99</v>
      </c>
      <c r="B32" s="14" t="s">
        <v>101</v>
      </c>
      <c r="C32" s="15" t="s">
        <v>102</v>
      </c>
      <c r="D32" s="16" t="s">
        <v>60</v>
      </c>
      <c r="E32" s="15">
        <v>1</v>
      </c>
      <c r="F32" s="17">
        <v>2</v>
      </c>
      <c r="G32" s="18">
        <f t="shared" si="0"/>
        <v>40</v>
      </c>
      <c r="H32" s="19">
        <f t="shared" si="1"/>
        <v>33.299999999999997</v>
      </c>
      <c r="I32" s="70" t="s">
        <v>20</v>
      </c>
      <c r="J32" s="70" t="s">
        <v>230</v>
      </c>
    </row>
    <row r="33" spans="1:10" x14ac:dyDescent="0.25">
      <c r="A33" s="557"/>
      <c r="B33" s="14" t="s">
        <v>103</v>
      </c>
      <c r="C33" s="15" t="s">
        <v>104</v>
      </c>
      <c r="D33" s="16" t="s">
        <v>57</v>
      </c>
      <c r="E33" s="15">
        <v>2</v>
      </c>
      <c r="F33" s="17">
        <v>2</v>
      </c>
      <c r="G33" s="18">
        <f t="shared" si="0"/>
        <v>40</v>
      </c>
      <c r="H33" s="19">
        <f t="shared" si="1"/>
        <v>33.299999999999997</v>
      </c>
      <c r="I33" s="70" t="s">
        <v>20</v>
      </c>
      <c r="J33" s="70" t="s">
        <v>232</v>
      </c>
    </row>
    <row r="34" spans="1:10" x14ac:dyDescent="0.25">
      <c r="A34" s="557"/>
      <c r="B34" s="14" t="s">
        <v>105</v>
      </c>
      <c r="C34" s="15" t="s">
        <v>106</v>
      </c>
      <c r="D34" s="16" t="s">
        <v>60</v>
      </c>
      <c r="E34" s="15">
        <v>1</v>
      </c>
      <c r="F34" s="17">
        <v>2</v>
      </c>
      <c r="G34" s="18">
        <f t="shared" si="0"/>
        <v>40</v>
      </c>
      <c r="H34" s="19">
        <f t="shared" si="1"/>
        <v>33.299999999999997</v>
      </c>
      <c r="I34" s="70" t="s">
        <v>19</v>
      </c>
      <c r="J34" s="70" t="s">
        <v>230</v>
      </c>
    </row>
    <row r="35" spans="1:10" x14ac:dyDescent="0.25">
      <c r="A35" s="557"/>
      <c r="B35" s="14" t="s">
        <v>107</v>
      </c>
      <c r="C35" s="15" t="s">
        <v>108</v>
      </c>
      <c r="D35" s="16" t="s">
        <v>60</v>
      </c>
      <c r="E35" s="15">
        <v>1</v>
      </c>
      <c r="F35" s="17">
        <v>4</v>
      </c>
      <c r="G35" s="18">
        <f t="shared" si="0"/>
        <v>80</v>
      </c>
      <c r="H35" s="19">
        <f t="shared" si="1"/>
        <v>66.7</v>
      </c>
      <c r="I35" s="70" t="s">
        <v>20</v>
      </c>
      <c r="J35" s="70" t="s">
        <v>230</v>
      </c>
    </row>
    <row r="36" spans="1:10" x14ac:dyDescent="0.25">
      <c r="A36" s="557"/>
      <c r="B36" s="14" t="s">
        <v>109</v>
      </c>
      <c r="C36" s="15" t="s">
        <v>110</v>
      </c>
      <c r="D36" s="16" t="s">
        <v>57</v>
      </c>
      <c r="E36" s="15">
        <v>2</v>
      </c>
      <c r="F36" s="17">
        <v>4</v>
      </c>
      <c r="G36" s="18">
        <f t="shared" si="0"/>
        <v>80</v>
      </c>
      <c r="H36" s="19">
        <f t="shared" si="1"/>
        <v>66.7</v>
      </c>
      <c r="I36" s="381" t="s">
        <v>1189</v>
      </c>
      <c r="J36" s="70" t="s">
        <v>231</v>
      </c>
    </row>
    <row r="37" spans="1:10" x14ac:dyDescent="0.25">
      <c r="A37" s="557"/>
      <c r="B37" s="14" t="s">
        <v>111</v>
      </c>
      <c r="C37" s="15" t="s">
        <v>112</v>
      </c>
      <c r="D37" s="16" t="s">
        <v>54</v>
      </c>
      <c r="E37" s="15">
        <v>1</v>
      </c>
      <c r="F37" s="17">
        <v>2</v>
      </c>
      <c r="G37" s="18">
        <f t="shared" si="0"/>
        <v>40</v>
      </c>
      <c r="H37" s="19">
        <f t="shared" si="1"/>
        <v>33.299999999999997</v>
      </c>
      <c r="I37" s="70" t="s">
        <v>19</v>
      </c>
      <c r="J37" s="70" t="s">
        <v>230</v>
      </c>
    </row>
    <row r="38" spans="1:10" ht="15.75" thickBot="1" x14ac:dyDescent="0.3">
      <c r="A38" s="558"/>
      <c r="B38" s="20" t="s">
        <v>113</v>
      </c>
      <c r="C38" s="21" t="s">
        <v>114</v>
      </c>
      <c r="D38" s="22" t="s">
        <v>60</v>
      </c>
      <c r="E38" s="21">
        <v>1</v>
      </c>
      <c r="F38" s="23">
        <v>4</v>
      </c>
      <c r="G38" s="24">
        <f t="shared" si="0"/>
        <v>80</v>
      </c>
      <c r="H38" s="25">
        <f t="shared" si="1"/>
        <v>66.7</v>
      </c>
      <c r="I38" s="71" t="s">
        <v>19</v>
      </c>
      <c r="J38" s="71" t="s">
        <v>230</v>
      </c>
    </row>
    <row r="39" spans="1:10" x14ac:dyDescent="0.25">
      <c r="A39" s="537" t="s">
        <v>115</v>
      </c>
      <c r="B39" s="8" t="s">
        <v>116</v>
      </c>
      <c r="C39" s="9" t="s">
        <v>117</v>
      </c>
      <c r="D39" s="10" t="s">
        <v>54</v>
      </c>
      <c r="E39" s="9">
        <v>2</v>
      </c>
      <c r="F39" s="11">
        <v>2</v>
      </c>
      <c r="G39" s="12">
        <f t="shared" si="0"/>
        <v>40</v>
      </c>
      <c r="H39" s="13">
        <f t="shared" si="1"/>
        <v>33.299999999999997</v>
      </c>
      <c r="I39" s="69" t="s">
        <v>20</v>
      </c>
      <c r="J39" s="69" t="s">
        <v>232</v>
      </c>
    </row>
    <row r="40" spans="1:10" ht="28.5" x14ac:dyDescent="0.25">
      <c r="A40" s="538"/>
      <c r="B40" s="14" t="s">
        <v>118</v>
      </c>
      <c r="C40" s="15" t="s">
        <v>119</v>
      </c>
      <c r="D40" s="16" t="s">
        <v>54</v>
      </c>
      <c r="E40" s="15">
        <v>2</v>
      </c>
      <c r="F40" s="17">
        <v>4</v>
      </c>
      <c r="G40" s="18">
        <f t="shared" si="0"/>
        <v>80</v>
      </c>
      <c r="H40" s="19">
        <f t="shared" si="1"/>
        <v>66.7</v>
      </c>
      <c r="I40" s="70" t="s">
        <v>20</v>
      </c>
      <c r="J40" s="70" t="s">
        <v>232</v>
      </c>
    </row>
    <row r="41" spans="1:10" x14ac:dyDescent="0.25">
      <c r="A41" s="538"/>
      <c r="B41" s="14" t="s">
        <v>120</v>
      </c>
      <c r="C41" s="15" t="s">
        <v>121</v>
      </c>
      <c r="D41" s="16" t="s">
        <v>60</v>
      </c>
      <c r="E41" s="15">
        <v>1</v>
      </c>
      <c r="F41" s="17">
        <v>2</v>
      </c>
      <c r="G41" s="18">
        <f t="shared" ref="G41:G71" si="2">$E$93*F41</f>
        <v>40</v>
      </c>
      <c r="H41" s="19">
        <f t="shared" ref="H41:H71" si="3">ROUND(G41*$C$93/60,1)</f>
        <v>33.299999999999997</v>
      </c>
      <c r="I41" s="70" t="s">
        <v>11</v>
      </c>
      <c r="J41" s="70" t="s">
        <v>230</v>
      </c>
    </row>
    <row r="42" spans="1:10" x14ac:dyDescent="0.25">
      <c r="A42" s="538"/>
      <c r="B42" s="14" t="s">
        <v>122</v>
      </c>
      <c r="C42" s="15" t="s">
        <v>123</v>
      </c>
      <c r="D42" s="16" t="s">
        <v>60</v>
      </c>
      <c r="E42" s="15">
        <v>1</v>
      </c>
      <c r="F42" s="17">
        <v>4</v>
      </c>
      <c r="G42" s="18">
        <f t="shared" si="2"/>
        <v>80</v>
      </c>
      <c r="H42" s="19">
        <f t="shared" si="3"/>
        <v>66.7</v>
      </c>
      <c r="I42" s="70" t="s">
        <v>19</v>
      </c>
      <c r="J42" s="70" t="s">
        <v>230</v>
      </c>
    </row>
    <row r="43" spans="1:10" x14ac:dyDescent="0.25">
      <c r="A43" s="538"/>
      <c r="B43" s="14" t="s">
        <v>124</v>
      </c>
      <c r="C43" s="15" t="s">
        <v>125</v>
      </c>
      <c r="D43" s="16" t="s">
        <v>60</v>
      </c>
      <c r="E43" s="15">
        <v>1</v>
      </c>
      <c r="F43" s="17">
        <v>2</v>
      </c>
      <c r="G43" s="18">
        <f t="shared" si="2"/>
        <v>40</v>
      </c>
      <c r="H43" s="19">
        <f t="shared" si="3"/>
        <v>33.299999999999997</v>
      </c>
      <c r="I43" s="70" t="s">
        <v>315</v>
      </c>
      <c r="J43" s="70" t="s">
        <v>230</v>
      </c>
    </row>
    <row r="44" spans="1:10" x14ac:dyDescent="0.25">
      <c r="A44" s="538"/>
      <c r="B44" s="14" t="s">
        <v>126</v>
      </c>
      <c r="C44" s="15" t="s">
        <v>127</v>
      </c>
      <c r="D44" s="16" t="s">
        <v>54</v>
      </c>
      <c r="E44" s="15">
        <v>1</v>
      </c>
      <c r="F44" s="17">
        <v>2</v>
      </c>
      <c r="G44" s="18">
        <f t="shared" si="2"/>
        <v>40</v>
      </c>
      <c r="H44" s="19">
        <f t="shared" si="3"/>
        <v>33.299999999999997</v>
      </c>
      <c r="I44" s="70" t="s">
        <v>19</v>
      </c>
      <c r="J44" s="70" t="s">
        <v>233</v>
      </c>
    </row>
    <row r="45" spans="1:10" x14ac:dyDescent="0.25">
      <c r="A45" s="538"/>
      <c r="B45" s="14" t="s">
        <v>128</v>
      </c>
      <c r="C45" s="15" t="s">
        <v>129</v>
      </c>
      <c r="D45" s="16" t="s">
        <v>60</v>
      </c>
      <c r="E45" s="15">
        <v>1</v>
      </c>
      <c r="F45" s="17">
        <v>2</v>
      </c>
      <c r="G45" s="18">
        <f t="shared" si="2"/>
        <v>40</v>
      </c>
      <c r="H45" s="19">
        <f t="shared" si="3"/>
        <v>33.299999999999997</v>
      </c>
      <c r="I45" s="70" t="s">
        <v>19</v>
      </c>
      <c r="J45" s="70" t="s">
        <v>230</v>
      </c>
    </row>
    <row r="46" spans="1:10" ht="15.75" thickBot="1" x14ac:dyDescent="0.3">
      <c r="A46" s="541"/>
      <c r="B46" s="20" t="s">
        <v>130</v>
      </c>
      <c r="C46" s="21" t="s">
        <v>131</v>
      </c>
      <c r="D46" s="22" t="s">
        <v>60</v>
      </c>
      <c r="E46" s="21">
        <v>1</v>
      </c>
      <c r="F46" s="23">
        <v>4</v>
      </c>
      <c r="G46" s="24">
        <f t="shared" si="2"/>
        <v>80</v>
      </c>
      <c r="H46" s="25">
        <f t="shared" si="3"/>
        <v>66.7</v>
      </c>
      <c r="I46" s="71" t="s">
        <v>19</v>
      </c>
      <c r="J46" s="71" t="s">
        <v>230</v>
      </c>
    </row>
    <row r="47" spans="1:10" ht="28.5" x14ac:dyDescent="0.25">
      <c r="A47" s="537" t="s">
        <v>132</v>
      </c>
      <c r="B47" s="8" t="s">
        <v>133</v>
      </c>
      <c r="C47" s="9" t="s">
        <v>134</v>
      </c>
      <c r="D47" s="10" t="s">
        <v>60</v>
      </c>
      <c r="E47" s="9">
        <v>1</v>
      </c>
      <c r="F47" s="11">
        <v>2</v>
      </c>
      <c r="G47" s="12">
        <f t="shared" si="2"/>
        <v>40</v>
      </c>
      <c r="H47" s="13">
        <f t="shared" si="3"/>
        <v>33.299999999999997</v>
      </c>
      <c r="I47" s="72" t="s">
        <v>19</v>
      </c>
      <c r="J47" s="72" t="s">
        <v>230</v>
      </c>
    </row>
    <row r="48" spans="1:10" x14ac:dyDescent="0.25">
      <c r="A48" s="538"/>
      <c r="B48" s="14" t="s">
        <v>135</v>
      </c>
      <c r="C48" s="15" t="s">
        <v>136</v>
      </c>
      <c r="D48" s="15" t="s">
        <v>57</v>
      </c>
      <c r="E48" s="15">
        <v>2</v>
      </c>
      <c r="F48" s="17">
        <v>2</v>
      </c>
      <c r="G48" s="18">
        <f t="shared" si="2"/>
        <v>40</v>
      </c>
      <c r="H48" s="19">
        <f t="shared" si="3"/>
        <v>33.299999999999997</v>
      </c>
      <c r="I48" s="70" t="s">
        <v>20</v>
      </c>
      <c r="J48" s="70" t="s">
        <v>232</v>
      </c>
    </row>
    <row r="49" spans="1:10" x14ac:dyDescent="0.25">
      <c r="A49" s="538"/>
      <c r="B49" s="14" t="s">
        <v>137</v>
      </c>
      <c r="C49" s="15" t="s">
        <v>138</v>
      </c>
      <c r="D49" s="15" t="s">
        <v>57</v>
      </c>
      <c r="E49" s="15">
        <v>2</v>
      </c>
      <c r="F49" s="17">
        <v>4</v>
      </c>
      <c r="G49" s="18">
        <f t="shared" si="2"/>
        <v>80</v>
      </c>
      <c r="H49" s="19">
        <f t="shared" si="3"/>
        <v>66.7</v>
      </c>
      <c r="I49" s="70" t="s">
        <v>20</v>
      </c>
      <c r="J49" s="70" t="s">
        <v>231</v>
      </c>
    </row>
    <row r="50" spans="1:10" x14ac:dyDescent="0.25">
      <c r="A50" s="538"/>
      <c r="B50" s="14" t="s">
        <v>139</v>
      </c>
      <c r="C50" s="15" t="s">
        <v>140</v>
      </c>
      <c r="D50" s="16" t="s">
        <v>60</v>
      </c>
      <c r="E50" s="15">
        <v>1</v>
      </c>
      <c r="F50" s="17">
        <v>2</v>
      </c>
      <c r="G50" s="18">
        <f t="shared" si="2"/>
        <v>40</v>
      </c>
      <c r="H50" s="19">
        <f t="shared" si="3"/>
        <v>33.299999999999997</v>
      </c>
      <c r="I50" s="70" t="s">
        <v>9</v>
      </c>
      <c r="J50" s="70" t="s">
        <v>230</v>
      </c>
    </row>
    <row r="51" spans="1:10" x14ac:dyDescent="0.25">
      <c r="A51" s="538"/>
      <c r="B51" s="14" t="s">
        <v>141</v>
      </c>
      <c r="C51" s="15" t="s">
        <v>142</v>
      </c>
      <c r="D51" s="16" t="s">
        <v>60</v>
      </c>
      <c r="E51" s="15">
        <v>1</v>
      </c>
      <c r="F51" s="17">
        <v>2</v>
      </c>
      <c r="G51" s="18">
        <f t="shared" si="2"/>
        <v>40</v>
      </c>
      <c r="H51" s="19">
        <f t="shared" si="3"/>
        <v>33.299999999999997</v>
      </c>
      <c r="I51" s="70" t="s">
        <v>19</v>
      </c>
      <c r="J51" s="70" t="s">
        <v>230</v>
      </c>
    </row>
    <row r="52" spans="1:10" x14ac:dyDescent="0.25">
      <c r="A52" s="538"/>
      <c r="B52" s="14" t="s">
        <v>143</v>
      </c>
      <c r="C52" s="15" t="s">
        <v>144</v>
      </c>
      <c r="D52" s="16" t="s">
        <v>60</v>
      </c>
      <c r="E52" s="15">
        <v>1</v>
      </c>
      <c r="F52" s="17">
        <v>2</v>
      </c>
      <c r="G52" s="18">
        <f t="shared" si="2"/>
        <v>40</v>
      </c>
      <c r="H52" s="19">
        <f t="shared" si="3"/>
        <v>33.299999999999997</v>
      </c>
      <c r="I52" s="70" t="s">
        <v>315</v>
      </c>
      <c r="J52" s="70" t="s">
        <v>230</v>
      </c>
    </row>
    <row r="53" spans="1:10" x14ac:dyDescent="0.25">
      <c r="A53" s="538"/>
      <c r="B53" s="14" t="s">
        <v>145</v>
      </c>
      <c r="C53" s="15" t="s">
        <v>146</v>
      </c>
      <c r="D53" s="16" t="s">
        <v>60</v>
      </c>
      <c r="E53" s="15">
        <v>1</v>
      </c>
      <c r="F53" s="17">
        <v>2</v>
      </c>
      <c r="G53" s="18">
        <f t="shared" si="2"/>
        <v>40</v>
      </c>
      <c r="H53" s="19">
        <f t="shared" si="3"/>
        <v>33.299999999999997</v>
      </c>
      <c r="I53" s="70" t="s">
        <v>21</v>
      </c>
      <c r="J53" s="70" t="s">
        <v>230</v>
      </c>
    </row>
    <row r="54" spans="1:10" x14ac:dyDescent="0.25">
      <c r="A54" s="538"/>
      <c r="B54" s="14" t="s">
        <v>147</v>
      </c>
      <c r="C54" s="15" t="s">
        <v>148</v>
      </c>
      <c r="D54" s="16" t="s">
        <v>60</v>
      </c>
      <c r="E54" s="15">
        <v>1</v>
      </c>
      <c r="F54" s="17">
        <v>4</v>
      </c>
      <c r="G54" s="18">
        <f t="shared" si="2"/>
        <v>80</v>
      </c>
      <c r="H54" s="19">
        <f t="shared" si="3"/>
        <v>66.7</v>
      </c>
      <c r="I54" s="70" t="s">
        <v>20</v>
      </c>
      <c r="J54" s="70" t="s">
        <v>230</v>
      </c>
    </row>
    <row r="55" spans="1:10" ht="15.75" thickBot="1" x14ac:dyDescent="0.3">
      <c r="A55" s="541"/>
      <c r="B55" s="20" t="s">
        <v>149</v>
      </c>
      <c r="C55" s="21" t="s">
        <v>150</v>
      </c>
      <c r="D55" s="22" t="s">
        <v>57</v>
      </c>
      <c r="E55" s="21">
        <v>2</v>
      </c>
      <c r="F55" s="23">
        <v>2</v>
      </c>
      <c r="G55" s="24">
        <f t="shared" si="2"/>
        <v>40</v>
      </c>
      <c r="H55" s="25">
        <f t="shared" si="3"/>
        <v>33.299999999999997</v>
      </c>
      <c r="I55" s="71" t="s">
        <v>20</v>
      </c>
      <c r="J55" s="71" t="s">
        <v>232</v>
      </c>
    </row>
    <row r="56" spans="1:10" x14ac:dyDescent="0.25">
      <c r="A56" s="537" t="s">
        <v>151</v>
      </c>
      <c r="B56" s="8" t="s">
        <v>152</v>
      </c>
      <c r="C56" s="9" t="s">
        <v>153</v>
      </c>
      <c r="D56" s="10" t="s">
        <v>57</v>
      </c>
      <c r="E56" s="9">
        <v>2</v>
      </c>
      <c r="F56" s="11">
        <v>2</v>
      </c>
      <c r="G56" s="12">
        <f t="shared" si="2"/>
        <v>40</v>
      </c>
      <c r="H56" s="13">
        <f t="shared" si="3"/>
        <v>33.299999999999997</v>
      </c>
      <c r="I56" s="69" t="s">
        <v>20</v>
      </c>
      <c r="J56" s="69" t="s">
        <v>232</v>
      </c>
    </row>
    <row r="57" spans="1:10" x14ac:dyDescent="0.25">
      <c r="A57" s="538"/>
      <c r="B57" s="14" t="s">
        <v>154</v>
      </c>
      <c r="C57" s="15" t="s">
        <v>155</v>
      </c>
      <c r="D57" s="16" t="s">
        <v>60</v>
      </c>
      <c r="E57" s="15">
        <v>1</v>
      </c>
      <c r="F57" s="17">
        <v>4</v>
      </c>
      <c r="G57" s="18">
        <f t="shared" si="2"/>
        <v>80</v>
      </c>
      <c r="H57" s="19">
        <f t="shared" si="3"/>
        <v>66.7</v>
      </c>
      <c r="I57" s="70" t="s">
        <v>20</v>
      </c>
      <c r="J57" s="70" t="s">
        <v>230</v>
      </c>
    </row>
    <row r="58" spans="1:10" x14ac:dyDescent="0.25">
      <c r="A58" s="538"/>
      <c r="B58" s="14" t="s">
        <v>156</v>
      </c>
      <c r="C58" s="15" t="s">
        <v>157</v>
      </c>
      <c r="D58" s="16" t="s">
        <v>60</v>
      </c>
      <c r="E58" s="15">
        <v>1</v>
      </c>
      <c r="F58" s="17">
        <v>2</v>
      </c>
      <c r="G58" s="18">
        <f t="shared" si="2"/>
        <v>40</v>
      </c>
      <c r="H58" s="19">
        <f t="shared" si="3"/>
        <v>33.299999999999997</v>
      </c>
      <c r="I58" s="381" t="s">
        <v>19</v>
      </c>
      <c r="J58" s="70" t="s">
        <v>230</v>
      </c>
    </row>
    <row r="59" spans="1:10" x14ac:dyDescent="0.25">
      <c r="A59" s="538"/>
      <c r="B59" s="14" t="s">
        <v>158</v>
      </c>
      <c r="C59" s="15" t="s">
        <v>159</v>
      </c>
      <c r="D59" s="16" t="s">
        <v>60</v>
      </c>
      <c r="E59" s="15">
        <v>1</v>
      </c>
      <c r="F59" s="17">
        <v>2</v>
      </c>
      <c r="G59" s="18">
        <f t="shared" si="2"/>
        <v>40</v>
      </c>
      <c r="H59" s="19">
        <f t="shared" si="3"/>
        <v>33.299999999999997</v>
      </c>
      <c r="I59" s="70" t="s">
        <v>19</v>
      </c>
      <c r="J59" s="70" t="s">
        <v>230</v>
      </c>
    </row>
    <row r="60" spans="1:10" x14ac:dyDescent="0.25">
      <c r="A60" s="538"/>
      <c r="B60" s="14" t="s">
        <v>160</v>
      </c>
      <c r="C60" s="15" t="s">
        <v>161</v>
      </c>
      <c r="D60" s="16" t="s">
        <v>60</v>
      </c>
      <c r="E60" s="15">
        <v>1</v>
      </c>
      <c r="F60" s="17">
        <v>2</v>
      </c>
      <c r="G60" s="18">
        <f t="shared" si="2"/>
        <v>40</v>
      </c>
      <c r="H60" s="19">
        <f t="shared" si="3"/>
        <v>33.299999999999997</v>
      </c>
      <c r="I60" s="70" t="s">
        <v>21</v>
      </c>
      <c r="J60" s="70" t="s">
        <v>230</v>
      </c>
    </row>
    <row r="61" spans="1:10" x14ac:dyDescent="0.25">
      <c r="A61" s="538"/>
      <c r="B61" s="14" t="s">
        <v>162</v>
      </c>
      <c r="C61" s="15" t="s">
        <v>163</v>
      </c>
      <c r="D61" s="16" t="s">
        <v>60</v>
      </c>
      <c r="E61" s="15">
        <v>1</v>
      </c>
      <c r="F61" s="17">
        <v>2</v>
      </c>
      <c r="G61" s="18">
        <f t="shared" si="2"/>
        <v>40</v>
      </c>
      <c r="H61" s="19">
        <f t="shared" si="3"/>
        <v>33.299999999999997</v>
      </c>
      <c r="I61" s="70" t="s">
        <v>315</v>
      </c>
      <c r="J61" s="70" t="s">
        <v>230</v>
      </c>
    </row>
    <row r="62" spans="1:10" x14ac:dyDescent="0.25">
      <c r="A62" s="538"/>
      <c r="B62" s="14" t="s">
        <v>164</v>
      </c>
      <c r="C62" s="15" t="s">
        <v>165</v>
      </c>
      <c r="D62" s="16" t="s">
        <v>57</v>
      </c>
      <c r="E62" s="15">
        <v>2</v>
      </c>
      <c r="F62" s="17">
        <v>2</v>
      </c>
      <c r="G62" s="18">
        <f t="shared" si="2"/>
        <v>40</v>
      </c>
      <c r="H62" s="19">
        <f t="shared" si="3"/>
        <v>33.299999999999997</v>
      </c>
      <c r="I62" s="70" t="s">
        <v>20</v>
      </c>
      <c r="J62" s="70" t="s">
        <v>232</v>
      </c>
    </row>
    <row r="63" spans="1:10" ht="15.75" thickBot="1" x14ac:dyDescent="0.3">
      <c r="A63" s="541"/>
      <c r="B63" s="20" t="s">
        <v>166</v>
      </c>
      <c r="C63" s="21" t="s">
        <v>167</v>
      </c>
      <c r="D63" s="22" t="s">
        <v>54</v>
      </c>
      <c r="E63" s="21">
        <v>1</v>
      </c>
      <c r="F63" s="23">
        <v>4</v>
      </c>
      <c r="G63" s="24">
        <f t="shared" si="2"/>
        <v>80</v>
      </c>
      <c r="H63" s="25">
        <f t="shared" si="3"/>
        <v>66.7</v>
      </c>
      <c r="I63" s="71" t="s">
        <v>20</v>
      </c>
      <c r="J63" s="71" t="s">
        <v>233</v>
      </c>
    </row>
    <row r="64" spans="1:10" x14ac:dyDescent="0.25">
      <c r="A64" s="537" t="s">
        <v>168</v>
      </c>
      <c r="B64" s="8" t="s">
        <v>169</v>
      </c>
      <c r="C64" s="9" t="s">
        <v>170</v>
      </c>
      <c r="D64" s="10" t="s">
        <v>60</v>
      </c>
      <c r="E64" s="9">
        <v>1</v>
      </c>
      <c r="F64" s="11">
        <v>4</v>
      </c>
      <c r="G64" s="12">
        <f t="shared" si="2"/>
        <v>80</v>
      </c>
      <c r="H64" s="13">
        <f t="shared" si="3"/>
        <v>66.7</v>
      </c>
      <c r="I64" s="69" t="s">
        <v>19</v>
      </c>
      <c r="J64" s="69" t="s">
        <v>230</v>
      </c>
    </row>
    <row r="65" spans="1:10" x14ac:dyDescent="0.25">
      <c r="A65" s="538"/>
      <c r="B65" s="14" t="s">
        <v>171</v>
      </c>
      <c r="C65" s="15" t="s">
        <v>172</v>
      </c>
      <c r="D65" s="16" t="s">
        <v>54</v>
      </c>
      <c r="E65" s="15">
        <v>2</v>
      </c>
      <c r="F65" s="17">
        <v>4</v>
      </c>
      <c r="G65" s="18">
        <f t="shared" si="2"/>
        <v>80</v>
      </c>
      <c r="H65" s="19">
        <f t="shared" si="3"/>
        <v>66.7</v>
      </c>
      <c r="I65" s="70" t="s">
        <v>20</v>
      </c>
      <c r="J65" s="70" t="s">
        <v>232</v>
      </c>
    </row>
    <row r="66" spans="1:10" ht="28.5" x14ac:dyDescent="0.25">
      <c r="A66" s="538"/>
      <c r="B66" s="14" t="s">
        <v>173</v>
      </c>
      <c r="C66" s="15" t="s">
        <v>174</v>
      </c>
      <c r="D66" s="16" t="s">
        <v>60</v>
      </c>
      <c r="E66" s="15">
        <v>1</v>
      </c>
      <c r="F66" s="17">
        <v>2</v>
      </c>
      <c r="G66" s="18">
        <f t="shared" si="2"/>
        <v>40</v>
      </c>
      <c r="H66" s="19">
        <f t="shared" si="3"/>
        <v>33.299999999999997</v>
      </c>
      <c r="I66" s="70" t="s">
        <v>20</v>
      </c>
      <c r="J66" s="70" t="s">
        <v>230</v>
      </c>
    </row>
    <row r="67" spans="1:10" x14ac:dyDescent="0.25">
      <c r="A67" s="538"/>
      <c r="B67" s="14" t="s">
        <v>175</v>
      </c>
      <c r="C67" s="15" t="s">
        <v>176</v>
      </c>
      <c r="D67" s="16" t="s">
        <v>57</v>
      </c>
      <c r="E67" s="15">
        <v>2</v>
      </c>
      <c r="F67" s="17">
        <v>2</v>
      </c>
      <c r="G67" s="18">
        <f t="shared" si="2"/>
        <v>40</v>
      </c>
      <c r="H67" s="19">
        <f t="shared" si="3"/>
        <v>33.299999999999997</v>
      </c>
      <c r="I67" s="70" t="s">
        <v>20</v>
      </c>
      <c r="J67" s="70" t="s">
        <v>233</v>
      </c>
    </row>
    <row r="68" spans="1:10" ht="28.5" x14ac:dyDescent="0.25">
      <c r="A68" s="538"/>
      <c r="B68" s="14" t="s">
        <v>177</v>
      </c>
      <c r="C68" s="15" t="s">
        <v>178</v>
      </c>
      <c r="D68" s="16" t="s">
        <v>60</v>
      </c>
      <c r="E68" s="15">
        <v>1</v>
      </c>
      <c r="F68" s="17">
        <v>2</v>
      </c>
      <c r="G68" s="18">
        <f t="shared" si="2"/>
        <v>40</v>
      </c>
      <c r="H68" s="19">
        <f t="shared" si="3"/>
        <v>33.299999999999997</v>
      </c>
      <c r="I68" s="73" t="s">
        <v>10</v>
      </c>
      <c r="J68" s="73" t="s">
        <v>230</v>
      </c>
    </row>
    <row r="69" spans="1:10" x14ac:dyDescent="0.25">
      <c r="A69" s="538"/>
      <c r="B69" s="14" t="s">
        <v>1211</v>
      </c>
      <c r="C69" s="15" t="s">
        <v>179</v>
      </c>
      <c r="D69" s="16" t="s">
        <v>60</v>
      </c>
      <c r="E69" s="15">
        <v>1</v>
      </c>
      <c r="F69" s="17">
        <v>2</v>
      </c>
      <c r="G69" s="18">
        <f t="shared" si="2"/>
        <v>40</v>
      </c>
      <c r="H69" s="19">
        <f t="shared" si="3"/>
        <v>33.299999999999997</v>
      </c>
      <c r="I69" s="70" t="s">
        <v>19</v>
      </c>
      <c r="J69" s="70" t="s">
        <v>230</v>
      </c>
    </row>
    <row r="70" spans="1:10" x14ac:dyDescent="0.25">
      <c r="A70" s="538"/>
      <c r="B70" s="14" t="s">
        <v>180</v>
      </c>
      <c r="C70" s="15" t="s">
        <v>181</v>
      </c>
      <c r="D70" s="16" t="s">
        <v>60</v>
      </c>
      <c r="E70" s="15">
        <v>1</v>
      </c>
      <c r="F70" s="17">
        <v>2</v>
      </c>
      <c r="G70" s="18">
        <f t="shared" si="2"/>
        <v>40</v>
      </c>
      <c r="H70" s="19">
        <f t="shared" si="3"/>
        <v>33.299999999999997</v>
      </c>
      <c r="I70" s="70" t="s">
        <v>19</v>
      </c>
      <c r="J70" s="70" t="s">
        <v>230</v>
      </c>
    </row>
    <row r="71" spans="1:10" ht="15.75" thickBot="1" x14ac:dyDescent="0.3">
      <c r="A71" s="541"/>
      <c r="B71" s="20" t="s">
        <v>182</v>
      </c>
      <c r="C71" s="21" t="s">
        <v>183</v>
      </c>
      <c r="D71" s="22" t="s">
        <v>60</v>
      </c>
      <c r="E71" s="21">
        <v>1</v>
      </c>
      <c r="F71" s="23">
        <v>4</v>
      </c>
      <c r="G71" s="24">
        <f t="shared" si="2"/>
        <v>80</v>
      </c>
      <c r="H71" s="25">
        <f t="shared" si="3"/>
        <v>66.7</v>
      </c>
      <c r="I71" s="71" t="s">
        <v>19</v>
      </c>
      <c r="J71" s="71" t="s">
        <v>230</v>
      </c>
    </row>
    <row r="72" spans="1:10" x14ac:dyDescent="0.25">
      <c r="A72" s="537" t="s">
        <v>184</v>
      </c>
      <c r="B72" s="8" t="s">
        <v>185</v>
      </c>
      <c r="C72" s="9" t="s">
        <v>186</v>
      </c>
      <c r="D72" s="10" t="s">
        <v>60</v>
      </c>
      <c r="E72" s="9">
        <v>1</v>
      </c>
      <c r="F72" s="11">
        <v>4</v>
      </c>
      <c r="G72" s="12">
        <f t="shared" ref="G72:G84" si="4">$E$93*F72</f>
        <v>80</v>
      </c>
      <c r="H72" s="13">
        <f t="shared" ref="H72:H84" si="5">ROUND(G72*$C$93/60,1)</f>
        <v>66.7</v>
      </c>
      <c r="I72" s="69" t="s">
        <v>20</v>
      </c>
      <c r="J72" s="69" t="s">
        <v>230</v>
      </c>
    </row>
    <row r="73" spans="1:10" x14ac:dyDescent="0.25">
      <c r="A73" s="538"/>
      <c r="B73" s="14" t="s">
        <v>187</v>
      </c>
      <c r="C73" s="15" t="s">
        <v>188</v>
      </c>
      <c r="D73" s="16" t="s">
        <v>60</v>
      </c>
      <c r="E73" s="15">
        <v>1</v>
      </c>
      <c r="F73" s="17">
        <v>2</v>
      </c>
      <c r="G73" s="18">
        <f t="shared" si="4"/>
        <v>40</v>
      </c>
      <c r="H73" s="19">
        <f t="shared" si="5"/>
        <v>33.299999999999997</v>
      </c>
      <c r="I73" s="70" t="s">
        <v>19</v>
      </c>
      <c r="J73" s="70" t="s">
        <v>230</v>
      </c>
    </row>
    <row r="74" spans="1:10" x14ac:dyDescent="0.25">
      <c r="A74" s="538"/>
      <c r="B74" s="14" t="s">
        <v>1212</v>
      </c>
      <c r="C74" s="15" t="s">
        <v>189</v>
      </c>
      <c r="D74" s="16" t="s">
        <v>60</v>
      </c>
      <c r="E74" s="15">
        <v>1</v>
      </c>
      <c r="F74" s="17">
        <v>2</v>
      </c>
      <c r="G74" s="18">
        <f t="shared" si="4"/>
        <v>40</v>
      </c>
      <c r="H74" s="19">
        <f t="shared" si="5"/>
        <v>33.299999999999997</v>
      </c>
      <c r="I74" s="381" t="s">
        <v>19</v>
      </c>
      <c r="J74" s="70" t="s">
        <v>230</v>
      </c>
    </row>
    <row r="75" spans="1:10" x14ac:dyDescent="0.25">
      <c r="A75" s="538"/>
      <c r="B75" s="14" t="s">
        <v>190</v>
      </c>
      <c r="C75" s="15" t="s">
        <v>191</v>
      </c>
      <c r="D75" s="16" t="s">
        <v>57</v>
      </c>
      <c r="E75" s="15">
        <v>2</v>
      </c>
      <c r="F75" s="17">
        <v>2</v>
      </c>
      <c r="G75" s="18">
        <f t="shared" si="4"/>
        <v>40</v>
      </c>
      <c r="H75" s="19">
        <f t="shared" si="5"/>
        <v>33.299999999999997</v>
      </c>
      <c r="I75" s="70" t="s">
        <v>20</v>
      </c>
      <c r="J75" s="70" t="s">
        <v>231</v>
      </c>
    </row>
    <row r="76" spans="1:10" x14ac:dyDescent="0.25">
      <c r="A76" s="538"/>
      <c r="B76" s="14" t="s">
        <v>192</v>
      </c>
      <c r="C76" s="15" t="s">
        <v>193</v>
      </c>
      <c r="D76" s="16" t="s">
        <v>54</v>
      </c>
      <c r="E76" s="15">
        <v>1</v>
      </c>
      <c r="F76" s="17">
        <v>4</v>
      </c>
      <c r="G76" s="18">
        <f t="shared" si="4"/>
        <v>80</v>
      </c>
      <c r="H76" s="19">
        <f t="shared" si="5"/>
        <v>66.7</v>
      </c>
      <c r="I76" s="70" t="s">
        <v>20</v>
      </c>
      <c r="J76" s="70" t="s">
        <v>230</v>
      </c>
    </row>
    <row r="77" spans="1:10" ht="15.75" thickBot="1" x14ac:dyDescent="0.3">
      <c r="A77" s="541"/>
      <c r="B77" s="20" t="s">
        <v>194</v>
      </c>
      <c r="C77" s="21" t="s">
        <v>195</v>
      </c>
      <c r="D77" s="22" t="s">
        <v>57</v>
      </c>
      <c r="E77" s="21">
        <v>2</v>
      </c>
      <c r="F77" s="23">
        <v>2</v>
      </c>
      <c r="G77" s="24">
        <f t="shared" si="4"/>
        <v>40</v>
      </c>
      <c r="H77" s="25">
        <f t="shared" si="5"/>
        <v>33.299999999999997</v>
      </c>
      <c r="I77" s="71" t="s">
        <v>19</v>
      </c>
      <c r="J77" s="71" t="s">
        <v>232</v>
      </c>
    </row>
    <row r="78" spans="1:10" x14ac:dyDescent="0.25">
      <c r="A78" s="537" t="s">
        <v>196</v>
      </c>
      <c r="B78" s="8" t="s">
        <v>197</v>
      </c>
      <c r="C78" s="9" t="s">
        <v>198</v>
      </c>
      <c r="D78" s="10" t="s">
        <v>60</v>
      </c>
      <c r="E78" s="9">
        <v>1</v>
      </c>
      <c r="F78" s="11">
        <v>4</v>
      </c>
      <c r="G78" s="12">
        <f t="shared" si="4"/>
        <v>80</v>
      </c>
      <c r="H78" s="13">
        <f t="shared" si="5"/>
        <v>66.7</v>
      </c>
      <c r="I78" s="69" t="s">
        <v>20</v>
      </c>
      <c r="J78" s="74" t="s">
        <v>230</v>
      </c>
    </row>
    <row r="79" spans="1:10" x14ac:dyDescent="0.25">
      <c r="A79" s="540"/>
      <c r="B79" s="14" t="s">
        <v>199</v>
      </c>
      <c r="C79" s="15" t="s">
        <v>200</v>
      </c>
      <c r="D79" s="16" t="s">
        <v>60</v>
      </c>
      <c r="E79" s="15">
        <v>1</v>
      </c>
      <c r="F79" s="17">
        <v>2</v>
      </c>
      <c r="G79" s="18">
        <f t="shared" si="4"/>
        <v>40</v>
      </c>
      <c r="H79" s="19">
        <f t="shared" si="5"/>
        <v>33.299999999999997</v>
      </c>
      <c r="I79" s="70" t="s">
        <v>20</v>
      </c>
      <c r="J79" s="70" t="s">
        <v>230</v>
      </c>
    </row>
    <row r="80" spans="1:10" x14ac:dyDescent="0.25">
      <c r="A80" s="538"/>
      <c r="B80" s="14" t="s">
        <v>201</v>
      </c>
      <c r="C80" s="15" t="s">
        <v>202</v>
      </c>
      <c r="D80" s="16" t="s">
        <v>60</v>
      </c>
      <c r="E80" s="15">
        <v>1</v>
      </c>
      <c r="F80" s="17">
        <v>2</v>
      </c>
      <c r="G80" s="18">
        <f t="shared" si="4"/>
        <v>40</v>
      </c>
      <c r="H80" s="19">
        <f t="shared" si="5"/>
        <v>33.299999999999997</v>
      </c>
      <c r="I80" s="70" t="s">
        <v>19</v>
      </c>
      <c r="J80" s="70" t="s">
        <v>230</v>
      </c>
    </row>
    <row r="81" spans="1:10" x14ac:dyDescent="0.25">
      <c r="A81" s="538"/>
      <c r="B81" s="14" t="s">
        <v>203</v>
      </c>
      <c r="C81" s="15" t="s">
        <v>204</v>
      </c>
      <c r="D81" s="15" t="s">
        <v>60</v>
      </c>
      <c r="E81" s="15">
        <v>1</v>
      </c>
      <c r="F81" s="17">
        <v>2</v>
      </c>
      <c r="G81" s="18">
        <f t="shared" si="4"/>
        <v>40</v>
      </c>
      <c r="H81" s="19">
        <f t="shared" si="5"/>
        <v>33.299999999999997</v>
      </c>
      <c r="I81" s="70" t="s">
        <v>19</v>
      </c>
      <c r="J81" s="70" t="s">
        <v>230</v>
      </c>
    </row>
    <row r="82" spans="1:10" x14ac:dyDescent="0.25">
      <c r="A82" s="538"/>
      <c r="B82" s="14" t="s">
        <v>205</v>
      </c>
      <c r="C82" s="15" t="s">
        <v>206</v>
      </c>
      <c r="D82" s="15" t="s">
        <v>54</v>
      </c>
      <c r="E82" s="15">
        <v>2</v>
      </c>
      <c r="F82" s="17">
        <v>2</v>
      </c>
      <c r="G82" s="18">
        <f t="shared" si="4"/>
        <v>40</v>
      </c>
      <c r="H82" s="19">
        <f t="shared" si="5"/>
        <v>33.299999999999997</v>
      </c>
      <c r="I82" s="70" t="s">
        <v>19</v>
      </c>
      <c r="J82" s="70" t="s">
        <v>230</v>
      </c>
    </row>
    <row r="83" spans="1:10" ht="28.5" x14ac:dyDescent="0.25">
      <c r="A83" s="538"/>
      <c r="B83" s="14" t="s">
        <v>207</v>
      </c>
      <c r="C83" s="15" t="s">
        <v>208</v>
      </c>
      <c r="D83" s="15" t="s">
        <v>54</v>
      </c>
      <c r="E83" s="15">
        <v>2</v>
      </c>
      <c r="F83" s="17">
        <v>2</v>
      </c>
      <c r="G83" s="18">
        <f t="shared" si="4"/>
        <v>40</v>
      </c>
      <c r="H83" s="19">
        <f t="shared" si="5"/>
        <v>33.299999999999997</v>
      </c>
      <c r="I83" s="70" t="s">
        <v>20</v>
      </c>
      <c r="J83" s="70" t="s">
        <v>231</v>
      </c>
    </row>
    <row r="84" spans="1:10" ht="15.75" thickBot="1" x14ac:dyDescent="0.3">
      <c r="A84" s="541"/>
      <c r="B84" s="20" t="s">
        <v>209</v>
      </c>
      <c r="C84" s="21" t="s">
        <v>210</v>
      </c>
      <c r="D84" s="21" t="s">
        <v>60</v>
      </c>
      <c r="E84" s="21">
        <v>1</v>
      </c>
      <c r="F84" s="23">
        <v>2</v>
      </c>
      <c r="G84" s="24">
        <f t="shared" si="4"/>
        <v>40</v>
      </c>
      <c r="H84" s="25">
        <f t="shared" si="5"/>
        <v>33.299999999999997</v>
      </c>
      <c r="I84" s="71" t="s">
        <v>19</v>
      </c>
      <c r="J84" s="71" t="s">
        <v>230</v>
      </c>
    </row>
    <row r="85" spans="1:10" ht="15.75" thickBot="1" x14ac:dyDescent="0.3">
      <c r="A85" s="546" t="s">
        <v>211</v>
      </c>
      <c r="B85" s="546"/>
      <c r="C85" s="546"/>
      <c r="D85" s="546"/>
      <c r="E85" s="546"/>
      <c r="F85" s="546"/>
      <c r="G85" s="26">
        <f>SUM(G9:G84)</f>
        <v>4260</v>
      </c>
      <c r="H85" s="26"/>
    </row>
    <row r="86" spans="1:10" ht="15.75" thickBot="1" x14ac:dyDescent="0.3">
      <c r="A86" s="546" t="s">
        <v>212</v>
      </c>
      <c r="B86" s="546"/>
      <c r="C86" s="546"/>
      <c r="D86" s="546"/>
      <c r="E86" s="546"/>
      <c r="F86" s="546"/>
      <c r="G86" s="546"/>
      <c r="H86" s="27">
        <f>SUM(H9:H84)</f>
        <v>3549.3000000000029</v>
      </c>
    </row>
    <row r="87" spans="1:10" ht="15.75" thickBot="1" x14ac:dyDescent="0.3">
      <c r="A87" s="546" t="s">
        <v>213</v>
      </c>
      <c r="B87" s="546"/>
      <c r="C87" s="546"/>
      <c r="D87" s="546"/>
      <c r="E87" s="546"/>
      <c r="F87" s="546"/>
      <c r="G87" s="546"/>
      <c r="H87" s="26">
        <v>100</v>
      </c>
    </row>
    <row r="88" spans="1:10" ht="15.75" thickBot="1" x14ac:dyDescent="0.3">
      <c r="A88" s="547" t="s">
        <v>214</v>
      </c>
      <c r="B88" s="547"/>
      <c r="C88" s="547"/>
      <c r="D88" s="547"/>
      <c r="E88" s="547"/>
      <c r="F88" s="547"/>
      <c r="G88" s="547"/>
      <c r="H88" s="26">
        <v>160</v>
      </c>
    </row>
    <row r="89" spans="1:10" ht="15.75" thickBot="1" x14ac:dyDescent="0.3">
      <c r="A89" s="545" t="s">
        <v>215</v>
      </c>
      <c r="B89" s="545"/>
      <c r="C89" s="545"/>
      <c r="D89" s="545"/>
      <c r="E89" s="545"/>
      <c r="F89" s="545"/>
      <c r="G89" s="545"/>
      <c r="H89" s="27">
        <f>SUM(H86:H88)</f>
        <v>3809.3000000000029</v>
      </c>
    </row>
    <row r="90" spans="1:10" ht="15.75" thickBot="1" x14ac:dyDescent="0.3">
      <c r="A90" s="546" t="s">
        <v>216</v>
      </c>
      <c r="B90" s="546"/>
      <c r="C90" s="26" t="s">
        <v>217</v>
      </c>
      <c r="D90" s="26" t="s">
        <v>54</v>
      </c>
      <c r="E90" s="26">
        <v>1</v>
      </c>
      <c r="F90" s="26">
        <v>2</v>
      </c>
      <c r="G90" s="28">
        <f>$E$93*F90</f>
        <v>40</v>
      </c>
      <c r="H90" s="29">
        <f>ROUND(G90*$C$93/60,)</f>
        <v>33</v>
      </c>
    </row>
    <row r="91" spans="1:10" ht="15.75" thickBot="1" x14ac:dyDescent="0.3">
      <c r="A91" s="546" t="s">
        <v>218</v>
      </c>
      <c r="B91" s="546"/>
      <c r="C91" s="26"/>
      <c r="D91" s="26"/>
      <c r="E91" s="26"/>
      <c r="F91" s="26"/>
      <c r="G91" s="26"/>
      <c r="H91" s="28">
        <v>100</v>
      </c>
    </row>
    <row r="92" spans="1:10" ht="15.75" thickBot="1" x14ac:dyDescent="0.3">
      <c r="A92" s="545" t="s">
        <v>219</v>
      </c>
      <c r="B92" s="545"/>
      <c r="C92" s="545"/>
      <c r="D92" s="545"/>
      <c r="E92" s="545"/>
      <c r="F92" s="545"/>
      <c r="G92" s="545"/>
      <c r="H92" s="27">
        <f>SUM(H89:H91)</f>
        <v>3942.3000000000029</v>
      </c>
    </row>
    <row r="93" spans="1:10" ht="15.75" thickBot="1" x14ac:dyDescent="0.3">
      <c r="A93" s="30"/>
      <c r="B93" s="31" t="s">
        <v>220</v>
      </c>
      <c r="C93" s="32">
        <v>50</v>
      </c>
      <c r="D93" s="33" t="s">
        <v>221</v>
      </c>
      <c r="E93" s="32">
        <v>20</v>
      </c>
      <c r="F93" s="33" t="s">
        <v>222</v>
      </c>
      <c r="G93" s="33"/>
      <c r="H93" s="34"/>
    </row>
    <row r="97" spans="5:5" x14ac:dyDescent="0.25">
      <c r="E97" s="219">
        <f>SUMPRODUCT(H5:H84,E5:E84)/H86</f>
        <v>1.3098639168286703</v>
      </c>
    </row>
  </sheetData>
  <mergeCells count="28">
    <mergeCell ref="A1:F1"/>
    <mergeCell ref="G1:H5"/>
    <mergeCell ref="A2:F2"/>
    <mergeCell ref="A3:F3"/>
    <mergeCell ref="A4:F4"/>
    <mergeCell ref="A5:F5"/>
    <mergeCell ref="A64:A71"/>
    <mergeCell ref="G6:H6"/>
    <mergeCell ref="A7:D7"/>
    <mergeCell ref="E7:F7"/>
    <mergeCell ref="G7:H7"/>
    <mergeCell ref="A9:A15"/>
    <mergeCell ref="A16:A24"/>
    <mergeCell ref="A25:A31"/>
    <mergeCell ref="A39:A46"/>
    <mergeCell ref="A47:A55"/>
    <mergeCell ref="A56:A63"/>
    <mergeCell ref="A32:A38"/>
    <mergeCell ref="A89:G89"/>
    <mergeCell ref="A90:B90"/>
    <mergeCell ref="A91:B91"/>
    <mergeCell ref="A92:G92"/>
    <mergeCell ref="A72:A77"/>
    <mergeCell ref="A78:A84"/>
    <mergeCell ref="A85:F85"/>
    <mergeCell ref="A86:G86"/>
    <mergeCell ref="A87:G87"/>
    <mergeCell ref="A88:G88"/>
  </mergeCells>
  <dataValidations count="2">
    <dataValidation type="list" allowBlank="1" showInputMessage="1" showErrorMessage="1" sqref="J9:J93" xr:uid="{00000000-0002-0000-0B00-000000000000}">
      <formula1>Ambientes</formula1>
    </dataValidation>
    <dataValidation type="list" allowBlank="1" showInputMessage="1" showErrorMessage="1" sqref="I9:I84" xr:uid="{00000000-0002-0000-0B00-000001000000}">
      <formula1>Áreas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25">
    <tabColor theme="9" tint="-0.249977111117893"/>
  </sheetPr>
  <dimension ref="A1:J37"/>
  <sheetViews>
    <sheetView topLeftCell="A7" workbookViewId="0">
      <selection activeCell="I36" sqref="I36"/>
    </sheetView>
  </sheetViews>
  <sheetFormatPr defaultColWidth="9.140625" defaultRowHeight="15" x14ac:dyDescent="0.25"/>
  <cols>
    <col min="2" max="2" width="43.28515625" bestFit="1" customWidth="1"/>
    <col min="9" max="9" width="40.85546875" bestFit="1" customWidth="1"/>
    <col min="10" max="10" width="35.140625" bestFit="1" customWidth="1"/>
  </cols>
  <sheetData>
    <row r="1" spans="1:10" x14ac:dyDescent="0.25">
      <c r="A1" s="36"/>
      <c r="B1" s="36"/>
      <c r="C1" s="36" t="s">
        <v>1027</v>
      </c>
      <c r="D1" s="36"/>
      <c r="E1" s="36"/>
      <c r="F1" s="36"/>
      <c r="G1" s="36"/>
      <c r="H1" s="36"/>
      <c r="I1" s="36"/>
    </row>
    <row r="2" spans="1:10" ht="15.75" x14ac:dyDescent="0.25">
      <c r="A2" s="513" t="s">
        <v>485</v>
      </c>
      <c r="B2" s="513"/>
      <c r="C2" s="513"/>
      <c r="D2" s="37" t="s">
        <v>237</v>
      </c>
      <c r="E2" s="38"/>
      <c r="F2" s="38">
        <v>20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318</v>
      </c>
      <c r="B5" s="40" t="s">
        <v>266</v>
      </c>
      <c r="C5" s="41" t="s">
        <v>536</v>
      </c>
      <c r="D5" s="42" t="s">
        <v>60</v>
      </c>
      <c r="E5" s="43">
        <v>1</v>
      </c>
      <c r="F5" s="42">
        <v>4</v>
      </c>
      <c r="G5" s="44">
        <f t="shared" ref="G5:G31" si="0">SUM(F5:F5)*$F$2</f>
        <v>80</v>
      </c>
      <c r="H5" s="45">
        <f>(G5)*$C$37/60</f>
        <v>66.666666666666671</v>
      </c>
      <c r="I5" s="47" t="s">
        <v>19</v>
      </c>
      <c r="J5" s="46" t="s">
        <v>251</v>
      </c>
    </row>
    <row r="6" spans="1:10" x14ac:dyDescent="0.25">
      <c r="A6" s="504"/>
      <c r="B6" s="40" t="s">
        <v>319</v>
      </c>
      <c r="C6" s="41" t="s">
        <v>537</v>
      </c>
      <c r="D6" s="42" t="s">
        <v>60</v>
      </c>
      <c r="E6" s="43">
        <v>1</v>
      </c>
      <c r="F6" s="42">
        <v>2</v>
      </c>
      <c r="G6" s="44">
        <f t="shared" si="0"/>
        <v>40</v>
      </c>
      <c r="H6" s="45">
        <f t="shared" ref="H6:H31" si="1">(G6)*$C$37/60</f>
        <v>33.333333333333336</v>
      </c>
      <c r="I6" s="47" t="s">
        <v>14</v>
      </c>
      <c r="J6" s="46" t="s">
        <v>251</v>
      </c>
    </row>
    <row r="7" spans="1:10" x14ac:dyDescent="0.25">
      <c r="A7" s="504"/>
      <c r="B7" s="40" t="s">
        <v>488</v>
      </c>
      <c r="C7" s="41" t="s">
        <v>538</v>
      </c>
      <c r="D7" s="42" t="s">
        <v>54</v>
      </c>
      <c r="E7" s="43">
        <v>2</v>
      </c>
      <c r="F7" s="42">
        <v>2</v>
      </c>
      <c r="G7" s="44">
        <f t="shared" si="0"/>
        <v>40</v>
      </c>
      <c r="H7" s="45">
        <f t="shared" si="1"/>
        <v>33.333333333333336</v>
      </c>
      <c r="I7" s="47" t="s">
        <v>19</v>
      </c>
      <c r="J7" s="46" t="s">
        <v>232</v>
      </c>
    </row>
    <row r="8" spans="1:10" x14ac:dyDescent="0.25">
      <c r="A8" s="504"/>
      <c r="B8" s="40" t="s">
        <v>490</v>
      </c>
      <c r="C8" s="41" t="s">
        <v>539</v>
      </c>
      <c r="D8" s="42" t="s">
        <v>54</v>
      </c>
      <c r="E8" s="43">
        <v>1</v>
      </c>
      <c r="F8" s="42">
        <v>4</v>
      </c>
      <c r="G8" s="44">
        <f t="shared" si="0"/>
        <v>80</v>
      </c>
      <c r="H8" s="45">
        <f t="shared" si="1"/>
        <v>66.666666666666671</v>
      </c>
      <c r="I8" s="47" t="s">
        <v>19</v>
      </c>
      <c r="J8" s="46" t="s">
        <v>251</v>
      </c>
    </row>
    <row r="9" spans="1:10" x14ac:dyDescent="0.25">
      <c r="A9" s="504"/>
      <c r="B9" s="40" t="s">
        <v>492</v>
      </c>
      <c r="C9" s="41" t="s">
        <v>540</v>
      </c>
      <c r="D9" s="42" t="s">
        <v>60</v>
      </c>
      <c r="E9" s="43">
        <v>1</v>
      </c>
      <c r="F9" s="42">
        <v>4</v>
      </c>
      <c r="G9" s="44">
        <f t="shared" si="0"/>
        <v>80</v>
      </c>
      <c r="H9" s="45">
        <f t="shared" si="1"/>
        <v>66.666666666666671</v>
      </c>
      <c r="I9" s="47" t="s">
        <v>19</v>
      </c>
      <c r="J9" s="46" t="s">
        <v>251</v>
      </c>
    </row>
    <row r="10" spans="1:10" x14ac:dyDescent="0.25">
      <c r="A10" s="504"/>
      <c r="B10" s="40" t="s">
        <v>494</v>
      </c>
      <c r="C10" s="41" t="s">
        <v>541</v>
      </c>
      <c r="D10" s="42" t="s">
        <v>60</v>
      </c>
      <c r="E10" s="43">
        <v>1</v>
      </c>
      <c r="F10" s="42">
        <v>2</v>
      </c>
      <c r="G10" s="44">
        <f t="shared" si="0"/>
        <v>40</v>
      </c>
      <c r="H10" s="45">
        <f t="shared" si="1"/>
        <v>33.333333333333336</v>
      </c>
      <c r="I10" s="47" t="s">
        <v>19</v>
      </c>
      <c r="J10" s="46" t="s">
        <v>251</v>
      </c>
    </row>
    <row r="11" spans="1:10" x14ac:dyDescent="0.25">
      <c r="A11" s="504"/>
      <c r="B11" s="40" t="s">
        <v>542</v>
      </c>
      <c r="C11" s="41" t="s">
        <v>543</v>
      </c>
      <c r="D11" s="42" t="s">
        <v>54</v>
      </c>
      <c r="E11" s="43">
        <v>2</v>
      </c>
      <c r="F11" s="42">
        <v>2</v>
      </c>
      <c r="G11" s="44">
        <f t="shared" si="0"/>
        <v>40</v>
      </c>
      <c r="H11" s="45">
        <f t="shared" si="1"/>
        <v>33.333333333333336</v>
      </c>
      <c r="I11" s="47" t="s">
        <v>1213</v>
      </c>
      <c r="J11" s="46" t="s">
        <v>231</v>
      </c>
    </row>
    <row r="12" spans="1:10" x14ac:dyDescent="0.25">
      <c r="A12" s="504" t="s">
        <v>321</v>
      </c>
      <c r="B12" s="40" t="s">
        <v>499</v>
      </c>
      <c r="C12" s="41" t="s">
        <v>544</v>
      </c>
      <c r="D12" s="42" t="s">
        <v>54</v>
      </c>
      <c r="E12" s="43">
        <v>2</v>
      </c>
      <c r="F12" s="43">
        <v>2</v>
      </c>
      <c r="G12" s="44">
        <f t="shared" si="0"/>
        <v>40</v>
      </c>
      <c r="H12" s="45">
        <f t="shared" si="1"/>
        <v>33.333333333333336</v>
      </c>
      <c r="I12" s="47" t="s">
        <v>19</v>
      </c>
      <c r="J12" s="46" t="s">
        <v>232</v>
      </c>
    </row>
    <row r="13" spans="1:10" x14ac:dyDescent="0.25">
      <c r="A13" s="504"/>
      <c r="B13" s="40" t="s">
        <v>545</v>
      </c>
      <c r="C13" s="48" t="s">
        <v>546</v>
      </c>
      <c r="D13" s="42" t="s">
        <v>54</v>
      </c>
      <c r="E13" s="42">
        <v>2</v>
      </c>
      <c r="F13" s="43">
        <v>4</v>
      </c>
      <c r="G13" s="44">
        <f t="shared" si="0"/>
        <v>80</v>
      </c>
      <c r="H13" s="45">
        <f t="shared" si="1"/>
        <v>66.666666666666671</v>
      </c>
      <c r="I13" s="47" t="s">
        <v>19</v>
      </c>
      <c r="J13" s="46" t="s">
        <v>232</v>
      </c>
    </row>
    <row r="14" spans="1:10" x14ac:dyDescent="0.25">
      <c r="A14" s="504"/>
      <c r="B14" s="40" t="s">
        <v>277</v>
      </c>
      <c r="C14" s="48" t="s">
        <v>547</v>
      </c>
      <c r="D14" s="42" t="s">
        <v>54</v>
      </c>
      <c r="E14" s="42">
        <v>1</v>
      </c>
      <c r="F14" s="43">
        <v>4</v>
      </c>
      <c r="G14" s="44">
        <f t="shared" si="0"/>
        <v>80</v>
      </c>
      <c r="H14" s="45">
        <f t="shared" si="1"/>
        <v>66.666666666666671</v>
      </c>
      <c r="I14" s="47" t="s">
        <v>19</v>
      </c>
      <c r="J14" s="46" t="s">
        <v>232</v>
      </c>
    </row>
    <row r="15" spans="1:10" x14ac:dyDescent="0.25">
      <c r="A15" s="504"/>
      <c r="B15" s="40" t="s">
        <v>504</v>
      </c>
      <c r="C15" s="48" t="s">
        <v>548</v>
      </c>
      <c r="D15" s="42" t="s">
        <v>57</v>
      </c>
      <c r="E15" s="42">
        <v>2</v>
      </c>
      <c r="F15" s="43">
        <v>4</v>
      </c>
      <c r="G15" s="44">
        <f t="shared" si="0"/>
        <v>80</v>
      </c>
      <c r="H15" s="45">
        <f t="shared" si="1"/>
        <v>66.666666666666671</v>
      </c>
      <c r="I15" s="47" t="s">
        <v>19</v>
      </c>
      <c r="J15" s="46" t="s">
        <v>231</v>
      </c>
    </row>
    <row r="16" spans="1:10" x14ac:dyDescent="0.25">
      <c r="A16" s="504"/>
      <c r="B16" s="40" t="s">
        <v>549</v>
      </c>
      <c r="C16" s="48" t="s">
        <v>550</v>
      </c>
      <c r="D16" s="42" t="s">
        <v>54</v>
      </c>
      <c r="E16" s="42">
        <v>1</v>
      </c>
      <c r="F16" s="43">
        <v>2</v>
      </c>
      <c r="G16" s="44">
        <f t="shared" si="0"/>
        <v>40</v>
      </c>
      <c r="H16" s="45">
        <f t="shared" si="1"/>
        <v>33.333333333333336</v>
      </c>
      <c r="I16" s="47" t="s">
        <v>19</v>
      </c>
      <c r="J16" s="46" t="s">
        <v>232</v>
      </c>
    </row>
    <row r="17" spans="1:10" x14ac:dyDescent="0.25">
      <c r="A17" s="504"/>
      <c r="B17" s="40" t="s">
        <v>130</v>
      </c>
      <c r="C17" s="48" t="s">
        <v>551</v>
      </c>
      <c r="D17" s="42" t="s">
        <v>60</v>
      </c>
      <c r="E17" s="42">
        <v>1</v>
      </c>
      <c r="F17" s="43">
        <v>4</v>
      </c>
      <c r="G17" s="44">
        <f t="shared" si="0"/>
        <v>80</v>
      </c>
      <c r="H17" s="45">
        <f t="shared" si="1"/>
        <v>66.666666666666671</v>
      </c>
      <c r="I17" s="47" t="s">
        <v>19</v>
      </c>
      <c r="J17" s="46" t="s">
        <v>251</v>
      </c>
    </row>
    <row r="18" spans="1:10" x14ac:dyDescent="0.25">
      <c r="A18" s="504" t="s">
        <v>323</v>
      </c>
      <c r="B18" s="40" t="s">
        <v>552</v>
      </c>
      <c r="C18" s="49" t="s">
        <v>553</v>
      </c>
      <c r="D18" s="42" t="s">
        <v>54</v>
      </c>
      <c r="E18" s="42">
        <v>1</v>
      </c>
      <c r="F18" s="50">
        <v>4</v>
      </c>
      <c r="G18" s="44">
        <f t="shared" si="0"/>
        <v>80</v>
      </c>
      <c r="H18" s="45">
        <f t="shared" si="1"/>
        <v>66.666666666666671</v>
      </c>
      <c r="I18" s="47" t="s">
        <v>19</v>
      </c>
      <c r="J18" s="46" t="s">
        <v>232</v>
      </c>
    </row>
    <row r="19" spans="1:10" x14ac:dyDescent="0.25">
      <c r="A19" s="504"/>
      <c r="B19" s="40" t="s">
        <v>507</v>
      </c>
      <c r="C19" s="49" t="s">
        <v>554</v>
      </c>
      <c r="D19" s="42" t="s">
        <v>54</v>
      </c>
      <c r="E19" s="42">
        <v>1</v>
      </c>
      <c r="F19" s="50">
        <v>2</v>
      </c>
      <c r="G19" s="44">
        <f t="shared" si="0"/>
        <v>40</v>
      </c>
      <c r="H19" s="45">
        <f t="shared" si="1"/>
        <v>33.333333333333336</v>
      </c>
      <c r="I19" s="108" t="s">
        <v>19</v>
      </c>
      <c r="J19" s="46" t="s">
        <v>232</v>
      </c>
    </row>
    <row r="20" spans="1:10" x14ac:dyDescent="0.25">
      <c r="A20" s="504"/>
      <c r="B20" s="40" t="s">
        <v>555</v>
      </c>
      <c r="C20" s="49" t="s">
        <v>556</v>
      </c>
      <c r="D20" s="42" t="s">
        <v>54</v>
      </c>
      <c r="E20" s="42">
        <v>1</v>
      </c>
      <c r="F20" s="50">
        <v>4</v>
      </c>
      <c r="G20" s="44">
        <f t="shared" si="0"/>
        <v>80</v>
      </c>
      <c r="H20" s="45">
        <f t="shared" si="1"/>
        <v>66.666666666666671</v>
      </c>
      <c r="I20" s="47" t="s">
        <v>19</v>
      </c>
      <c r="J20" s="46" t="s">
        <v>232</v>
      </c>
    </row>
    <row r="21" spans="1:10" x14ac:dyDescent="0.25">
      <c r="A21" s="504"/>
      <c r="B21" s="40" t="s">
        <v>515</v>
      </c>
      <c r="C21" s="49" t="s">
        <v>557</v>
      </c>
      <c r="D21" s="42" t="s">
        <v>60</v>
      </c>
      <c r="E21" s="42">
        <v>1</v>
      </c>
      <c r="F21" s="50">
        <v>2</v>
      </c>
      <c r="G21" s="44">
        <f t="shared" si="0"/>
        <v>40</v>
      </c>
      <c r="H21" s="45">
        <f t="shared" si="1"/>
        <v>33.333333333333336</v>
      </c>
      <c r="I21" s="47" t="s">
        <v>19</v>
      </c>
      <c r="J21" s="46" t="s">
        <v>251</v>
      </c>
    </row>
    <row r="22" spans="1:10" x14ac:dyDescent="0.25">
      <c r="A22" s="504"/>
      <c r="B22" s="40" t="s">
        <v>517</v>
      </c>
      <c r="C22" s="49" t="s">
        <v>558</v>
      </c>
      <c r="D22" s="42" t="s">
        <v>54</v>
      </c>
      <c r="E22" s="43">
        <v>1</v>
      </c>
      <c r="F22" s="51">
        <v>2</v>
      </c>
      <c r="G22" s="44">
        <f t="shared" si="0"/>
        <v>40</v>
      </c>
      <c r="H22" s="45">
        <f t="shared" si="1"/>
        <v>33.333333333333336</v>
      </c>
      <c r="I22" s="47" t="s">
        <v>19</v>
      </c>
      <c r="J22" s="46" t="s">
        <v>232</v>
      </c>
    </row>
    <row r="23" spans="1:10" x14ac:dyDescent="0.25">
      <c r="A23" s="504"/>
      <c r="B23" s="40" t="s">
        <v>171</v>
      </c>
      <c r="C23" s="49" t="s">
        <v>559</v>
      </c>
      <c r="D23" s="42" t="s">
        <v>54</v>
      </c>
      <c r="E23" s="43">
        <v>1</v>
      </c>
      <c r="F23" s="51">
        <v>4</v>
      </c>
      <c r="G23" s="44">
        <f t="shared" si="0"/>
        <v>80</v>
      </c>
      <c r="H23" s="45">
        <f t="shared" si="1"/>
        <v>66.666666666666671</v>
      </c>
      <c r="I23" s="47" t="s">
        <v>19</v>
      </c>
      <c r="J23" s="46" t="s">
        <v>232</v>
      </c>
    </row>
    <row r="24" spans="1:10" x14ac:dyDescent="0.25">
      <c r="A24" s="504"/>
      <c r="B24" s="40" t="s">
        <v>187</v>
      </c>
      <c r="C24" s="49" t="s">
        <v>560</v>
      </c>
      <c r="D24" s="42" t="s">
        <v>60</v>
      </c>
      <c r="E24" s="43">
        <v>1</v>
      </c>
      <c r="F24" s="51">
        <v>2</v>
      </c>
      <c r="G24" s="44">
        <f t="shared" si="0"/>
        <v>40</v>
      </c>
      <c r="H24" s="45">
        <f t="shared" si="1"/>
        <v>33.333333333333336</v>
      </c>
      <c r="I24" s="47" t="s">
        <v>19</v>
      </c>
      <c r="J24" s="46" t="s">
        <v>251</v>
      </c>
    </row>
    <row r="25" spans="1:10" x14ac:dyDescent="0.25">
      <c r="A25" s="504" t="s">
        <v>311</v>
      </c>
      <c r="B25" s="40" t="s">
        <v>561</v>
      </c>
      <c r="C25" s="49" t="s">
        <v>562</v>
      </c>
      <c r="D25" s="42" t="s">
        <v>60</v>
      </c>
      <c r="E25" s="42">
        <v>1</v>
      </c>
      <c r="F25" s="42">
        <v>2</v>
      </c>
      <c r="G25" s="44">
        <f t="shared" si="0"/>
        <v>40</v>
      </c>
      <c r="H25" s="45">
        <f t="shared" si="1"/>
        <v>33.333333333333336</v>
      </c>
      <c r="I25" s="47" t="s">
        <v>315</v>
      </c>
      <c r="J25" s="46" t="s">
        <v>251</v>
      </c>
    </row>
    <row r="26" spans="1:10" x14ac:dyDescent="0.25">
      <c r="A26" s="504"/>
      <c r="B26" s="40" t="s">
        <v>563</v>
      </c>
      <c r="C26" s="49" t="s">
        <v>564</v>
      </c>
      <c r="D26" s="42" t="s">
        <v>54</v>
      </c>
      <c r="E26" s="42">
        <v>1</v>
      </c>
      <c r="F26" s="42">
        <v>4</v>
      </c>
      <c r="G26" s="44">
        <f t="shared" si="0"/>
        <v>80</v>
      </c>
      <c r="H26" s="45">
        <f t="shared" si="1"/>
        <v>66.666666666666671</v>
      </c>
      <c r="I26" s="47" t="s">
        <v>19</v>
      </c>
      <c r="J26" s="46" t="s">
        <v>498</v>
      </c>
    </row>
    <row r="27" spans="1:10" x14ac:dyDescent="0.25">
      <c r="A27" s="504"/>
      <c r="B27" s="40" t="s">
        <v>523</v>
      </c>
      <c r="C27" s="49" t="s">
        <v>565</v>
      </c>
      <c r="D27" s="42" t="s">
        <v>60</v>
      </c>
      <c r="E27" s="42">
        <v>1</v>
      </c>
      <c r="F27" s="42">
        <v>2</v>
      </c>
      <c r="G27" s="44">
        <f t="shared" si="0"/>
        <v>40</v>
      </c>
      <c r="H27" s="45">
        <f t="shared" si="1"/>
        <v>33.333333333333336</v>
      </c>
      <c r="I27" s="47" t="s">
        <v>19</v>
      </c>
      <c r="J27" s="46" t="s">
        <v>251</v>
      </c>
    </row>
    <row r="28" spans="1:10" x14ac:dyDescent="0.25">
      <c r="A28" s="504"/>
      <c r="B28" s="40" t="s">
        <v>566</v>
      </c>
      <c r="C28" s="49" t="s">
        <v>567</v>
      </c>
      <c r="D28" s="42" t="s">
        <v>54</v>
      </c>
      <c r="E28" s="42">
        <v>1</v>
      </c>
      <c r="F28" s="42">
        <v>4</v>
      </c>
      <c r="G28" s="44">
        <f t="shared" si="0"/>
        <v>80</v>
      </c>
      <c r="H28" s="45">
        <f t="shared" si="1"/>
        <v>66.666666666666671</v>
      </c>
      <c r="I28" s="47" t="s">
        <v>19</v>
      </c>
      <c r="J28" s="46" t="s">
        <v>232</v>
      </c>
    </row>
    <row r="29" spans="1:10" x14ac:dyDescent="0.25">
      <c r="A29" s="504"/>
      <c r="B29" s="40" t="s">
        <v>527</v>
      </c>
      <c r="C29" s="49" t="s">
        <v>568</v>
      </c>
      <c r="D29" s="42" t="s">
        <v>57</v>
      </c>
      <c r="E29" s="42">
        <v>1</v>
      </c>
      <c r="F29" s="42">
        <v>2</v>
      </c>
      <c r="G29" s="44">
        <f t="shared" si="0"/>
        <v>40</v>
      </c>
      <c r="H29" s="45">
        <f t="shared" si="1"/>
        <v>33.333333333333336</v>
      </c>
      <c r="I29" s="47" t="s">
        <v>19</v>
      </c>
      <c r="J29" s="46" t="s">
        <v>232</v>
      </c>
    </row>
    <row r="30" spans="1:10" x14ac:dyDescent="0.25">
      <c r="A30" s="504"/>
      <c r="B30" s="40" t="s">
        <v>569</v>
      </c>
      <c r="C30" s="49" t="s">
        <v>570</v>
      </c>
      <c r="D30" s="42" t="s">
        <v>60</v>
      </c>
      <c r="E30" s="42">
        <v>1</v>
      </c>
      <c r="F30" s="42">
        <v>2</v>
      </c>
      <c r="G30" s="44">
        <f t="shared" si="0"/>
        <v>40</v>
      </c>
      <c r="H30" s="45">
        <f t="shared" si="1"/>
        <v>33.333333333333336</v>
      </c>
      <c r="I30" s="47" t="s">
        <v>19</v>
      </c>
      <c r="J30" s="46" t="s">
        <v>251</v>
      </c>
    </row>
    <row r="31" spans="1:10" x14ac:dyDescent="0.25">
      <c r="A31" s="504"/>
      <c r="B31" s="52" t="s">
        <v>529</v>
      </c>
      <c r="C31" s="49" t="s">
        <v>530</v>
      </c>
      <c r="D31" s="42" t="s">
        <v>60</v>
      </c>
      <c r="E31" s="42">
        <v>1</v>
      </c>
      <c r="F31" s="42">
        <v>4</v>
      </c>
      <c r="G31" s="44">
        <f t="shared" si="0"/>
        <v>80</v>
      </c>
      <c r="H31" s="45">
        <f t="shared" si="1"/>
        <v>66.666666666666671</v>
      </c>
      <c r="I31" s="47" t="s">
        <v>19</v>
      </c>
      <c r="J31" s="46" t="s">
        <v>251</v>
      </c>
    </row>
    <row r="32" spans="1:10" ht="15.75" thickBot="1" x14ac:dyDescent="0.3">
      <c r="A32" s="111"/>
      <c r="B32" s="40" t="s">
        <v>571</v>
      </c>
      <c r="C32" s="49" t="s">
        <v>572</v>
      </c>
      <c r="D32" s="42" t="s">
        <v>60</v>
      </c>
      <c r="E32" s="42">
        <v>1</v>
      </c>
      <c r="F32" s="42">
        <v>2</v>
      </c>
      <c r="G32" s="44">
        <v>40</v>
      </c>
      <c r="H32" s="45">
        <f>(G32)*$C$37/60</f>
        <v>33.333333333333336</v>
      </c>
      <c r="I32" s="47" t="s">
        <v>299</v>
      </c>
      <c r="J32" s="46" t="s">
        <v>251</v>
      </c>
    </row>
    <row r="33" spans="1:9" ht="16.5" thickBot="1" x14ac:dyDescent="0.3">
      <c r="A33" s="508" t="s">
        <v>303</v>
      </c>
      <c r="B33" s="508"/>
      <c r="C33" s="508"/>
      <c r="D33" s="508"/>
      <c r="E33" s="508"/>
      <c r="F33" s="350">
        <f>SUM(F5:F32)</f>
        <v>82</v>
      </c>
      <c r="G33" s="53" t="s">
        <v>304</v>
      </c>
      <c r="H33" s="350">
        <f>SUM(H5:H32)</f>
        <v>1366.6666666666665</v>
      </c>
      <c r="I33" s="36"/>
    </row>
    <row r="34" spans="1:9" ht="16.5" thickBot="1" x14ac:dyDescent="0.3">
      <c r="A34" s="61" t="s">
        <v>305</v>
      </c>
      <c r="B34" s="63"/>
      <c r="C34" s="63"/>
      <c r="D34" s="63"/>
      <c r="E34" s="63"/>
      <c r="F34" s="63"/>
      <c r="G34" s="64"/>
      <c r="H34" s="56">
        <f>H33</f>
        <v>1366.6666666666665</v>
      </c>
      <c r="I34" s="57"/>
    </row>
    <row r="35" spans="1:9" ht="16.5" thickBot="1" x14ac:dyDescent="0.3">
      <c r="A35" s="533" t="s">
        <v>306</v>
      </c>
      <c r="B35" s="533"/>
      <c r="C35" s="533"/>
      <c r="D35" s="533"/>
      <c r="E35" s="533"/>
      <c r="F35" s="533"/>
      <c r="G35" s="533"/>
      <c r="H35" s="58">
        <v>360</v>
      </c>
      <c r="I35" s="36"/>
    </row>
    <row r="36" spans="1:9" ht="16.5" thickBot="1" x14ac:dyDescent="0.3">
      <c r="A36" s="62" t="s">
        <v>308</v>
      </c>
      <c r="B36" s="76"/>
      <c r="C36" s="77"/>
      <c r="D36" s="77"/>
      <c r="E36" s="77"/>
      <c r="F36" s="77"/>
      <c r="G36" s="77"/>
      <c r="H36" s="55">
        <f>SUM(H34+H35)</f>
        <v>1726.6666666666665</v>
      </c>
      <c r="I36" s="36"/>
    </row>
    <row r="37" spans="1:9" ht="15.75" x14ac:dyDescent="0.25">
      <c r="A37" s="532" t="s">
        <v>309</v>
      </c>
      <c r="B37" s="532"/>
      <c r="C37" s="78">
        <v>50</v>
      </c>
      <c r="D37" s="79" t="s">
        <v>310</v>
      </c>
      <c r="E37" s="79"/>
      <c r="F37" s="79"/>
      <c r="G37" s="79"/>
      <c r="H37" s="80"/>
      <c r="I37" s="36"/>
    </row>
  </sheetData>
  <mergeCells count="12">
    <mergeCell ref="J3:J4"/>
    <mergeCell ref="A5:A11"/>
    <mergeCell ref="A37:B37"/>
    <mergeCell ref="A2:C2"/>
    <mergeCell ref="B3:B4"/>
    <mergeCell ref="C3:C4"/>
    <mergeCell ref="I3:I4"/>
    <mergeCell ref="A12:A17"/>
    <mergeCell ref="A18:A24"/>
    <mergeCell ref="A25:A31"/>
    <mergeCell ref="A33:E33"/>
    <mergeCell ref="A35:G35"/>
  </mergeCells>
  <dataValidations count="2">
    <dataValidation type="list" allowBlank="1" showInputMessage="1" showErrorMessage="1" sqref="I1:I1048576" xr:uid="{00000000-0002-0000-0C00-000000000000}">
      <formula1>Áreas</formula1>
    </dataValidation>
    <dataValidation type="list" allowBlank="1" showInputMessage="1" showErrorMessage="1" sqref="J5:J31" xr:uid="{00000000-0002-0000-0C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>
    <tabColor theme="9" tint="-0.249977111117893"/>
  </sheetPr>
  <dimension ref="A1:J37"/>
  <sheetViews>
    <sheetView workbookViewId="0">
      <selection activeCell="H31" sqref="H5:H31"/>
    </sheetView>
  </sheetViews>
  <sheetFormatPr defaultRowHeight="15" x14ac:dyDescent="0.25"/>
  <cols>
    <col min="2" max="2" width="43.28515625" bestFit="1" customWidth="1"/>
    <col min="9" max="9" width="40.8554687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485</v>
      </c>
      <c r="B2" s="513"/>
      <c r="C2" s="513"/>
      <c r="D2" s="37" t="s">
        <v>237</v>
      </c>
      <c r="E2" s="38"/>
      <c r="F2" s="38">
        <v>20</v>
      </c>
      <c r="G2" s="38">
        <f>SUMPRODUCT(E5:E31,F5:F31)</f>
        <v>122</v>
      </c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318</v>
      </c>
      <c r="B5" s="40" t="s">
        <v>266</v>
      </c>
      <c r="C5" s="41" t="s">
        <v>536</v>
      </c>
      <c r="D5" s="42" t="s">
        <v>60</v>
      </c>
      <c r="E5" s="43">
        <v>1</v>
      </c>
      <c r="F5" s="42">
        <v>4</v>
      </c>
      <c r="G5" s="44">
        <f t="shared" ref="G5:G31" si="0">SUM(F5:F5)*$F$2</f>
        <v>80</v>
      </c>
      <c r="H5" s="45">
        <f>(G5)*$C$37/60</f>
        <v>66.666666666666671</v>
      </c>
      <c r="I5" s="47" t="s">
        <v>19</v>
      </c>
      <c r="J5" s="46" t="s">
        <v>251</v>
      </c>
    </row>
    <row r="6" spans="1:10" x14ac:dyDescent="0.25">
      <c r="A6" s="504"/>
      <c r="B6" s="40" t="s">
        <v>319</v>
      </c>
      <c r="C6" s="41" t="s">
        <v>537</v>
      </c>
      <c r="D6" s="42" t="s">
        <v>60</v>
      </c>
      <c r="E6" s="43">
        <v>1</v>
      </c>
      <c r="F6" s="42">
        <v>2</v>
      </c>
      <c r="G6" s="44">
        <f t="shared" si="0"/>
        <v>40</v>
      </c>
      <c r="H6" s="45">
        <f t="shared" ref="H6:H31" si="1">(G6)*$C$37/60</f>
        <v>33.333333333333336</v>
      </c>
      <c r="I6" s="47" t="s">
        <v>14</v>
      </c>
      <c r="J6" s="46" t="s">
        <v>251</v>
      </c>
    </row>
    <row r="7" spans="1:10" x14ac:dyDescent="0.25">
      <c r="A7" s="504"/>
      <c r="B7" s="40" t="s">
        <v>488</v>
      </c>
      <c r="C7" s="41" t="s">
        <v>538</v>
      </c>
      <c r="D7" s="42" t="s">
        <v>54</v>
      </c>
      <c r="E7" s="43">
        <v>2</v>
      </c>
      <c r="F7" s="42">
        <v>2</v>
      </c>
      <c r="G7" s="44">
        <f t="shared" si="0"/>
        <v>40</v>
      </c>
      <c r="H7" s="45">
        <f t="shared" si="1"/>
        <v>33.333333333333336</v>
      </c>
      <c r="I7" s="47" t="s">
        <v>19</v>
      </c>
      <c r="J7" s="46" t="s">
        <v>232</v>
      </c>
    </row>
    <row r="8" spans="1:10" x14ac:dyDescent="0.25">
      <c r="A8" s="504"/>
      <c r="B8" s="40" t="s">
        <v>490</v>
      </c>
      <c r="C8" s="41" t="s">
        <v>539</v>
      </c>
      <c r="D8" s="42" t="s">
        <v>54</v>
      </c>
      <c r="E8" s="43">
        <v>1</v>
      </c>
      <c r="F8" s="42">
        <v>4</v>
      </c>
      <c r="G8" s="44">
        <f t="shared" si="0"/>
        <v>80</v>
      </c>
      <c r="H8" s="45">
        <f t="shared" si="1"/>
        <v>66.666666666666671</v>
      </c>
      <c r="I8" s="47" t="s">
        <v>19</v>
      </c>
      <c r="J8" s="46" t="s">
        <v>251</v>
      </c>
    </row>
    <row r="9" spans="1:10" x14ac:dyDescent="0.25">
      <c r="A9" s="504"/>
      <c r="B9" s="40" t="s">
        <v>492</v>
      </c>
      <c r="C9" s="41" t="s">
        <v>540</v>
      </c>
      <c r="D9" s="42" t="s">
        <v>60</v>
      </c>
      <c r="E9" s="43">
        <v>1</v>
      </c>
      <c r="F9" s="42">
        <v>4</v>
      </c>
      <c r="G9" s="44">
        <f t="shared" si="0"/>
        <v>80</v>
      </c>
      <c r="H9" s="45">
        <f t="shared" si="1"/>
        <v>66.666666666666671</v>
      </c>
      <c r="I9" s="47" t="s">
        <v>21</v>
      </c>
      <c r="J9" s="46" t="s">
        <v>251</v>
      </c>
    </row>
    <row r="10" spans="1:10" x14ac:dyDescent="0.25">
      <c r="A10" s="504"/>
      <c r="B10" s="40" t="s">
        <v>494</v>
      </c>
      <c r="C10" s="41" t="s">
        <v>541</v>
      </c>
      <c r="D10" s="42" t="s">
        <v>60</v>
      </c>
      <c r="E10" s="43">
        <v>1</v>
      </c>
      <c r="F10" s="42">
        <v>2</v>
      </c>
      <c r="G10" s="44">
        <f t="shared" si="0"/>
        <v>40</v>
      </c>
      <c r="H10" s="45">
        <f t="shared" si="1"/>
        <v>33.333333333333336</v>
      </c>
      <c r="I10" s="47" t="s">
        <v>19</v>
      </c>
      <c r="J10" s="46" t="s">
        <v>251</v>
      </c>
    </row>
    <row r="11" spans="1:10" x14ac:dyDescent="0.25">
      <c r="A11" s="504"/>
      <c r="B11" s="40" t="s">
        <v>542</v>
      </c>
      <c r="C11" s="41" t="s">
        <v>543</v>
      </c>
      <c r="D11" s="42" t="s">
        <v>54</v>
      </c>
      <c r="E11" s="43">
        <v>2</v>
      </c>
      <c r="F11" s="42">
        <v>2</v>
      </c>
      <c r="G11" s="44">
        <f t="shared" si="0"/>
        <v>40</v>
      </c>
      <c r="H11" s="45">
        <f t="shared" si="1"/>
        <v>33.333333333333336</v>
      </c>
      <c r="I11" s="47" t="s">
        <v>1189</v>
      </c>
      <c r="J11" s="46" t="s">
        <v>231</v>
      </c>
    </row>
    <row r="12" spans="1:10" x14ac:dyDescent="0.25">
      <c r="A12" s="504" t="s">
        <v>321</v>
      </c>
      <c r="B12" s="40" t="s">
        <v>499</v>
      </c>
      <c r="C12" s="41" t="s">
        <v>544</v>
      </c>
      <c r="D12" s="42" t="s">
        <v>54</v>
      </c>
      <c r="E12" s="43">
        <v>2</v>
      </c>
      <c r="F12" s="43">
        <v>2</v>
      </c>
      <c r="G12" s="44">
        <f t="shared" si="0"/>
        <v>40</v>
      </c>
      <c r="H12" s="45">
        <f t="shared" si="1"/>
        <v>33.333333333333336</v>
      </c>
      <c r="I12" s="47" t="s">
        <v>19</v>
      </c>
      <c r="J12" s="46" t="s">
        <v>232</v>
      </c>
    </row>
    <row r="13" spans="1:10" x14ac:dyDescent="0.25">
      <c r="A13" s="504"/>
      <c r="B13" s="40" t="s">
        <v>545</v>
      </c>
      <c r="C13" s="48" t="s">
        <v>546</v>
      </c>
      <c r="D13" s="42" t="s">
        <v>54</v>
      </c>
      <c r="E13" s="42">
        <v>2</v>
      </c>
      <c r="F13" s="43">
        <v>4</v>
      </c>
      <c r="G13" s="44">
        <f t="shared" si="0"/>
        <v>80</v>
      </c>
      <c r="H13" s="45">
        <f t="shared" si="1"/>
        <v>66.666666666666671</v>
      </c>
      <c r="I13" s="47" t="s">
        <v>19</v>
      </c>
      <c r="J13" s="46" t="s">
        <v>232</v>
      </c>
    </row>
    <row r="14" spans="1:10" x14ac:dyDescent="0.25">
      <c r="A14" s="504"/>
      <c r="B14" s="40" t="s">
        <v>277</v>
      </c>
      <c r="C14" s="48" t="s">
        <v>547</v>
      </c>
      <c r="D14" s="42" t="s">
        <v>54</v>
      </c>
      <c r="E14" s="42">
        <v>2</v>
      </c>
      <c r="F14" s="43">
        <v>4</v>
      </c>
      <c r="G14" s="44">
        <f t="shared" si="0"/>
        <v>80</v>
      </c>
      <c r="H14" s="45">
        <f t="shared" si="1"/>
        <v>66.666666666666671</v>
      </c>
      <c r="I14" s="47" t="s">
        <v>19</v>
      </c>
      <c r="J14" s="46" t="s">
        <v>232</v>
      </c>
    </row>
    <row r="15" spans="1:10" x14ac:dyDescent="0.25">
      <c r="A15" s="504"/>
      <c r="B15" s="40" t="s">
        <v>504</v>
      </c>
      <c r="C15" s="48" t="s">
        <v>548</v>
      </c>
      <c r="D15" s="42" t="s">
        <v>57</v>
      </c>
      <c r="E15" s="42">
        <v>2</v>
      </c>
      <c r="F15" s="43">
        <v>4</v>
      </c>
      <c r="G15" s="44">
        <f t="shared" si="0"/>
        <v>80</v>
      </c>
      <c r="H15" s="45">
        <f t="shared" si="1"/>
        <v>66.666666666666671</v>
      </c>
      <c r="I15" s="47" t="s">
        <v>19</v>
      </c>
      <c r="J15" s="46" t="s">
        <v>498</v>
      </c>
    </row>
    <row r="16" spans="1:10" x14ac:dyDescent="0.25">
      <c r="A16" s="504"/>
      <c r="B16" s="40" t="s">
        <v>549</v>
      </c>
      <c r="C16" s="48" t="s">
        <v>550</v>
      </c>
      <c r="D16" s="42" t="s">
        <v>54</v>
      </c>
      <c r="E16" s="42">
        <v>1</v>
      </c>
      <c r="F16" s="43">
        <v>2</v>
      </c>
      <c r="G16" s="44">
        <f t="shared" si="0"/>
        <v>40</v>
      </c>
      <c r="H16" s="45">
        <f t="shared" si="1"/>
        <v>33.333333333333336</v>
      </c>
      <c r="I16" s="47" t="s">
        <v>19</v>
      </c>
      <c r="J16" s="46" t="s">
        <v>232</v>
      </c>
    </row>
    <row r="17" spans="1:10" x14ac:dyDescent="0.25">
      <c r="A17" s="504"/>
      <c r="B17" s="40" t="s">
        <v>130</v>
      </c>
      <c r="C17" s="48" t="s">
        <v>551</v>
      </c>
      <c r="D17" s="42" t="s">
        <v>60</v>
      </c>
      <c r="E17" s="42">
        <v>1</v>
      </c>
      <c r="F17" s="43">
        <v>4</v>
      </c>
      <c r="G17" s="44">
        <f t="shared" si="0"/>
        <v>80</v>
      </c>
      <c r="H17" s="45">
        <f t="shared" si="1"/>
        <v>66.666666666666671</v>
      </c>
      <c r="I17" s="47" t="s">
        <v>19</v>
      </c>
      <c r="J17" s="46" t="s">
        <v>251</v>
      </c>
    </row>
    <row r="18" spans="1:10" x14ac:dyDescent="0.25">
      <c r="A18" s="504" t="s">
        <v>323</v>
      </c>
      <c r="B18" s="40" t="s">
        <v>552</v>
      </c>
      <c r="C18" s="49" t="s">
        <v>553</v>
      </c>
      <c r="D18" s="42" t="s">
        <v>54</v>
      </c>
      <c r="E18" s="42">
        <v>2</v>
      </c>
      <c r="F18" s="50">
        <v>4</v>
      </c>
      <c r="G18" s="44">
        <f t="shared" si="0"/>
        <v>80</v>
      </c>
      <c r="H18" s="45">
        <f t="shared" si="1"/>
        <v>66.666666666666671</v>
      </c>
      <c r="I18" s="47" t="s">
        <v>19</v>
      </c>
      <c r="J18" s="46" t="s">
        <v>232</v>
      </c>
    </row>
    <row r="19" spans="1:10" x14ac:dyDescent="0.25">
      <c r="A19" s="504"/>
      <c r="B19" s="40" t="s">
        <v>507</v>
      </c>
      <c r="C19" s="49" t="s">
        <v>554</v>
      </c>
      <c r="D19" s="42" t="s">
        <v>54</v>
      </c>
      <c r="E19" s="42">
        <v>2</v>
      </c>
      <c r="F19" s="50">
        <v>2</v>
      </c>
      <c r="G19" s="44">
        <f t="shared" si="0"/>
        <v>40</v>
      </c>
      <c r="H19" s="45">
        <f t="shared" si="1"/>
        <v>33.333333333333336</v>
      </c>
      <c r="I19" s="108" t="s">
        <v>19</v>
      </c>
      <c r="J19" s="46" t="s">
        <v>232</v>
      </c>
    </row>
    <row r="20" spans="1:10" x14ac:dyDescent="0.25">
      <c r="A20" s="504"/>
      <c r="B20" s="40" t="s">
        <v>555</v>
      </c>
      <c r="C20" s="49" t="s">
        <v>556</v>
      </c>
      <c r="D20" s="42" t="s">
        <v>54</v>
      </c>
      <c r="E20" s="42">
        <v>2</v>
      </c>
      <c r="F20" s="50">
        <v>4</v>
      </c>
      <c r="G20" s="44">
        <f t="shared" si="0"/>
        <v>80</v>
      </c>
      <c r="H20" s="45">
        <f t="shared" si="1"/>
        <v>66.666666666666671</v>
      </c>
      <c r="I20" s="47" t="s">
        <v>19</v>
      </c>
      <c r="J20" s="46" t="s">
        <v>232</v>
      </c>
    </row>
    <row r="21" spans="1:10" x14ac:dyDescent="0.25">
      <c r="A21" s="504"/>
      <c r="B21" s="40" t="s">
        <v>515</v>
      </c>
      <c r="C21" s="49" t="s">
        <v>557</v>
      </c>
      <c r="D21" s="42" t="s">
        <v>60</v>
      </c>
      <c r="E21" s="42">
        <v>1</v>
      </c>
      <c r="F21" s="50">
        <v>2</v>
      </c>
      <c r="G21" s="44">
        <f t="shared" si="0"/>
        <v>40</v>
      </c>
      <c r="H21" s="45">
        <f t="shared" si="1"/>
        <v>33.333333333333336</v>
      </c>
      <c r="I21" s="47" t="s">
        <v>19</v>
      </c>
      <c r="J21" s="46" t="s">
        <v>251</v>
      </c>
    </row>
    <row r="22" spans="1:10" x14ac:dyDescent="0.25">
      <c r="A22" s="504"/>
      <c r="B22" s="40" t="s">
        <v>517</v>
      </c>
      <c r="C22" s="49" t="s">
        <v>558</v>
      </c>
      <c r="D22" s="42" t="s">
        <v>54</v>
      </c>
      <c r="E22" s="43">
        <v>2</v>
      </c>
      <c r="F22" s="51">
        <v>2</v>
      </c>
      <c r="G22" s="44">
        <f t="shared" si="0"/>
        <v>40</v>
      </c>
      <c r="H22" s="45">
        <f t="shared" si="1"/>
        <v>33.333333333333336</v>
      </c>
      <c r="I22" s="47" t="s">
        <v>19</v>
      </c>
      <c r="J22" s="46" t="s">
        <v>232</v>
      </c>
    </row>
    <row r="23" spans="1:10" x14ac:dyDescent="0.25">
      <c r="A23" s="504"/>
      <c r="B23" s="40" t="s">
        <v>171</v>
      </c>
      <c r="C23" s="49" t="s">
        <v>559</v>
      </c>
      <c r="D23" s="42" t="s">
        <v>54</v>
      </c>
      <c r="E23" s="43">
        <v>2</v>
      </c>
      <c r="F23" s="51">
        <v>4</v>
      </c>
      <c r="G23" s="44">
        <f t="shared" si="0"/>
        <v>80</v>
      </c>
      <c r="H23" s="45">
        <f t="shared" si="1"/>
        <v>66.666666666666671</v>
      </c>
      <c r="I23" s="47" t="s">
        <v>19</v>
      </c>
      <c r="J23" s="46" t="s">
        <v>232</v>
      </c>
    </row>
    <row r="24" spans="1:10" x14ac:dyDescent="0.25">
      <c r="A24" s="504"/>
      <c r="B24" s="40" t="s">
        <v>187</v>
      </c>
      <c r="C24" s="49" t="s">
        <v>560</v>
      </c>
      <c r="D24" s="42" t="s">
        <v>60</v>
      </c>
      <c r="E24" s="43">
        <v>1</v>
      </c>
      <c r="F24" s="51">
        <v>2</v>
      </c>
      <c r="G24" s="44">
        <f t="shared" si="0"/>
        <v>40</v>
      </c>
      <c r="H24" s="45">
        <f t="shared" si="1"/>
        <v>33.333333333333336</v>
      </c>
      <c r="I24" s="47" t="s">
        <v>19</v>
      </c>
      <c r="J24" s="46" t="s">
        <v>251</v>
      </c>
    </row>
    <row r="25" spans="1:10" x14ac:dyDescent="0.25">
      <c r="A25" s="504" t="s">
        <v>311</v>
      </c>
      <c r="B25" s="40" t="s">
        <v>561</v>
      </c>
      <c r="C25" s="49" t="s">
        <v>562</v>
      </c>
      <c r="D25" s="42" t="s">
        <v>60</v>
      </c>
      <c r="E25" s="42">
        <v>1</v>
      </c>
      <c r="F25" s="42">
        <v>2</v>
      </c>
      <c r="G25" s="44">
        <f t="shared" si="0"/>
        <v>40</v>
      </c>
      <c r="H25" s="45">
        <f t="shared" si="1"/>
        <v>33.333333333333336</v>
      </c>
      <c r="I25" s="47" t="s">
        <v>315</v>
      </c>
      <c r="J25" s="46" t="s">
        <v>251</v>
      </c>
    </row>
    <row r="26" spans="1:10" x14ac:dyDescent="0.25">
      <c r="A26" s="504"/>
      <c r="B26" s="40" t="s">
        <v>563</v>
      </c>
      <c r="C26" s="49" t="s">
        <v>564</v>
      </c>
      <c r="D26" s="42" t="s">
        <v>54</v>
      </c>
      <c r="E26" s="42">
        <v>1</v>
      </c>
      <c r="F26" s="42">
        <v>4</v>
      </c>
      <c r="G26" s="44">
        <f t="shared" si="0"/>
        <v>80</v>
      </c>
      <c r="H26" s="45">
        <f t="shared" si="1"/>
        <v>66.666666666666671</v>
      </c>
      <c r="I26" s="47" t="s">
        <v>19</v>
      </c>
      <c r="J26" s="46" t="s">
        <v>498</v>
      </c>
    </row>
    <row r="27" spans="1:10" x14ac:dyDescent="0.25">
      <c r="A27" s="504"/>
      <c r="B27" s="40" t="s">
        <v>523</v>
      </c>
      <c r="C27" s="49" t="s">
        <v>565</v>
      </c>
      <c r="D27" s="42" t="s">
        <v>60</v>
      </c>
      <c r="E27" s="42">
        <v>1</v>
      </c>
      <c r="F27" s="42">
        <v>2</v>
      </c>
      <c r="G27" s="44">
        <f t="shared" si="0"/>
        <v>40</v>
      </c>
      <c r="H27" s="45">
        <f t="shared" si="1"/>
        <v>33.333333333333336</v>
      </c>
      <c r="I27" s="47" t="s">
        <v>19</v>
      </c>
      <c r="J27" s="46" t="s">
        <v>251</v>
      </c>
    </row>
    <row r="28" spans="1:10" x14ac:dyDescent="0.25">
      <c r="A28" s="504"/>
      <c r="B28" s="40" t="s">
        <v>566</v>
      </c>
      <c r="C28" s="49" t="s">
        <v>567</v>
      </c>
      <c r="D28" s="42" t="s">
        <v>54</v>
      </c>
      <c r="E28" s="42">
        <v>2</v>
      </c>
      <c r="F28" s="42">
        <v>4</v>
      </c>
      <c r="G28" s="44">
        <f t="shared" si="0"/>
        <v>80</v>
      </c>
      <c r="H28" s="45">
        <f t="shared" si="1"/>
        <v>66.666666666666671</v>
      </c>
      <c r="I28" s="47" t="s">
        <v>19</v>
      </c>
      <c r="J28" s="46" t="s">
        <v>232</v>
      </c>
    </row>
    <row r="29" spans="1:10" x14ac:dyDescent="0.25">
      <c r="A29" s="504"/>
      <c r="B29" s="40" t="s">
        <v>527</v>
      </c>
      <c r="C29" s="49" t="s">
        <v>568</v>
      </c>
      <c r="D29" s="42" t="s">
        <v>57</v>
      </c>
      <c r="E29" s="42">
        <v>2</v>
      </c>
      <c r="F29" s="42">
        <v>2</v>
      </c>
      <c r="G29" s="44">
        <f t="shared" si="0"/>
        <v>40</v>
      </c>
      <c r="H29" s="45">
        <f t="shared" si="1"/>
        <v>33.333333333333336</v>
      </c>
      <c r="I29" s="47" t="s">
        <v>19</v>
      </c>
      <c r="J29" s="46" t="s">
        <v>232</v>
      </c>
    </row>
    <row r="30" spans="1:10" x14ac:dyDescent="0.25">
      <c r="A30" s="504"/>
      <c r="B30" s="40" t="s">
        <v>569</v>
      </c>
      <c r="C30" s="49" t="s">
        <v>570</v>
      </c>
      <c r="D30" s="42" t="s">
        <v>60</v>
      </c>
      <c r="E30" s="42">
        <v>2</v>
      </c>
      <c r="F30" s="42">
        <v>2</v>
      </c>
      <c r="G30" s="44">
        <f t="shared" si="0"/>
        <v>40</v>
      </c>
      <c r="H30" s="45">
        <f t="shared" si="1"/>
        <v>33.333333333333336</v>
      </c>
      <c r="I30" s="47" t="s">
        <v>19</v>
      </c>
      <c r="J30" s="46" t="s">
        <v>251</v>
      </c>
    </row>
    <row r="31" spans="1:10" x14ac:dyDescent="0.25">
      <c r="A31" s="504"/>
      <c r="B31" s="52" t="s">
        <v>529</v>
      </c>
      <c r="C31" s="49" t="s">
        <v>530</v>
      </c>
      <c r="D31" s="42" t="s">
        <v>60</v>
      </c>
      <c r="E31" s="42">
        <v>1</v>
      </c>
      <c r="F31" s="42">
        <v>4</v>
      </c>
      <c r="G31" s="44">
        <f t="shared" si="0"/>
        <v>80</v>
      </c>
      <c r="H31" s="45">
        <f t="shared" si="1"/>
        <v>66.666666666666671</v>
      </c>
      <c r="I31" s="47" t="s">
        <v>19</v>
      </c>
      <c r="J31" s="46" t="s">
        <v>251</v>
      </c>
    </row>
    <row r="32" spans="1:10" ht="15.75" thickBot="1" x14ac:dyDescent="0.3">
      <c r="A32" s="111"/>
      <c r="B32" s="40" t="s">
        <v>571</v>
      </c>
      <c r="C32" s="49" t="s">
        <v>572</v>
      </c>
      <c r="D32" s="42" t="s">
        <v>60</v>
      </c>
      <c r="E32" s="42">
        <v>1</v>
      </c>
      <c r="F32" s="42">
        <v>2</v>
      </c>
      <c r="G32" s="44">
        <v>40</v>
      </c>
      <c r="H32" s="45">
        <f>(G32)*$C$37/60</f>
        <v>33.333333333333336</v>
      </c>
      <c r="I32" s="47" t="s">
        <v>299</v>
      </c>
      <c r="J32" s="46" t="s">
        <v>251</v>
      </c>
    </row>
    <row r="33" spans="1:9" ht="16.5" thickBot="1" x14ac:dyDescent="0.3">
      <c r="A33" s="508" t="s">
        <v>303</v>
      </c>
      <c r="B33" s="508"/>
      <c r="C33" s="508"/>
      <c r="D33" s="508"/>
      <c r="E33" s="508"/>
      <c r="F33" s="55" t="e">
        <f>(#REF!*$F$2*$C$37)/60</f>
        <v>#REF!</v>
      </c>
      <c r="G33" s="53" t="s">
        <v>304</v>
      </c>
      <c r="H33" s="55" t="e">
        <f>SUM(F33+#REF!+#REF!+#REF!)</f>
        <v>#REF!</v>
      </c>
      <c r="I33" s="36"/>
    </row>
    <row r="34" spans="1:9" ht="16.5" thickBot="1" x14ac:dyDescent="0.3">
      <c r="A34" s="61" t="s">
        <v>305</v>
      </c>
      <c r="B34" s="63"/>
      <c r="C34" s="63"/>
      <c r="D34" s="63"/>
      <c r="E34" s="63"/>
      <c r="F34" s="63"/>
      <c r="G34" s="64"/>
      <c r="H34" s="56" t="e">
        <f>H33</f>
        <v>#REF!</v>
      </c>
      <c r="I34" s="57"/>
    </row>
    <row r="35" spans="1:9" ht="16.5" thickBot="1" x14ac:dyDescent="0.3">
      <c r="A35" s="533" t="s">
        <v>306</v>
      </c>
      <c r="B35" s="533"/>
      <c r="C35" s="533"/>
      <c r="D35" s="533"/>
      <c r="E35" s="533"/>
      <c r="F35" s="533"/>
      <c r="G35" s="533"/>
      <c r="H35" s="58">
        <v>360</v>
      </c>
      <c r="I35" s="36"/>
    </row>
    <row r="36" spans="1:9" ht="16.5" thickBot="1" x14ac:dyDescent="0.3">
      <c r="A36" s="62" t="s">
        <v>308</v>
      </c>
      <c r="B36" s="76"/>
      <c r="C36" s="77"/>
      <c r="D36" s="77"/>
      <c r="E36" s="77"/>
      <c r="F36" s="77"/>
      <c r="G36" s="77"/>
      <c r="H36" s="55" t="e">
        <f>SUM(H34+H35)</f>
        <v>#REF!</v>
      </c>
      <c r="I36" s="36"/>
    </row>
    <row r="37" spans="1:9" ht="15.75" x14ac:dyDescent="0.25">
      <c r="A37" s="532" t="s">
        <v>309</v>
      </c>
      <c r="B37" s="532"/>
      <c r="C37" s="78">
        <v>50</v>
      </c>
      <c r="D37" s="79" t="s">
        <v>310</v>
      </c>
      <c r="E37" s="79"/>
      <c r="F37" s="79"/>
      <c r="G37" s="79"/>
      <c r="H37" s="80"/>
      <c r="I37" s="36"/>
    </row>
  </sheetData>
  <mergeCells count="12">
    <mergeCell ref="A37:B37"/>
    <mergeCell ref="J3:J4"/>
    <mergeCell ref="I3:I4"/>
    <mergeCell ref="A5:A11"/>
    <mergeCell ref="A12:A17"/>
    <mergeCell ref="A18:A24"/>
    <mergeCell ref="A25:A31"/>
    <mergeCell ref="A2:C2"/>
    <mergeCell ref="B3:B4"/>
    <mergeCell ref="C3:C4"/>
    <mergeCell ref="A33:E33"/>
    <mergeCell ref="A35:G35"/>
  </mergeCells>
  <dataValidations count="2">
    <dataValidation type="list" allowBlank="1" showInputMessage="1" showErrorMessage="1" sqref="J5:J31" xr:uid="{00000000-0002-0000-0D00-000000000000}">
      <formula1>Ambientes</formula1>
    </dataValidation>
    <dataValidation type="list" allowBlank="1" showInputMessage="1" showErrorMessage="1" sqref="I1:I1048576" xr:uid="{00000000-0002-0000-0D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41">
    <tabColor theme="9" tint="-0.249977111117893"/>
  </sheetPr>
  <dimension ref="A1:L43"/>
  <sheetViews>
    <sheetView topLeftCell="A34" workbookViewId="0">
      <selection activeCell="I35" sqref="I35"/>
    </sheetView>
  </sheetViews>
  <sheetFormatPr defaultColWidth="9.140625" defaultRowHeight="15" x14ac:dyDescent="0.25"/>
  <cols>
    <col min="2" max="2" width="47.5703125" customWidth="1"/>
    <col min="3" max="3" width="10.5703125" customWidth="1"/>
    <col min="9" max="9" width="15.42578125" bestFit="1" customWidth="1"/>
    <col min="10" max="10" width="26.5703125" bestFit="1" customWidth="1"/>
  </cols>
  <sheetData>
    <row r="1" spans="1:12" ht="15.75" thickBot="1" x14ac:dyDescent="0.3">
      <c r="A1" t="s">
        <v>729</v>
      </c>
      <c r="C1">
        <v>19</v>
      </c>
    </row>
    <row r="2" spans="1:12" ht="33.75" thickBot="1" x14ac:dyDescent="0.3">
      <c r="F2" s="119" t="s">
        <v>48</v>
      </c>
    </row>
    <row r="3" spans="1:12" ht="29.2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2" ht="15" customHeight="1" x14ac:dyDescent="0.25">
      <c r="A4" s="537" t="s">
        <v>51</v>
      </c>
      <c r="B4" s="8" t="s">
        <v>672</v>
      </c>
      <c r="C4" s="9" t="s">
        <v>730</v>
      </c>
      <c r="D4" s="10" t="s">
        <v>54</v>
      </c>
      <c r="E4" s="9">
        <v>1</v>
      </c>
      <c r="F4" s="122">
        <v>4</v>
      </c>
      <c r="G4" s="12">
        <f>F4*$C$1</f>
        <v>76</v>
      </c>
      <c r="H4" s="123">
        <f>G4*$C$43/60</f>
        <v>63.333333333333336</v>
      </c>
      <c r="I4" s="124" t="s">
        <v>20</v>
      </c>
      <c r="J4" s="125" t="s">
        <v>230</v>
      </c>
      <c r="L4" s="9">
        <v>2</v>
      </c>
    </row>
    <row r="5" spans="1:12" x14ac:dyDescent="0.25">
      <c r="A5" s="538"/>
      <c r="B5" s="14" t="s">
        <v>731</v>
      </c>
      <c r="C5" s="15" t="s">
        <v>732</v>
      </c>
      <c r="D5" s="16" t="s">
        <v>54</v>
      </c>
      <c r="E5" s="15">
        <v>1</v>
      </c>
      <c r="F5" s="126">
        <v>2</v>
      </c>
      <c r="G5" s="18">
        <f t="shared" ref="G5:G38" si="0">F5*$C$1</f>
        <v>38</v>
      </c>
      <c r="H5" s="127">
        <f t="shared" ref="H5:H38" si="1">G5*$C$43/60</f>
        <v>31.666666666666668</v>
      </c>
      <c r="I5" s="128" t="s">
        <v>20</v>
      </c>
      <c r="J5" s="129" t="s">
        <v>232</v>
      </c>
      <c r="L5" s="15">
        <v>2</v>
      </c>
    </row>
    <row r="6" spans="1:12" x14ac:dyDescent="0.25">
      <c r="A6" s="538"/>
      <c r="B6" s="14" t="s">
        <v>130</v>
      </c>
      <c r="C6" s="15" t="s">
        <v>733</v>
      </c>
      <c r="D6" s="16" t="s">
        <v>60</v>
      </c>
      <c r="E6" s="15">
        <v>1</v>
      </c>
      <c r="F6" s="126">
        <v>2</v>
      </c>
      <c r="G6" s="18">
        <f t="shared" si="0"/>
        <v>38</v>
      </c>
      <c r="H6" s="127">
        <f t="shared" si="1"/>
        <v>31.666666666666668</v>
      </c>
      <c r="I6" s="128" t="s">
        <v>19</v>
      </c>
      <c r="J6" s="129" t="s">
        <v>230</v>
      </c>
      <c r="L6" s="15">
        <v>1</v>
      </c>
    </row>
    <row r="7" spans="1:12" x14ac:dyDescent="0.25">
      <c r="A7" s="538"/>
      <c r="B7" s="14" t="s">
        <v>266</v>
      </c>
      <c r="C7" s="15" t="s">
        <v>734</v>
      </c>
      <c r="D7" s="16" t="s">
        <v>60</v>
      </c>
      <c r="E7" s="15">
        <v>1</v>
      </c>
      <c r="F7" s="126">
        <v>2</v>
      </c>
      <c r="G7" s="18">
        <f t="shared" si="0"/>
        <v>38</v>
      </c>
      <c r="H7" s="127">
        <f t="shared" si="1"/>
        <v>31.666666666666668</v>
      </c>
      <c r="I7" s="128" t="s">
        <v>19</v>
      </c>
      <c r="J7" s="129" t="s">
        <v>232</v>
      </c>
      <c r="L7" s="15">
        <v>1</v>
      </c>
    </row>
    <row r="8" spans="1:12" x14ac:dyDescent="0.25">
      <c r="A8" s="538"/>
      <c r="B8" s="14" t="s">
        <v>488</v>
      </c>
      <c r="C8" s="15" t="s">
        <v>735</v>
      </c>
      <c r="D8" s="16" t="s">
        <v>60</v>
      </c>
      <c r="E8" s="15">
        <v>1</v>
      </c>
      <c r="F8" s="126">
        <v>2</v>
      </c>
      <c r="G8" s="18">
        <f t="shared" si="0"/>
        <v>38</v>
      </c>
      <c r="H8" s="127">
        <f t="shared" si="1"/>
        <v>31.666666666666668</v>
      </c>
      <c r="I8" s="128" t="s">
        <v>19</v>
      </c>
      <c r="J8" s="129" t="s">
        <v>230</v>
      </c>
      <c r="L8" s="15">
        <v>1</v>
      </c>
    </row>
    <row r="9" spans="1:12" x14ac:dyDescent="0.25">
      <c r="A9" s="577"/>
      <c r="B9" s="130" t="s">
        <v>490</v>
      </c>
      <c r="C9" s="131" t="s">
        <v>736</v>
      </c>
      <c r="D9" s="132" t="s">
        <v>57</v>
      </c>
      <c r="E9" s="131">
        <v>1</v>
      </c>
      <c r="F9" s="133">
        <v>2</v>
      </c>
      <c r="G9" s="18">
        <f t="shared" si="0"/>
        <v>38</v>
      </c>
      <c r="H9" s="127">
        <f t="shared" si="1"/>
        <v>31.666666666666668</v>
      </c>
      <c r="I9" s="134" t="s">
        <v>19</v>
      </c>
      <c r="J9" s="135" t="s">
        <v>230</v>
      </c>
      <c r="L9" s="131">
        <v>2</v>
      </c>
    </row>
    <row r="10" spans="1:12" x14ac:dyDescent="0.25">
      <c r="A10" s="577"/>
      <c r="B10" s="130" t="s">
        <v>492</v>
      </c>
      <c r="C10" s="131" t="s">
        <v>737</v>
      </c>
      <c r="D10" s="132" t="s">
        <v>60</v>
      </c>
      <c r="E10" s="131">
        <v>1</v>
      </c>
      <c r="F10" s="133">
        <v>2</v>
      </c>
      <c r="G10" s="146">
        <f t="shared" si="0"/>
        <v>38</v>
      </c>
      <c r="H10" s="147">
        <f t="shared" si="1"/>
        <v>31.666666666666668</v>
      </c>
      <c r="I10" s="134" t="s">
        <v>21</v>
      </c>
      <c r="J10" s="135" t="s">
        <v>230</v>
      </c>
      <c r="L10" s="131">
        <v>2</v>
      </c>
    </row>
    <row r="11" spans="1:12" x14ac:dyDescent="0.25">
      <c r="A11" s="577"/>
      <c r="B11" s="130" t="s">
        <v>738</v>
      </c>
      <c r="C11" s="131" t="s">
        <v>739</v>
      </c>
      <c r="D11" s="132" t="s">
        <v>60</v>
      </c>
      <c r="E11" s="131">
        <v>1</v>
      </c>
      <c r="F11" s="133">
        <v>2</v>
      </c>
      <c r="G11" s="146">
        <f t="shared" si="0"/>
        <v>38</v>
      </c>
      <c r="H11" s="147">
        <f t="shared" si="1"/>
        <v>31.666666666666668</v>
      </c>
      <c r="I11" s="134" t="s">
        <v>19</v>
      </c>
      <c r="J11" s="135" t="s">
        <v>230</v>
      </c>
      <c r="L11" s="131">
        <v>2</v>
      </c>
    </row>
    <row r="12" spans="1:12" ht="15.75" thickBot="1" x14ac:dyDescent="0.3">
      <c r="A12" s="541"/>
      <c r="B12" s="20" t="s">
        <v>740</v>
      </c>
      <c r="C12" s="21" t="s">
        <v>741</v>
      </c>
      <c r="D12" s="22" t="s">
        <v>54</v>
      </c>
      <c r="E12" s="21">
        <v>1</v>
      </c>
      <c r="F12" s="136">
        <v>2</v>
      </c>
      <c r="G12" s="24">
        <f t="shared" si="0"/>
        <v>38</v>
      </c>
      <c r="H12" s="137">
        <f t="shared" si="1"/>
        <v>31.666666666666668</v>
      </c>
      <c r="I12" s="138" t="s">
        <v>1189</v>
      </c>
      <c r="J12" s="139" t="s">
        <v>231</v>
      </c>
      <c r="L12" s="21">
        <v>2</v>
      </c>
    </row>
    <row r="13" spans="1:12" ht="15" customHeight="1" x14ac:dyDescent="0.25">
      <c r="A13" s="537" t="s">
        <v>67</v>
      </c>
      <c r="B13" s="8" t="s">
        <v>742</v>
      </c>
      <c r="C13" s="9" t="s">
        <v>748</v>
      </c>
      <c r="D13" s="10" t="s">
        <v>54</v>
      </c>
      <c r="E13" s="9">
        <v>1</v>
      </c>
      <c r="F13" s="122">
        <v>2</v>
      </c>
      <c r="G13" s="12">
        <f t="shared" si="0"/>
        <v>38</v>
      </c>
      <c r="H13" s="123">
        <f t="shared" si="1"/>
        <v>31.666666666666668</v>
      </c>
      <c r="I13" s="124" t="s">
        <v>20</v>
      </c>
      <c r="J13" s="125" t="s">
        <v>230</v>
      </c>
      <c r="L13" s="9">
        <v>2</v>
      </c>
    </row>
    <row r="14" spans="1:12" x14ac:dyDescent="0.25">
      <c r="A14" s="540"/>
      <c r="B14" s="140" t="s">
        <v>743</v>
      </c>
      <c r="C14" s="141" t="s">
        <v>751</v>
      </c>
      <c r="D14" s="142" t="s">
        <v>54</v>
      </c>
      <c r="E14" s="141">
        <v>1</v>
      </c>
      <c r="F14" s="143">
        <v>2</v>
      </c>
      <c r="G14" s="18">
        <f t="shared" si="0"/>
        <v>38</v>
      </c>
      <c r="H14" s="127">
        <f t="shared" si="1"/>
        <v>31.666666666666668</v>
      </c>
      <c r="I14" s="144" t="s">
        <v>20</v>
      </c>
      <c r="J14" s="145" t="s">
        <v>232</v>
      </c>
      <c r="L14" s="141">
        <v>2</v>
      </c>
    </row>
    <row r="15" spans="1:12" x14ac:dyDescent="0.25">
      <c r="A15" s="540"/>
      <c r="B15" s="140" t="s">
        <v>87</v>
      </c>
      <c r="C15" s="141" t="s">
        <v>749</v>
      </c>
      <c r="D15" s="142" t="s">
        <v>54</v>
      </c>
      <c r="E15" s="141">
        <v>1</v>
      </c>
      <c r="F15" s="143">
        <v>4</v>
      </c>
      <c r="G15" s="18">
        <f t="shared" si="0"/>
        <v>76</v>
      </c>
      <c r="H15" s="127">
        <f t="shared" si="1"/>
        <v>63.333333333333336</v>
      </c>
      <c r="I15" s="144" t="s">
        <v>20</v>
      </c>
      <c r="J15" s="145" t="s">
        <v>231</v>
      </c>
      <c r="L15" s="141">
        <v>2</v>
      </c>
    </row>
    <row r="16" spans="1:12" x14ac:dyDescent="0.25">
      <c r="A16" s="540"/>
      <c r="B16" s="140" t="s">
        <v>744</v>
      </c>
      <c r="C16" s="141" t="s">
        <v>750</v>
      </c>
      <c r="D16" s="142" t="s">
        <v>54</v>
      </c>
      <c r="E16" s="141">
        <v>1</v>
      </c>
      <c r="F16" s="143">
        <v>2</v>
      </c>
      <c r="G16" s="18">
        <f t="shared" si="0"/>
        <v>38</v>
      </c>
      <c r="H16" s="127">
        <f t="shared" si="1"/>
        <v>31.666666666666668</v>
      </c>
      <c r="I16" s="144" t="s">
        <v>19</v>
      </c>
      <c r="J16" s="145" t="s">
        <v>230</v>
      </c>
      <c r="L16" s="141">
        <v>2</v>
      </c>
    </row>
    <row r="17" spans="1:12" x14ac:dyDescent="0.25">
      <c r="A17" s="538"/>
      <c r="B17" s="14" t="s">
        <v>745</v>
      </c>
      <c r="C17" s="15" t="s">
        <v>752</v>
      </c>
      <c r="D17" s="16" t="s">
        <v>54</v>
      </c>
      <c r="E17" s="15">
        <v>1</v>
      </c>
      <c r="F17" s="126">
        <v>2</v>
      </c>
      <c r="G17" s="18">
        <f t="shared" si="0"/>
        <v>38</v>
      </c>
      <c r="H17" s="127">
        <f t="shared" si="1"/>
        <v>31.666666666666668</v>
      </c>
      <c r="I17" s="128" t="s">
        <v>19</v>
      </c>
      <c r="J17" s="129" t="s">
        <v>230</v>
      </c>
      <c r="L17" s="15">
        <v>2</v>
      </c>
    </row>
    <row r="18" spans="1:12" x14ac:dyDescent="0.25">
      <c r="A18" s="538"/>
      <c r="B18" s="14" t="s">
        <v>126</v>
      </c>
      <c r="C18" s="15" t="s">
        <v>753</v>
      </c>
      <c r="D18" s="16" t="s">
        <v>54</v>
      </c>
      <c r="E18" s="15">
        <v>1</v>
      </c>
      <c r="F18" s="126">
        <v>2</v>
      </c>
      <c r="G18" s="18">
        <f t="shared" si="0"/>
        <v>38</v>
      </c>
      <c r="H18" s="127">
        <f t="shared" si="1"/>
        <v>31.666666666666668</v>
      </c>
      <c r="I18" s="128" t="s">
        <v>19</v>
      </c>
      <c r="J18" s="129" t="s">
        <v>230</v>
      </c>
      <c r="L18" s="15">
        <v>2</v>
      </c>
    </row>
    <row r="19" spans="1:12" ht="15" customHeight="1" x14ac:dyDescent="0.25">
      <c r="A19" s="538"/>
      <c r="B19" s="14" t="s">
        <v>746</v>
      </c>
      <c r="C19" s="15" t="s">
        <v>754</v>
      </c>
      <c r="D19" s="16" t="s">
        <v>57</v>
      </c>
      <c r="E19" s="15">
        <v>1</v>
      </c>
      <c r="F19" s="126">
        <v>2</v>
      </c>
      <c r="G19" s="18">
        <f t="shared" si="0"/>
        <v>38</v>
      </c>
      <c r="H19" s="127">
        <f t="shared" si="1"/>
        <v>31.666666666666668</v>
      </c>
      <c r="I19" s="128" t="s">
        <v>19</v>
      </c>
      <c r="J19" s="129" t="s">
        <v>230</v>
      </c>
      <c r="L19" s="15">
        <v>2</v>
      </c>
    </row>
    <row r="20" spans="1:12" ht="15.75" thickBot="1" x14ac:dyDescent="0.3">
      <c r="A20" s="541"/>
      <c r="B20" s="20" t="s">
        <v>747</v>
      </c>
      <c r="C20" s="21" t="s">
        <v>755</v>
      </c>
      <c r="D20" s="22" t="s">
        <v>57</v>
      </c>
      <c r="E20" s="21">
        <v>1</v>
      </c>
      <c r="F20" s="136">
        <v>2</v>
      </c>
      <c r="G20" s="24">
        <f t="shared" si="0"/>
        <v>38</v>
      </c>
      <c r="H20" s="137">
        <f t="shared" si="1"/>
        <v>31.666666666666668</v>
      </c>
      <c r="I20" s="138" t="s">
        <v>1189</v>
      </c>
      <c r="J20" s="139" t="s">
        <v>232</v>
      </c>
      <c r="L20" s="21">
        <v>2</v>
      </c>
    </row>
    <row r="21" spans="1:12" x14ac:dyDescent="0.25">
      <c r="A21" s="537" t="s">
        <v>85</v>
      </c>
      <c r="B21" s="8" t="s">
        <v>756</v>
      </c>
      <c r="C21" s="9" t="s">
        <v>764</v>
      </c>
      <c r="D21" s="10" t="s">
        <v>54</v>
      </c>
      <c r="E21" s="9">
        <v>1</v>
      </c>
      <c r="F21" s="122">
        <v>2</v>
      </c>
      <c r="G21" s="12">
        <f t="shared" si="0"/>
        <v>38</v>
      </c>
      <c r="H21" s="123">
        <f t="shared" si="1"/>
        <v>31.666666666666668</v>
      </c>
      <c r="I21" s="124" t="s">
        <v>20</v>
      </c>
      <c r="J21" s="125" t="s">
        <v>232</v>
      </c>
      <c r="L21" s="9">
        <v>2</v>
      </c>
    </row>
    <row r="22" spans="1:12" x14ac:dyDescent="0.25">
      <c r="A22" s="538"/>
      <c r="B22" s="14" t="s">
        <v>101</v>
      </c>
      <c r="C22" s="15" t="s">
        <v>765</v>
      </c>
      <c r="D22" s="16" t="s">
        <v>54</v>
      </c>
      <c r="E22" s="15">
        <v>1</v>
      </c>
      <c r="F22" s="126">
        <v>2</v>
      </c>
      <c r="G22" s="18">
        <f t="shared" si="0"/>
        <v>38</v>
      </c>
      <c r="H22" s="127">
        <f t="shared" si="1"/>
        <v>31.666666666666668</v>
      </c>
      <c r="I22" s="128" t="s">
        <v>20</v>
      </c>
      <c r="J22" s="129" t="s">
        <v>231</v>
      </c>
      <c r="L22" s="15">
        <v>2</v>
      </c>
    </row>
    <row r="23" spans="1:12" x14ac:dyDescent="0.25">
      <c r="A23" s="538"/>
      <c r="B23" s="14" t="s">
        <v>757</v>
      </c>
      <c r="C23" s="15" t="s">
        <v>766</v>
      </c>
      <c r="D23" s="16" t="s">
        <v>57</v>
      </c>
      <c r="E23" s="15">
        <v>1</v>
      </c>
      <c r="F23" s="126">
        <v>2</v>
      </c>
      <c r="G23" s="18">
        <f t="shared" si="0"/>
        <v>38</v>
      </c>
      <c r="H23" s="127">
        <f t="shared" si="1"/>
        <v>31.666666666666668</v>
      </c>
      <c r="I23" s="128" t="s">
        <v>20</v>
      </c>
      <c r="J23" s="129"/>
      <c r="L23" s="15">
        <v>2</v>
      </c>
    </row>
    <row r="24" spans="1:12" x14ac:dyDescent="0.25">
      <c r="A24" s="538"/>
      <c r="B24" s="14" t="s">
        <v>758</v>
      </c>
      <c r="C24" s="15" t="s">
        <v>767</v>
      </c>
      <c r="D24" s="16" t="s">
        <v>57</v>
      </c>
      <c r="E24" s="15">
        <v>1</v>
      </c>
      <c r="F24" s="126">
        <v>2</v>
      </c>
      <c r="G24" s="18">
        <f t="shared" si="0"/>
        <v>38</v>
      </c>
      <c r="H24" s="127">
        <f t="shared" si="1"/>
        <v>31.666666666666668</v>
      </c>
      <c r="I24" s="128" t="s">
        <v>19</v>
      </c>
      <c r="J24" s="129" t="s">
        <v>232</v>
      </c>
      <c r="L24" s="15">
        <v>2</v>
      </c>
    </row>
    <row r="25" spans="1:12" x14ac:dyDescent="0.25">
      <c r="A25" s="538"/>
      <c r="B25" s="14" t="s">
        <v>759</v>
      </c>
      <c r="C25" s="15" t="s">
        <v>768</v>
      </c>
      <c r="D25" s="16" t="s">
        <v>54</v>
      </c>
      <c r="E25" s="15">
        <v>1</v>
      </c>
      <c r="F25" s="126">
        <v>4</v>
      </c>
      <c r="G25" s="18">
        <f t="shared" si="0"/>
        <v>76</v>
      </c>
      <c r="H25" s="127">
        <f t="shared" si="1"/>
        <v>63.333333333333336</v>
      </c>
      <c r="I25" s="128" t="s">
        <v>19</v>
      </c>
      <c r="J25" s="129" t="s">
        <v>230</v>
      </c>
      <c r="L25" s="15">
        <v>2</v>
      </c>
    </row>
    <row r="26" spans="1:12" x14ac:dyDescent="0.25">
      <c r="A26" s="538"/>
      <c r="B26" s="14" t="s">
        <v>760</v>
      </c>
      <c r="C26" s="15" t="s">
        <v>769</v>
      </c>
      <c r="D26" s="16" t="s">
        <v>60</v>
      </c>
      <c r="E26" s="15">
        <v>1</v>
      </c>
      <c r="F26" s="126">
        <v>2</v>
      </c>
      <c r="G26" s="18">
        <f t="shared" si="0"/>
        <v>38</v>
      </c>
      <c r="H26" s="127">
        <f t="shared" si="1"/>
        <v>31.666666666666668</v>
      </c>
      <c r="I26" s="128" t="s">
        <v>19</v>
      </c>
      <c r="J26" s="129" t="s">
        <v>232</v>
      </c>
      <c r="L26" s="15">
        <v>1</v>
      </c>
    </row>
    <row r="27" spans="1:12" ht="15" customHeight="1" x14ac:dyDescent="0.25">
      <c r="A27" s="538"/>
      <c r="B27" s="14" t="s">
        <v>761</v>
      </c>
      <c r="C27" s="15" t="s">
        <v>770</v>
      </c>
      <c r="D27" s="16" t="s">
        <v>60</v>
      </c>
      <c r="E27" s="15">
        <v>1</v>
      </c>
      <c r="F27" s="126">
        <v>2</v>
      </c>
      <c r="G27" s="18">
        <f t="shared" si="0"/>
        <v>38</v>
      </c>
      <c r="H27" s="127">
        <f t="shared" si="1"/>
        <v>31.666666666666668</v>
      </c>
      <c r="I27" s="128" t="s">
        <v>19</v>
      </c>
      <c r="J27" s="129" t="s">
        <v>232</v>
      </c>
      <c r="L27" s="15">
        <v>1</v>
      </c>
    </row>
    <row r="28" spans="1:12" ht="15" customHeight="1" x14ac:dyDescent="0.25">
      <c r="A28" s="577"/>
      <c r="B28" s="130" t="s">
        <v>762</v>
      </c>
      <c r="C28" s="131" t="s">
        <v>771</v>
      </c>
      <c r="D28" s="132" t="s">
        <v>60</v>
      </c>
      <c r="E28" s="131">
        <v>1</v>
      </c>
      <c r="F28" s="133">
        <v>2</v>
      </c>
      <c r="G28" s="146">
        <f t="shared" si="0"/>
        <v>38</v>
      </c>
      <c r="H28" s="147">
        <f t="shared" si="1"/>
        <v>31.666666666666668</v>
      </c>
      <c r="I28" s="134" t="s">
        <v>19</v>
      </c>
      <c r="J28" s="135"/>
      <c r="L28" s="131">
        <v>1</v>
      </c>
    </row>
    <row r="29" spans="1:12" ht="15.75" thickBot="1" x14ac:dyDescent="0.3">
      <c r="A29" s="541"/>
      <c r="B29" s="20" t="s">
        <v>763</v>
      </c>
      <c r="C29" s="21" t="s">
        <v>772</v>
      </c>
      <c r="D29" s="22" t="s">
        <v>60</v>
      </c>
      <c r="E29" s="21">
        <v>1</v>
      </c>
      <c r="F29" s="136">
        <v>2</v>
      </c>
      <c r="G29" s="24">
        <f t="shared" si="0"/>
        <v>38</v>
      </c>
      <c r="H29" s="137">
        <f t="shared" si="1"/>
        <v>31.666666666666668</v>
      </c>
      <c r="I29" s="138" t="s">
        <v>1213</v>
      </c>
      <c r="J29" s="139" t="s">
        <v>231</v>
      </c>
      <c r="L29" s="21">
        <v>1</v>
      </c>
    </row>
    <row r="30" spans="1:12" x14ac:dyDescent="0.25">
      <c r="A30" s="537" t="s">
        <v>99</v>
      </c>
      <c r="B30" s="8" t="s">
        <v>773</v>
      </c>
      <c r="C30" s="9" t="s">
        <v>780</v>
      </c>
      <c r="D30" s="10" t="s">
        <v>54</v>
      </c>
      <c r="E30" s="9">
        <v>1</v>
      </c>
      <c r="F30" s="122">
        <v>2</v>
      </c>
      <c r="G30" s="12">
        <f t="shared" si="0"/>
        <v>38</v>
      </c>
      <c r="H30" s="123">
        <f t="shared" si="1"/>
        <v>31.666666666666668</v>
      </c>
      <c r="I30" s="124" t="s">
        <v>20</v>
      </c>
      <c r="J30" s="125" t="s">
        <v>231</v>
      </c>
      <c r="L30" s="9">
        <v>2</v>
      </c>
    </row>
    <row r="31" spans="1:12" x14ac:dyDescent="0.25">
      <c r="A31" s="538"/>
      <c r="B31" s="14" t="s">
        <v>774</v>
      </c>
      <c r="C31" s="15" t="s">
        <v>781</v>
      </c>
      <c r="D31" s="16" t="s">
        <v>60</v>
      </c>
      <c r="E31" s="15">
        <v>1</v>
      </c>
      <c r="F31" s="126">
        <v>2</v>
      </c>
      <c r="G31" s="18">
        <f t="shared" si="0"/>
        <v>38</v>
      </c>
      <c r="H31" s="127">
        <f t="shared" si="1"/>
        <v>31.666666666666668</v>
      </c>
      <c r="I31" s="128" t="s">
        <v>19</v>
      </c>
      <c r="J31" s="129" t="s">
        <v>233</v>
      </c>
      <c r="L31" s="15">
        <v>2</v>
      </c>
    </row>
    <row r="32" spans="1:12" x14ac:dyDescent="0.25">
      <c r="A32" s="538"/>
      <c r="B32" s="14" t="s">
        <v>775</v>
      </c>
      <c r="C32" s="15" t="s">
        <v>782</v>
      </c>
      <c r="D32" s="16" t="s">
        <v>57</v>
      </c>
      <c r="E32" s="15">
        <v>1</v>
      </c>
      <c r="F32" s="126">
        <v>2</v>
      </c>
      <c r="G32" s="18">
        <f t="shared" si="0"/>
        <v>38</v>
      </c>
      <c r="H32" s="127">
        <f t="shared" si="1"/>
        <v>31.666666666666668</v>
      </c>
      <c r="I32" s="128" t="s">
        <v>20</v>
      </c>
      <c r="J32" s="129"/>
      <c r="L32" s="15">
        <v>1</v>
      </c>
    </row>
    <row r="33" spans="1:12" x14ac:dyDescent="0.25">
      <c r="A33" s="538"/>
      <c r="B33" s="14" t="s">
        <v>776</v>
      </c>
      <c r="C33" s="15" t="s">
        <v>783</v>
      </c>
      <c r="D33" s="16" t="s">
        <v>57</v>
      </c>
      <c r="E33" s="15">
        <v>1</v>
      </c>
      <c r="F33" s="126">
        <v>2</v>
      </c>
      <c r="G33" s="18">
        <f t="shared" si="0"/>
        <v>38</v>
      </c>
      <c r="H33" s="127">
        <f t="shared" si="1"/>
        <v>31.666666666666668</v>
      </c>
      <c r="I33" s="128" t="s">
        <v>20</v>
      </c>
      <c r="J33" s="129"/>
      <c r="L33" s="15">
        <v>1</v>
      </c>
    </row>
    <row r="34" spans="1:12" x14ac:dyDescent="0.25">
      <c r="A34" s="538"/>
      <c r="B34" s="14" t="s">
        <v>154</v>
      </c>
      <c r="C34" s="15" t="s">
        <v>784</v>
      </c>
      <c r="D34" s="16" t="s">
        <v>54</v>
      </c>
      <c r="E34" s="15">
        <v>1</v>
      </c>
      <c r="F34" s="126">
        <v>2</v>
      </c>
      <c r="G34" s="18">
        <f t="shared" si="0"/>
        <v>38</v>
      </c>
      <c r="H34" s="127">
        <f t="shared" si="1"/>
        <v>31.666666666666668</v>
      </c>
      <c r="I34" s="128" t="s">
        <v>19</v>
      </c>
      <c r="J34" s="129"/>
      <c r="L34" s="15">
        <v>2</v>
      </c>
    </row>
    <row r="35" spans="1:12" x14ac:dyDescent="0.25">
      <c r="A35" s="538"/>
      <c r="B35" s="14" t="s">
        <v>777</v>
      </c>
      <c r="C35" s="15" t="s">
        <v>785</v>
      </c>
      <c r="D35" s="16" t="s">
        <v>60</v>
      </c>
      <c r="E35" s="15">
        <v>1</v>
      </c>
      <c r="F35" s="126">
        <v>2</v>
      </c>
      <c r="G35" s="18">
        <f t="shared" si="0"/>
        <v>38</v>
      </c>
      <c r="H35" s="127">
        <f t="shared" si="1"/>
        <v>31.666666666666668</v>
      </c>
      <c r="I35" s="128" t="s">
        <v>19</v>
      </c>
      <c r="J35" s="129"/>
      <c r="L35" s="15">
        <v>1</v>
      </c>
    </row>
    <row r="36" spans="1:12" x14ac:dyDescent="0.25">
      <c r="A36" s="538"/>
      <c r="B36" s="14" t="s">
        <v>778</v>
      </c>
      <c r="C36" s="15" t="s">
        <v>786</v>
      </c>
      <c r="D36" s="16" t="s">
        <v>57</v>
      </c>
      <c r="E36" s="15">
        <v>1</v>
      </c>
      <c r="F36" s="126">
        <v>2</v>
      </c>
      <c r="G36" s="18">
        <f t="shared" si="0"/>
        <v>38</v>
      </c>
      <c r="H36" s="127">
        <f t="shared" si="1"/>
        <v>31.666666666666668</v>
      </c>
      <c r="I36" s="128" t="s">
        <v>19</v>
      </c>
      <c r="J36" s="129" t="s">
        <v>231</v>
      </c>
      <c r="L36" s="15">
        <v>2</v>
      </c>
    </row>
    <row r="37" spans="1:12" x14ac:dyDescent="0.25">
      <c r="A37" s="538"/>
      <c r="B37" s="14" t="s">
        <v>779</v>
      </c>
      <c r="C37" s="15" t="s">
        <v>787</v>
      </c>
      <c r="D37" s="16" t="s">
        <v>60</v>
      </c>
      <c r="E37" s="15">
        <v>1</v>
      </c>
      <c r="F37" s="126">
        <v>2</v>
      </c>
      <c r="G37" s="18">
        <f t="shared" si="0"/>
        <v>38</v>
      </c>
      <c r="H37" s="127">
        <f t="shared" si="1"/>
        <v>31.666666666666668</v>
      </c>
      <c r="I37" s="128" t="s">
        <v>19</v>
      </c>
      <c r="J37" s="129" t="s">
        <v>232</v>
      </c>
      <c r="L37" s="15">
        <v>1</v>
      </c>
    </row>
    <row r="38" spans="1:12" ht="15.75" thickBot="1" x14ac:dyDescent="0.3">
      <c r="A38" s="541"/>
      <c r="B38" s="20" t="s">
        <v>529</v>
      </c>
      <c r="C38" s="21" t="s">
        <v>788</v>
      </c>
      <c r="D38" s="22" t="s">
        <v>57</v>
      </c>
      <c r="E38" s="21">
        <v>1</v>
      </c>
      <c r="F38" s="136">
        <v>2</v>
      </c>
      <c r="G38" s="24">
        <f t="shared" si="0"/>
        <v>38</v>
      </c>
      <c r="H38" s="137">
        <f t="shared" si="1"/>
        <v>31.666666666666668</v>
      </c>
      <c r="I38" s="138" t="s">
        <v>19</v>
      </c>
      <c r="J38" s="139" t="s">
        <v>231</v>
      </c>
      <c r="L38" s="21">
        <v>2</v>
      </c>
    </row>
    <row r="39" spans="1:12" ht="16.5" thickBot="1" x14ac:dyDescent="0.3">
      <c r="A39" s="508" t="s">
        <v>303</v>
      </c>
      <c r="B39" s="508"/>
      <c r="C39" s="508"/>
      <c r="D39" s="508"/>
      <c r="E39" s="508"/>
      <c r="F39" s="55" t="e">
        <f>(F38*#REF!*$C$44)/60</f>
        <v>#REF!</v>
      </c>
      <c r="G39" s="53" t="s">
        <v>304</v>
      </c>
      <c r="H39" s="55" t="e">
        <f>SUM(F39+#REF!+#REF!+#REF!)</f>
        <v>#REF!</v>
      </c>
      <c r="I39" s="36"/>
    </row>
    <row r="40" spans="1:12" ht="16.5" thickBot="1" x14ac:dyDescent="0.3">
      <c r="A40" s="61" t="s">
        <v>305</v>
      </c>
      <c r="B40" s="63"/>
      <c r="C40" s="63"/>
      <c r="D40" s="63"/>
      <c r="E40" s="63"/>
      <c r="F40" s="63"/>
      <c r="G40" s="64"/>
      <c r="H40" s="56" t="e">
        <f>H39</f>
        <v>#REF!</v>
      </c>
      <c r="I40" s="57"/>
    </row>
    <row r="41" spans="1:12" ht="16.5" thickBot="1" x14ac:dyDescent="0.3">
      <c r="A41" s="61" t="s">
        <v>306</v>
      </c>
      <c r="B41" s="63"/>
      <c r="C41" s="63"/>
      <c r="D41" s="63"/>
      <c r="E41" s="63"/>
      <c r="F41" s="63"/>
      <c r="G41" s="75"/>
      <c r="H41" s="58">
        <v>360</v>
      </c>
      <c r="I41" s="36"/>
    </row>
    <row r="42" spans="1:12" ht="16.5" thickBot="1" x14ac:dyDescent="0.3">
      <c r="A42" s="62" t="s">
        <v>308</v>
      </c>
      <c r="B42" s="76"/>
      <c r="C42" s="77"/>
      <c r="D42" s="77"/>
      <c r="E42" s="77"/>
      <c r="F42" s="77"/>
      <c r="G42" s="77"/>
      <c r="H42" s="55" t="e">
        <f>SUM(H40+H41)</f>
        <v>#REF!</v>
      </c>
      <c r="I42" s="36"/>
    </row>
    <row r="43" spans="1:12" ht="15.75" x14ac:dyDescent="0.25">
      <c r="A43" s="532" t="s">
        <v>309</v>
      </c>
      <c r="B43" s="532"/>
      <c r="C43" s="78">
        <v>50</v>
      </c>
      <c r="D43" s="79" t="s">
        <v>310</v>
      </c>
      <c r="E43" s="79"/>
      <c r="F43" s="79"/>
      <c r="G43" s="79"/>
      <c r="H43" s="80"/>
      <c r="I43" s="36"/>
    </row>
  </sheetData>
  <mergeCells count="6">
    <mergeCell ref="A43:B43"/>
    <mergeCell ref="A4:A12"/>
    <mergeCell ref="A13:A20"/>
    <mergeCell ref="A21:A29"/>
    <mergeCell ref="A30:A38"/>
    <mergeCell ref="A39:E39"/>
  </mergeCells>
  <dataValidations count="2">
    <dataValidation type="list" allowBlank="1" showInputMessage="1" showErrorMessage="1" sqref="I4:I37" xr:uid="{00000000-0002-0000-0E00-000000000000}">
      <formula1>Áreas</formula1>
    </dataValidation>
    <dataValidation type="list" allowBlank="1" showInputMessage="1" showErrorMessage="1" sqref="J4:J38" xr:uid="{00000000-0002-0000-0E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9">
    <tabColor theme="9" tint="-0.249977111117893"/>
  </sheetPr>
  <dimension ref="A1:L43"/>
  <sheetViews>
    <sheetView topLeftCell="A7" workbookViewId="0">
      <selection activeCell="F14" sqref="F14"/>
    </sheetView>
  </sheetViews>
  <sheetFormatPr defaultColWidth="9.140625" defaultRowHeight="15" x14ac:dyDescent="0.25"/>
  <cols>
    <col min="2" max="2" width="47.5703125" customWidth="1"/>
    <col min="3" max="3" width="10.5703125" customWidth="1"/>
    <col min="9" max="9" width="15.42578125" bestFit="1" customWidth="1"/>
    <col min="10" max="10" width="26.5703125" bestFit="1" customWidth="1"/>
  </cols>
  <sheetData>
    <row r="1" spans="1:12" ht="15.75" thickBot="1" x14ac:dyDescent="0.3">
      <c r="A1" t="s">
        <v>729</v>
      </c>
      <c r="C1">
        <v>19</v>
      </c>
    </row>
    <row r="2" spans="1:12" ht="33.75" thickBot="1" x14ac:dyDescent="0.3">
      <c r="F2" s="119" t="s">
        <v>48</v>
      </c>
    </row>
    <row r="3" spans="1:12" ht="29.2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2" ht="15" customHeight="1" x14ac:dyDescent="0.25">
      <c r="A4" s="537" t="s">
        <v>51</v>
      </c>
      <c r="B4" s="8" t="s">
        <v>672</v>
      </c>
      <c r="C4" s="9" t="s">
        <v>730</v>
      </c>
      <c r="D4" s="10" t="s">
        <v>54</v>
      </c>
      <c r="E4" s="9">
        <v>1</v>
      </c>
      <c r="F4" s="122">
        <v>4</v>
      </c>
      <c r="G4" s="12">
        <f>F4*$C$1</f>
        <v>76</v>
      </c>
      <c r="H4" s="123">
        <f>G4*$C$43/60</f>
        <v>63.333333333333336</v>
      </c>
      <c r="I4" s="124" t="s">
        <v>20</v>
      </c>
      <c r="J4" s="125" t="s">
        <v>230</v>
      </c>
      <c r="L4" s="9">
        <v>2</v>
      </c>
    </row>
    <row r="5" spans="1:12" x14ac:dyDescent="0.25">
      <c r="A5" s="538"/>
      <c r="B5" s="14" t="s">
        <v>731</v>
      </c>
      <c r="C5" s="15" t="s">
        <v>732</v>
      </c>
      <c r="D5" s="16" t="s">
        <v>54</v>
      </c>
      <c r="E5" s="15">
        <v>1</v>
      </c>
      <c r="F5" s="126">
        <v>2</v>
      </c>
      <c r="G5" s="18">
        <f t="shared" ref="G5:G38" si="0">F5*$C$1</f>
        <v>38</v>
      </c>
      <c r="H5" s="127">
        <f t="shared" ref="H5:H38" si="1">G5*$C$43/60</f>
        <v>31.666666666666668</v>
      </c>
      <c r="I5" s="128" t="s">
        <v>20</v>
      </c>
      <c r="J5" s="129" t="s">
        <v>232</v>
      </c>
      <c r="L5" s="15">
        <v>2</v>
      </c>
    </row>
    <row r="6" spans="1:12" x14ac:dyDescent="0.25">
      <c r="A6" s="538"/>
      <c r="B6" s="14" t="s">
        <v>130</v>
      </c>
      <c r="C6" s="15" t="s">
        <v>733</v>
      </c>
      <c r="D6" s="16" t="s">
        <v>60</v>
      </c>
      <c r="E6" s="15">
        <v>1</v>
      </c>
      <c r="F6" s="126">
        <v>2</v>
      </c>
      <c r="G6" s="18">
        <f t="shared" si="0"/>
        <v>38</v>
      </c>
      <c r="H6" s="127">
        <f t="shared" si="1"/>
        <v>31.666666666666668</v>
      </c>
      <c r="I6" s="128" t="s">
        <v>19</v>
      </c>
      <c r="J6" s="129" t="s">
        <v>230</v>
      </c>
      <c r="L6" s="15">
        <v>1</v>
      </c>
    </row>
    <row r="7" spans="1:12" x14ac:dyDescent="0.25">
      <c r="A7" s="538"/>
      <c r="B7" s="14" t="s">
        <v>266</v>
      </c>
      <c r="C7" s="15" t="s">
        <v>734</v>
      </c>
      <c r="D7" s="16" t="s">
        <v>60</v>
      </c>
      <c r="E7" s="15">
        <v>1</v>
      </c>
      <c r="F7" s="126">
        <v>2</v>
      </c>
      <c r="G7" s="18">
        <f t="shared" si="0"/>
        <v>38</v>
      </c>
      <c r="H7" s="127">
        <f t="shared" si="1"/>
        <v>31.666666666666668</v>
      </c>
      <c r="I7" s="128" t="s">
        <v>19</v>
      </c>
      <c r="J7" s="129" t="s">
        <v>232</v>
      </c>
      <c r="L7" s="15">
        <v>1</v>
      </c>
    </row>
    <row r="8" spans="1:12" x14ac:dyDescent="0.25">
      <c r="A8" s="538"/>
      <c r="B8" s="14" t="s">
        <v>488</v>
      </c>
      <c r="C8" s="15" t="s">
        <v>735</v>
      </c>
      <c r="D8" s="16" t="s">
        <v>60</v>
      </c>
      <c r="E8" s="15">
        <v>1</v>
      </c>
      <c r="F8" s="126">
        <v>2</v>
      </c>
      <c r="G8" s="18">
        <f t="shared" si="0"/>
        <v>38</v>
      </c>
      <c r="H8" s="127">
        <f t="shared" si="1"/>
        <v>31.666666666666668</v>
      </c>
      <c r="I8" s="128" t="s">
        <v>19</v>
      </c>
      <c r="J8" s="129" t="s">
        <v>230</v>
      </c>
      <c r="L8" s="15">
        <v>1</v>
      </c>
    </row>
    <row r="9" spans="1:12" x14ac:dyDescent="0.25">
      <c r="A9" s="577"/>
      <c r="B9" s="130" t="s">
        <v>490</v>
      </c>
      <c r="C9" s="131" t="s">
        <v>736</v>
      </c>
      <c r="D9" s="132" t="s">
        <v>57</v>
      </c>
      <c r="E9" s="131">
        <v>1</v>
      </c>
      <c r="F9" s="133">
        <v>2</v>
      </c>
      <c r="G9" s="18">
        <f t="shared" si="0"/>
        <v>38</v>
      </c>
      <c r="H9" s="127">
        <f t="shared" si="1"/>
        <v>31.666666666666668</v>
      </c>
      <c r="I9" s="134" t="s">
        <v>19</v>
      </c>
      <c r="J9" s="135" t="s">
        <v>230</v>
      </c>
      <c r="L9" s="131">
        <v>2</v>
      </c>
    </row>
    <row r="10" spans="1:12" x14ac:dyDescent="0.25">
      <c r="A10" s="577"/>
      <c r="B10" s="130" t="s">
        <v>492</v>
      </c>
      <c r="C10" s="131" t="s">
        <v>737</v>
      </c>
      <c r="D10" s="132" t="s">
        <v>60</v>
      </c>
      <c r="E10" s="131">
        <v>1</v>
      </c>
      <c r="F10" s="133">
        <v>2</v>
      </c>
      <c r="G10" s="146">
        <f t="shared" si="0"/>
        <v>38</v>
      </c>
      <c r="H10" s="147">
        <f t="shared" si="1"/>
        <v>31.666666666666668</v>
      </c>
      <c r="I10" s="134" t="s">
        <v>21</v>
      </c>
      <c r="J10" s="135" t="s">
        <v>230</v>
      </c>
      <c r="L10" s="131">
        <v>2</v>
      </c>
    </row>
    <row r="11" spans="1:12" x14ac:dyDescent="0.25">
      <c r="A11" s="577"/>
      <c r="B11" s="130" t="s">
        <v>738</v>
      </c>
      <c r="C11" s="131" t="s">
        <v>739</v>
      </c>
      <c r="D11" s="132" t="s">
        <v>60</v>
      </c>
      <c r="E11" s="131">
        <v>1</v>
      </c>
      <c r="F11" s="133">
        <v>2</v>
      </c>
      <c r="G11" s="146">
        <f t="shared" si="0"/>
        <v>38</v>
      </c>
      <c r="H11" s="147">
        <f t="shared" si="1"/>
        <v>31.666666666666668</v>
      </c>
      <c r="I11" s="134" t="s">
        <v>19</v>
      </c>
      <c r="J11" s="135" t="s">
        <v>230</v>
      </c>
      <c r="L11" s="131">
        <v>2</v>
      </c>
    </row>
    <row r="12" spans="1:12" ht="15.75" thickBot="1" x14ac:dyDescent="0.3">
      <c r="A12" s="541"/>
      <c r="B12" s="20" t="s">
        <v>740</v>
      </c>
      <c r="C12" s="21" t="s">
        <v>741</v>
      </c>
      <c r="D12" s="22" t="s">
        <v>54</v>
      </c>
      <c r="E12" s="21">
        <v>1</v>
      </c>
      <c r="F12" s="136">
        <v>2</v>
      </c>
      <c r="G12" s="24">
        <f t="shared" si="0"/>
        <v>38</v>
      </c>
      <c r="H12" s="137">
        <f t="shared" si="1"/>
        <v>31.666666666666668</v>
      </c>
      <c r="I12" s="138" t="s">
        <v>18</v>
      </c>
      <c r="J12" s="139" t="s">
        <v>231</v>
      </c>
      <c r="L12" s="21">
        <v>2</v>
      </c>
    </row>
    <row r="13" spans="1:12" ht="15" customHeight="1" x14ac:dyDescent="0.25">
      <c r="A13" s="537" t="s">
        <v>67</v>
      </c>
      <c r="B13" s="8" t="s">
        <v>742</v>
      </c>
      <c r="C13" s="9" t="s">
        <v>748</v>
      </c>
      <c r="D13" s="10" t="s">
        <v>54</v>
      </c>
      <c r="E13" s="9">
        <v>1</v>
      </c>
      <c r="F13" s="122">
        <v>2</v>
      </c>
      <c r="G13" s="12">
        <f t="shared" si="0"/>
        <v>38</v>
      </c>
      <c r="H13" s="123">
        <f t="shared" si="1"/>
        <v>31.666666666666668</v>
      </c>
      <c r="I13" s="124" t="s">
        <v>20</v>
      </c>
      <c r="J13" s="125" t="s">
        <v>230</v>
      </c>
      <c r="L13" s="9">
        <v>2</v>
      </c>
    </row>
    <row r="14" spans="1:12" x14ac:dyDescent="0.25">
      <c r="A14" s="540"/>
      <c r="B14" s="140" t="s">
        <v>743</v>
      </c>
      <c r="C14" s="141" t="s">
        <v>751</v>
      </c>
      <c r="D14" s="142" t="s">
        <v>54</v>
      </c>
      <c r="E14" s="141">
        <v>1</v>
      </c>
      <c r="F14" s="143">
        <v>2</v>
      </c>
      <c r="G14" s="18">
        <f t="shared" si="0"/>
        <v>38</v>
      </c>
      <c r="H14" s="127">
        <f t="shared" si="1"/>
        <v>31.666666666666668</v>
      </c>
      <c r="I14" s="144" t="s">
        <v>20</v>
      </c>
      <c r="J14" s="145" t="s">
        <v>232</v>
      </c>
      <c r="L14" s="141">
        <v>2</v>
      </c>
    </row>
    <row r="15" spans="1:12" x14ac:dyDescent="0.25">
      <c r="A15" s="540"/>
      <c r="B15" s="140" t="s">
        <v>87</v>
      </c>
      <c r="C15" s="141" t="s">
        <v>749</v>
      </c>
      <c r="D15" s="142" t="s">
        <v>54</v>
      </c>
      <c r="E15" s="141">
        <v>1</v>
      </c>
      <c r="F15" s="143">
        <v>4</v>
      </c>
      <c r="G15" s="18">
        <f t="shared" si="0"/>
        <v>76</v>
      </c>
      <c r="H15" s="127">
        <f t="shared" si="1"/>
        <v>63.333333333333336</v>
      </c>
      <c r="I15" s="144" t="s">
        <v>20</v>
      </c>
      <c r="J15" s="145" t="s">
        <v>231</v>
      </c>
      <c r="L15" s="141">
        <v>2</v>
      </c>
    </row>
    <row r="16" spans="1:12" x14ac:dyDescent="0.25">
      <c r="A16" s="540"/>
      <c r="B16" s="140" t="s">
        <v>744</v>
      </c>
      <c r="C16" s="141" t="s">
        <v>750</v>
      </c>
      <c r="D16" s="142" t="s">
        <v>54</v>
      </c>
      <c r="E16" s="141">
        <v>1</v>
      </c>
      <c r="F16" s="143">
        <v>2</v>
      </c>
      <c r="G16" s="18">
        <f t="shared" si="0"/>
        <v>38</v>
      </c>
      <c r="H16" s="127">
        <f t="shared" si="1"/>
        <v>31.666666666666668</v>
      </c>
      <c r="I16" s="144" t="s">
        <v>20</v>
      </c>
      <c r="J16" s="145" t="s">
        <v>230</v>
      </c>
      <c r="L16" s="141">
        <v>2</v>
      </c>
    </row>
    <row r="17" spans="1:12" x14ac:dyDescent="0.25">
      <c r="A17" s="538"/>
      <c r="B17" s="14" t="s">
        <v>745</v>
      </c>
      <c r="C17" s="15" t="s">
        <v>752</v>
      </c>
      <c r="D17" s="16" t="s">
        <v>54</v>
      </c>
      <c r="E17" s="15">
        <v>1</v>
      </c>
      <c r="F17" s="126">
        <v>2</v>
      </c>
      <c r="G17" s="18">
        <f t="shared" si="0"/>
        <v>38</v>
      </c>
      <c r="H17" s="127">
        <f t="shared" si="1"/>
        <v>31.666666666666668</v>
      </c>
      <c r="I17" s="128" t="s">
        <v>19</v>
      </c>
      <c r="J17" s="129" t="s">
        <v>230</v>
      </c>
      <c r="L17" s="15">
        <v>2</v>
      </c>
    </row>
    <row r="18" spans="1:12" x14ac:dyDescent="0.25">
      <c r="A18" s="538"/>
      <c r="B18" s="14" t="s">
        <v>126</v>
      </c>
      <c r="C18" s="15" t="s">
        <v>753</v>
      </c>
      <c r="D18" s="16" t="s">
        <v>54</v>
      </c>
      <c r="E18" s="15">
        <v>1</v>
      </c>
      <c r="F18" s="126">
        <v>2</v>
      </c>
      <c r="G18" s="18">
        <f t="shared" si="0"/>
        <v>38</v>
      </c>
      <c r="H18" s="127">
        <f t="shared" si="1"/>
        <v>31.666666666666668</v>
      </c>
      <c r="I18" s="128" t="s">
        <v>19</v>
      </c>
      <c r="J18" s="129" t="s">
        <v>230</v>
      </c>
      <c r="L18" s="15">
        <v>2</v>
      </c>
    </row>
    <row r="19" spans="1:12" ht="15" customHeight="1" x14ac:dyDescent="0.25">
      <c r="A19" s="538"/>
      <c r="B19" s="14" t="s">
        <v>746</v>
      </c>
      <c r="C19" s="15" t="s">
        <v>754</v>
      </c>
      <c r="D19" s="16" t="s">
        <v>57</v>
      </c>
      <c r="E19" s="15">
        <v>1</v>
      </c>
      <c r="F19" s="126">
        <v>2</v>
      </c>
      <c r="G19" s="18">
        <f t="shared" si="0"/>
        <v>38</v>
      </c>
      <c r="H19" s="127">
        <f t="shared" si="1"/>
        <v>31.666666666666668</v>
      </c>
      <c r="I19" s="128" t="s">
        <v>19</v>
      </c>
      <c r="J19" s="129" t="s">
        <v>230</v>
      </c>
      <c r="L19" s="15">
        <v>2</v>
      </c>
    </row>
    <row r="20" spans="1:12" ht="15.75" thickBot="1" x14ac:dyDescent="0.3">
      <c r="A20" s="541"/>
      <c r="B20" s="20" t="s">
        <v>747</v>
      </c>
      <c r="C20" s="21" t="s">
        <v>755</v>
      </c>
      <c r="D20" s="22" t="s">
        <v>57</v>
      </c>
      <c r="E20" s="21">
        <v>1</v>
      </c>
      <c r="F20" s="136">
        <v>2</v>
      </c>
      <c r="G20" s="24">
        <f t="shared" si="0"/>
        <v>38</v>
      </c>
      <c r="H20" s="137">
        <f t="shared" si="1"/>
        <v>31.666666666666668</v>
      </c>
      <c r="I20" s="138" t="s">
        <v>18</v>
      </c>
      <c r="J20" s="139" t="s">
        <v>232</v>
      </c>
      <c r="L20" s="21">
        <v>2</v>
      </c>
    </row>
    <row r="21" spans="1:12" x14ac:dyDescent="0.25">
      <c r="A21" s="537" t="s">
        <v>85</v>
      </c>
      <c r="B21" s="8" t="s">
        <v>756</v>
      </c>
      <c r="C21" s="9" t="s">
        <v>764</v>
      </c>
      <c r="D21" s="10" t="s">
        <v>54</v>
      </c>
      <c r="E21" s="9">
        <v>1</v>
      </c>
      <c r="F21" s="122">
        <v>2</v>
      </c>
      <c r="G21" s="12">
        <f t="shared" si="0"/>
        <v>38</v>
      </c>
      <c r="H21" s="123">
        <f t="shared" si="1"/>
        <v>31.666666666666668</v>
      </c>
      <c r="I21" s="124" t="s">
        <v>20</v>
      </c>
      <c r="J21" s="125" t="s">
        <v>232</v>
      </c>
      <c r="L21" s="9">
        <v>2</v>
      </c>
    </row>
    <row r="22" spans="1:12" x14ac:dyDescent="0.25">
      <c r="A22" s="538"/>
      <c r="B22" s="14" t="s">
        <v>101</v>
      </c>
      <c r="C22" s="15" t="s">
        <v>765</v>
      </c>
      <c r="D22" s="16" t="s">
        <v>54</v>
      </c>
      <c r="E22" s="15">
        <v>1</v>
      </c>
      <c r="F22" s="126">
        <v>2</v>
      </c>
      <c r="G22" s="18">
        <f t="shared" si="0"/>
        <v>38</v>
      </c>
      <c r="H22" s="127">
        <f t="shared" si="1"/>
        <v>31.666666666666668</v>
      </c>
      <c r="I22" s="128" t="s">
        <v>20</v>
      </c>
      <c r="J22" s="129" t="s">
        <v>231</v>
      </c>
      <c r="L22" s="15">
        <v>2</v>
      </c>
    </row>
    <row r="23" spans="1:12" x14ac:dyDescent="0.25">
      <c r="A23" s="538"/>
      <c r="B23" s="14" t="s">
        <v>757</v>
      </c>
      <c r="C23" s="15" t="s">
        <v>766</v>
      </c>
      <c r="D23" s="16" t="s">
        <v>57</v>
      </c>
      <c r="E23" s="15">
        <v>1</v>
      </c>
      <c r="F23" s="126">
        <v>2</v>
      </c>
      <c r="G23" s="18">
        <f t="shared" si="0"/>
        <v>38</v>
      </c>
      <c r="H23" s="127">
        <f t="shared" si="1"/>
        <v>31.666666666666668</v>
      </c>
      <c r="I23" s="128" t="s">
        <v>20</v>
      </c>
      <c r="J23" s="129"/>
      <c r="L23" s="15">
        <v>2</v>
      </c>
    </row>
    <row r="24" spans="1:12" x14ac:dyDescent="0.25">
      <c r="A24" s="538"/>
      <c r="B24" s="14" t="s">
        <v>758</v>
      </c>
      <c r="C24" s="15" t="s">
        <v>767</v>
      </c>
      <c r="D24" s="16" t="s">
        <v>57</v>
      </c>
      <c r="E24" s="15">
        <v>1</v>
      </c>
      <c r="F24" s="126">
        <v>2</v>
      </c>
      <c r="G24" s="18">
        <f t="shared" si="0"/>
        <v>38</v>
      </c>
      <c r="H24" s="127">
        <f t="shared" si="1"/>
        <v>31.666666666666668</v>
      </c>
      <c r="I24" s="128" t="s">
        <v>19</v>
      </c>
      <c r="J24" s="129" t="s">
        <v>232</v>
      </c>
      <c r="L24" s="15">
        <v>2</v>
      </c>
    </row>
    <row r="25" spans="1:12" x14ac:dyDescent="0.25">
      <c r="A25" s="538"/>
      <c r="B25" s="14" t="s">
        <v>759</v>
      </c>
      <c r="C25" s="15" t="s">
        <v>768</v>
      </c>
      <c r="D25" s="16" t="s">
        <v>54</v>
      </c>
      <c r="E25" s="15">
        <v>1</v>
      </c>
      <c r="F25" s="126">
        <v>4</v>
      </c>
      <c r="G25" s="18">
        <f t="shared" si="0"/>
        <v>76</v>
      </c>
      <c r="H25" s="127">
        <f t="shared" si="1"/>
        <v>63.333333333333336</v>
      </c>
      <c r="I25" s="128" t="s">
        <v>19</v>
      </c>
      <c r="J25" s="129" t="s">
        <v>230</v>
      </c>
      <c r="L25" s="15">
        <v>2</v>
      </c>
    </row>
    <row r="26" spans="1:12" x14ac:dyDescent="0.25">
      <c r="A26" s="538"/>
      <c r="B26" s="14" t="s">
        <v>760</v>
      </c>
      <c r="C26" s="15" t="s">
        <v>769</v>
      </c>
      <c r="D26" s="16" t="s">
        <v>60</v>
      </c>
      <c r="E26" s="15">
        <v>1</v>
      </c>
      <c r="F26" s="126">
        <v>2</v>
      </c>
      <c r="G26" s="18">
        <f t="shared" si="0"/>
        <v>38</v>
      </c>
      <c r="H26" s="127">
        <f t="shared" si="1"/>
        <v>31.666666666666668</v>
      </c>
      <c r="I26" s="128" t="s">
        <v>19</v>
      </c>
      <c r="J26" s="129" t="s">
        <v>232</v>
      </c>
      <c r="L26" s="15">
        <v>1</v>
      </c>
    </row>
    <row r="27" spans="1:12" ht="15" customHeight="1" x14ac:dyDescent="0.25">
      <c r="A27" s="538"/>
      <c r="B27" s="14" t="s">
        <v>761</v>
      </c>
      <c r="C27" s="15" t="s">
        <v>770</v>
      </c>
      <c r="D27" s="16" t="s">
        <v>60</v>
      </c>
      <c r="E27" s="15">
        <v>1</v>
      </c>
      <c r="F27" s="126">
        <v>2</v>
      </c>
      <c r="G27" s="18">
        <f t="shared" si="0"/>
        <v>38</v>
      </c>
      <c r="H27" s="127">
        <f t="shared" si="1"/>
        <v>31.666666666666668</v>
      </c>
      <c r="I27" s="128" t="s">
        <v>19</v>
      </c>
      <c r="J27" s="129" t="s">
        <v>232</v>
      </c>
      <c r="L27" s="15">
        <v>1</v>
      </c>
    </row>
    <row r="28" spans="1:12" ht="15" customHeight="1" x14ac:dyDescent="0.25">
      <c r="A28" s="577"/>
      <c r="B28" s="130" t="s">
        <v>762</v>
      </c>
      <c r="C28" s="131" t="s">
        <v>771</v>
      </c>
      <c r="D28" s="132" t="s">
        <v>60</v>
      </c>
      <c r="E28" s="131">
        <v>1</v>
      </c>
      <c r="F28" s="133">
        <v>2</v>
      </c>
      <c r="G28" s="146">
        <f t="shared" si="0"/>
        <v>38</v>
      </c>
      <c r="H28" s="147">
        <f t="shared" si="1"/>
        <v>31.666666666666668</v>
      </c>
      <c r="I28" s="134" t="s">
        <v>19</v>
      </c>
      <c r="J28" s="135"/>
      <c r="L28" s="131">
        <v>1</v>
      </c>
    </row>
    <row r="29" spans="1:12" ht="17.25" thickBot="1" x14ac:dyDescent="0.3">
      <c r="A29" s="541"/>
      <c r="B29" s="20" t="s">
        <v>763</v>
      </c>
      <c r="C29" s="21" t="s">
        <v>772</v>
      </c>
      <c r="D29" s="22" t="s">
        <v>60</v>
      </c>
      <c r="E29" s="21">
        <v>1</v>
      </c>
      <c r="F29" s="136">
        <v>2</v>
      </c>
      <c r="G29" s="24">
        <f t="shared" si="0"/>
        <v>38</v>
      </c>
      <c r="H29" s="137">
        <f t="shared" si="1"/>
        <v>31.666666666666668</v>
      </c>
      <c r="I29" s="138" t="s">
        <v>20</v>
      </c>
      <c r="J29" s="139" t="s">
        <v>231</v>
      </c>
      <c r="L29" s="21">
        <v>1</v>
      </c>
    </row>
    <row r="30" spans="1:12" ht="16.5" x14ac:dyDescent="0.25">
      <c r="A30" s="537" t="s">
        <v>99</v>
      </c>
      <c r="B30" s="8" t="s">
        <v>773</v>
      </c>
      <c r="C30" s="9" t="s">
        <v>780</v>
      </c>
      <c r="D30" s="10" t="s">
        <v>54</v>
      </c>
      <c r="E30" s="9">
        <v>1</v>
      </c>
      <c r="F30" s="122">
        <v>2</v>
      </c>
      <c r="G30" s="12">
        <f t="shared" si="0"/>
        <v>38</v>
      </c>
      <c r="H30" s="123">
        <f t="shared" si="1"/>
        <v>31.666666666666668</v>
      </c>
      <c r="I30" s="124" t="s">
        <v>20</v>
      </c>
      <c r="J30" s="125" t="s">
        <v>231</v>
      </c>
      <c r="L30" s="9">
        <v>2</v>
      </c>
    </row>
    <row r="31" spans="1:12" ht="16.5" x14ac:dyDescent="0.25">
      <c r="A31" s="538"/>
      <c r="B31" s="14" t="s">
        <v>774</v>
      </c>
      <c r="C31" s="15" t="s">
        <v>781</v>
      </c>
      <c r="D31" s="16" t="s">
        <v>60</v>
      </c>
      <c r="E31" s="15">
        <v>1</v>
      </c>
      <c r="F31" s="126">
        <v>2</v>
      </c>
      <c r="G31" s="18">
        <f t="shared" si="0"/>
        <v>38</v>
      </c>
      <c r="H31" s="127">
        <f t="shared" si="1"/>
        <v>31.666666666666668</v>
      </c>
      <c r="I31" s="128" t="s">
        <v>19</v>
      </c>
      <c r="J31" s="129" t="s">
        <v>233</v>
      </c>
      <c r="L31" s="15">
        <v>2</v>
      </c>
    </row>
    <row r="32" spans="1:12" ht="16.5" x14ac:dyDescent="0.25">
      <c r="A32" s="538"/>
      <c r="B32" s="14" t="s">
        <v>775</v>
      </c>
      <c r="C32" s="15" t="s">
        <v>782</v>
      </c>
      <c r="D32" s="16" t="s">
        <v>57</v>
      </c>
      <c r="E32" s="15">
        <v>1</v>
      </c>
      <c r="F32" s="126">
        <v>2</v>
      </c>
      <c r="G32" s="18">
        <f t="shared" si="0"/>
        <v>38</v>
      </c>
      <c r="H32" s="127">
        <f t="shared" si="1"/>
        <v>31.666666666666668</v>
      </c>
      <c r="I32" s="128" t="s">
        <v>20</v>
      </c>
      <c r="J32" s="129"/>
      <c r="L32" s="15">
        <v>1</v>
      </c>
    </row>
    <row r="33" spans="1:12" ht="16.5" x14ac:dyDescent="0.25">
      <c r="A33" s="538"/>
      <c r="B33" s="14" t="s">
        <v>776</v>
      </c>
      <c r="C33" s="15" t="s">
        <v>783</v>
      </c>
      <c r="D33" s="16" t="s">
        <v>57</v>
      </c>
      <c r="E33" s="15">
        <v>1</v>
      </c>
      <c r="F33" s="126">
        <v>2</v>
      </c>
      <c r="G33" s="18">
        <f t="shared" si="0"/>
        <v>38</v>
      </c>
      <c r="H33" s="127">
        <f t="shared" si="1"/>
        <v>31.666666666666668</v>
      </c>
      <c r="I33" s="128" t="s">
        <v>20</v>
      </c>
      <c r="J33" s="129"/>
      <c r="L33" s="15">
        <v>1</v>
      </c>
    </row>
    <row r="34" spans="1:12" ht="16.5" x14ac:dyDescent="0.25">
      <c r="A34" s="538"/>
      <c r="B34" s="14" t="s">
        <v>154</v>
      </c>
      <c r="C34" s="15" t="s">
        <v>784</v>
      </c>
      <c r="D34" s="16" t="s">
        <v>54</v>
      </c>
      <c r="E34" s="15">
        <v>1</v>
      </c>
      <c r="F34" s="126">
        <v>2</v>
      </c>
      <c r="G34" s="18">
        <f t="shared" si="0"/>
        <v>38</v>
      </c>
      <c r="H34" s="127">
        <f t="shared" si="1"/>
        <v>31.666666666666668</v>
      </c>
      <c r="I34" s="128" t="s">
        <v>20</v>
      </c>
      <c r="J34" s="129"/>
      <c r="L34" s="15">
        <v>2</v>
      </c>
    </row>
    <row r="35" spans="1:12" ht="16.5" x14ac:dyDescent="0.25">
      <c r="A35" s="538"/>
      <c r="B35" s="14" t="s">
        <v>777</v>
      </c>
      <c r="C35" s="15" t="s">
        <v>785</v>
      </c>
      <c r="D35" s="16" t="s">
        <v>60</v>
      </c>
      <c r="E35" s="15">
        <v>1</v>
      </c>
      <c r="F35" s="126">
        <v>2</v>
      </c>
      <c r="G35" s="18">
        <f t="shared" si="0"/>
        <v>38</v>
      </c>
      <c r="H35" s="127">
        <f t="shared" si="1"/>
        <v>31.666666666666668</v>
      </c>
      <c r="I35" s="128" t="s">
        <v>20</v>
      </c>
      <c r="J35" s="129"/>
      <c r="L35" s="15">
        <v>1</v>
      </c>
    </row>
    <row r="36" spans="1:12" ht="16.5" x14ac:dyDescent="0.25">
      <c r="A36" s="538"/>
      <c r="B36" s="14" t="s">
        <v>778</v>
      </c>
      <c r="C36" s="15" t="s">
        <v>786</v>
      </c>
      <c r="D36" s="16" t="s">
        <v>57</v>
      </c>
      <c r="E36" s="15">
        <v>1</v>
      </c>
      <c r="F36" s="126">
        <v>2</v>
      </c>
      <c r="G36" s="18">
        <f t="shared" si="0"/>
        <v>38</v>
      </c>
      <c r="H36" s="127">
        <f t="shared" si="1"/>
        <v>31.666666666666668</v>
      </c>
      <c r="I36" s="128" t="s">
        <v>19</v>
      </c>
      <c r="J36" s="129" t="s">
        <v>231</v>
      </c>
      <c r="L36" s="15">
        <v>2</v>
      </c>
    </row>
    <row r="37" spans="1:12" ht="16.5" x14ac:dyDescent="0.25">
      <c r="A37" s="538"/>
      <c r="B37" s="14" t="s">
        <v>779</v>
      </c>
      <c r="C37" s="15" t="s">
        <v>787</v>
      </c>
      <c r="D37" s="16" t="s">
        <v>60</v>
      </c>
      <c r="E37" s="15">
        <v>1</v>
      </c>
      <c r="F37" s="126">
        <v>2</v>
      </c>
      <c r="G37" s="18">
        <f t="shared" si="0"/>
        <v>38</v>
      </c>
      <c r="H37" s="127">
        <f t="shared" si="1"/>
        <v>31.666666666666668</v>
      </c>
      <c r="I37" s="128" t="s">
        <v>19</v>
      </c>
      <c r="J37" s="129" t="s">
        <v>232</v>
      </c>
      <c r="L37" s="15">
        <v>1</v>
      </c>
    </row>
    <row r="38" spans="1:12" ht="17.25" thickBot="1" x14ac:dyDescent="0.3">
      <c r="A38" s="541"/>
      <c r="B38" s="20" t="s">
        <v>529</v>
      </c>
      <c r="C38" s="21" t="s">
        <v>788</v>
      </c>
      <c r="D38" s="22" t="s">
        <v>57</v>
      </c>
      <c r="E38" s="21">
        <v>1</v>
      </c>
      <c r="F38" s="136">
        <v>2</v>
      </c>
      <c r="G38" s="24">
        <f t="shared" si="0"/>
        <v>38</v>
      </c>
      <c r="H38" s="137">
        <f t="shared" si="1"/>
        <v>31.666666666666668</v>
      </c>
      <c r="I38" s="138" t="s">
        <v>19</v>
      </c>
      <c r="J38" s="139" t="s">
        <v>231</v>
      </c>
      <c r="L38" s="21">
        <v>2</v>
      </c>
    </row>
    <row r="39" spans="1:12" ht="16.5" thickBot="1" x14ac:dyDescent="0.3">
      <c r="A39" s="508" t="s">
        <v>303</v>
      </c>
      <c r="B39" s="508"/>
      <c r="C39" s="508"/>
      <c r="D39" s="508"/>
      <c r="E39" s="508"/>
      <c r="F39" s="55" t="e">
        <f>(F38*#REF!*$C$44)/60</f>
        <v>#REF!</v>
      </c>
      <c r="G39" s="53" t="s">
        <v>304</v>
      </c>
      <c r="H39" s="55" t="e">
        <f>SUM(F39+#REF!+#REF!+#REF!)</f>
        <v>#REF!</v>
      </c>
      <c r="I39" s="36"/>
    </row>
    <row r="40" spans="1:12" ht="16.5" thickBot="1" x14ac:dyDescent="0.3">
      <c r="A40" s="61" t="s">
        <v>305</v>
      </c>
      <c r="B40" s="63"/>
      <c r="C40" s="63"/>
      <c r="D40" s="63"/>
      <c r="E40" s="63"/>
      <c r="F40" s="63"/>
      <c r="G40" s="64"/>
      <c r="H40" s="56" t="e">
        <f>H39</f>
        <v>#REF!</v>
      </c>
      <c r="I40" s="57"/>
    </row>
    <row r="41" spans="1:12" ht="16.5" thickBot="1" x14ac:dyDescent="0.3">
      <c r="A41" s="61" t="s">
        <v>306</v>
      </c>
      <c r="B41" s="63"/>
      <c r="C41" s="63"/>
      <c r="D41" s="63"/>
      <c r="E41" s="63"/>
      <c r="F41" s="63"/>
      <c r="G41" s="75"/>
      <c r="H41" s="58">
        <v>360</v>
      </c>
      <c r="I41" s="36"/>
    </row>
    <row r="42" spans="1:12" ht="16.5" thickBot="1" x14ac:dyDescent="0.3">
      <c r="A42" s="62" t="s">
        <v>308</v>
      </c>
      <c r="B42" s="76"/>
      <c r="C42" s="77"/>
      <c r="D42" s="77"/>
      <c r="E42" s="77"/>
      <c r="F42" s="77"/>
      <c r="G42" s="77"/>
      <c r="H42" s="55" t="e">
        <f>SUM(H40+H41)</f>
        <v>#REF!</v>
      </c>
      <c r="I42" s="36"/>
    </row>
    <row r="43" spans="1:12" ht="15.75" x14ac:dyDescent="0.25">
      <c r="A43" s="532" t="s">
        <v>309</v>
      </c>
      <c r="B43" s="532"/>
      <c r="C43" s="78">
        <v>50</v>
      </c>
      <c r="D43" s="79" t="s">
        <v>310</v>
      </c>
      <c r="E43" s="79"/>
      <c r="F43" s="79"/>
      <c r="G43" s="79"/>
      <c r="H43" s="80"/>
      <c r="I43" s="36"/>
    </row>
  </sheetData>
  <mergeCells count="6">
    <mergeCell ref="A43:B43"/>
    <mergeCell ref="A4:A12"/>
    <mergeCell ref="A13:A20"/>
    <mergeCell ref="A21:A29"/>
    <mergeCell ref="A30:A38"/>
    <mergeCell ref="A39:E39"/>
  </mergeCells>
  <dataValidations count="2">
    <dataValidation type="list" allowBlank="1" showInputMessage="1" showErrorMessage="1" sqref="J4:J38" xr:uid="{00000000-0002-0000-0F00-000000000000}">
      <formula1>Ambientes</formula1>
    </dataValidation>
    <dataValidation type="list" allowBlank="1" showInputMessage="1" showErrorMessage="1" sqref="I4:I37" xr:uid="{00000000-0002-0000-0F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24">
    <tabColor theme="9" tint="-0.249977111117893"/>
  </sheetPr>
  <dimension ref="A1:J35"/>
  <sheetViews>
    <sheetView workbookViewId="0">
      <selection activeCell="G2" sqref="G2"/>
    </sheetView>
  </sheetViews>
  <sheetFormatPr defaultColWidth="9.140625" defaultRowHeight="15" x14ac:dyDescent="0.25"/>
  <cols>
    <col min="2" max="2" width="47.5703125" customWidth="1"/>
    <col min="9" max="9" width="15.42578125" bestFit="1" customWidth="1"/>
    <col min="10" max="10" width="26.5703125" bestFit="1" customWidth="1"/>
  </cols>
  <sheetData>
    <row r="1" spans="1:10" ht="15.75" thickBot="1" x14ac:dyDescent="0.3">
      <c r="A1" t="s">
        <v>711</v>
      </c>
    </row>
    <row r="2" spans="1:10" ht="33.75" thickBot="1" x14ac:dyDescent="0.3">
      <c r="F2" s="119" t="s">
        <v>48</v>
      </c>
    </row>
    <row r="3" spans="1:10" ht="29.2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0" ht="15" customHeight="1" x14ac:dyDescent="0.25">
      <c r="A4" s="537" t="s">
        <v>51</v>
      </c>
      <c r="B4" s="8" t="s">
        <v>58</v>
      </c>
      <c r="C4" s="9"/>
      <c r="D4" s="10" t="s">
        <v>60</v>
      </c>
      <c r="E4" s="9">
        <v>1</v>
      </c>
      <c r="F4" s="122">
        <v>4</v>
      </c>
      <c r="G4" s="12">
        <v>76</v>
      </c>
      <c r="H4" s="123">
        <v>63</v>
      </c>
      <c r="I4" s="124" t="s">
        <v>20</v>
      </c>
      <c r="J4" s="125" t="s">
        <v>230</v>
      </c>
    </row>
    <row r="5" spans="1:10" x14ac:dyDescent="0.25">
      <c r="A5" s="538"/>
      <c r="B5" s="14" t="s">
        <v>63</v>
      </c>
      <c r="C5" s="15"/>
      <c r="D5" s="16" t="s">
        <v>57</v>
      </c>
      <c r="E5" s="15">
        <v>1</v>
      </c>
      <c r="F5" s="126">
        <v>2</v>
      </c>
      <c r="G5" s="18">
        <v>38</v>
      </c>
      <c r="H5" s="127">
        <v>32</v>
      </c>
      <c r="I5" s="128" t="s">
        <v>20</v>
      </c>
      <c r="J5" s="129" t="s">
        <v>232</v>
      </c>
    </row>
    <row r="6" spans="1:10" x14ac:dyDescent="0.25">
      <c r="A6" s="538"/>
      <c r="B6" s="14" t="s">
        <v>71</v>
      </c>
      <c r="C6" s="15"/>
      <c r="D6" s="16" t="s">
        <v>60</v>
      </c>
      <c r="E6" s="15">
        <v>1</v>
      </c>
      <c r="F6" s="126">
        <v>4</v>
      </c>
      <c r="G6" s="18">
        <v>76</v>
      </c>
      <c r="H6" s="127">
        <v>63</v>
      </c>
      <c r="I6" s="128" t="s">
        <v>20</v>
      </c>
      <c r="J6" s="129" t="s">
        <v>230</v>
      </c>
    </row>
    <row r="7" spans="1:10" x14ac:dyDescent="0.25">
      <c r="A7" s="538"/>
      <c r="B7" s="14" t="s">
        <v>712</v>
      </c>
      <c r="C7" s="15"/>
      <c r="D7" s="16" t="s">
        <v>57</v>
      </c>
      <c r="E7" s="15">
        <v>1</v>
      </c>
      <c r="F7" s="126">
        <v>2</v>
      </c>
      <c r="G7" s="18">
        <v>38</v>
      </c>
      <c r="H7" s="127">
        <v>32</v>
      </c>
      <c r="I7" s="128" t="s">
        <v>20</v>
      </c>
      <c r="J7" s="129" t="s">
        <v>232</v>
      </c>
    </row>
    <row r="8" spans="1:10" x14ac:dyDescent="0.25">
      <c r="A8" s="538"/>
      <c r="B8" s="14" t="s">
        <v>492</v>
      </c>
      <c r="C8" s="15"/>
      <c r="D8" s="16" t="s">
        <v>60</v>
      </c>
      <c r="E8" s="15">
        <v>1</v>
      </c>
      <c r="F8" s="126">
        <v>4</v>
      </c>
      <c r="G8" s="18">
        <v>76</v>
      </c>
      <c r="H8" s="127">
        <v>63</v>
      </c>
      <c r="I8" s="128" t="s">
        <v>21</v>
      </c>
      <c r="J8" s="129" t="s">
        <v>230</v>
      </c>
    </row>
    <row r="9" spans="1:10" x14ac:dyDescent="0.25">
      <c r="A9" s="577"/>
      <c r="B9" s="130" t="s">
        <v>396</v>
      </c>
      <c r="C9" s="131"/>
      <c r="D9" s="132" t="s">
        <v>60</v>
      </c>
      <c r="E9" s="131">
        <v>1</v>
      </c>
      <c r="F9" s="133">
        <v>2</v>
      </c>
      <c r="G9" s="18">
        <v>38</v>
      </c>
      <c r="H9" s="127">
        <v>32</v>
      </c>
      <c r="I9" s="134" t="s">
        <v>15</v>
      </c>
      <c r="J9" s="135" t="s">
        <v>230</v>
      </c>
    </row>
    <row r="10" spans="1:10" ht="15.75" thickBot="1" x14ac:dyDescent="0.3">
      <c r="A10" s="541"/>
      <c r="B10" s="20" t="s">
        <v>343</v>
      </c>
      <c r="C10" s="21"/>
      <c r="D10" s="22" t="s">
        <v>60</v>
      </c>
      <c r="E10" s="21">
        <v>1</v>
      </c>
      <c r="F10" s="136">
        <v>2</v>
      </c>
      <c r="G10" s="24">
        <v>38</v>
      </c>
      <c r="H10" s="137">
        <v>32</v>
      </c>
      <c r="I10" s="138" t="s">
        <v>14</v>
      </c>
      <c r="J10" s="139" t="s">
        <v>230</v>
      </c>
    </row>
    <row r="11" spans="1:10" ht="15" customHeight="1" x14ac:dyDescent="0.25">
      <c r="A11" s="537" t="s">
        <v>67</v>
      </c>
      <c r="B11" s="8" t="s">
        <v>87</v>
      </c>
      <c r="C11" s="9"/>
      <c r="D11" s="10" t="s">
        <v>60</v>
      </c>
      <c r="E11" s="9">
        <v>1</v>
      </c>
      <c r="F11" s="122">
        <v>4</v>
      </c>
      <c r="G11" s="12">
        <v>76</v>
      </c>
      <c r="H11" s="123">
        <v>63</v>
      </c>
      <c r="I11" s="124" t="s">
        <v>20</v>
      </c>
      <c r="J11" s="125" t="s">
        <v>230</v>
      </c>
    </row>
    <row r="12" spans="1:10" x14ac:dyDescent="0.25">
      <c r="A12" s="540"/>
      <c r="B12" s="140" t="s">
        <v>89</v>
      </c>
      <c r="C12" s="141"/>
      <c r="D12" s="142" t="s">
        <v>57</v>
      </c>
      <c r="E12" s="141">
        <v>1</v>
      </c>
      <c r="F12" s="143">
        <v>2</v>
      </c>
      <c r="G12" s="18">
        <v>38</v>
      </c>
      <c r="H12" s="127">
        <v>32</v>
      </c>
      <c r="I12" s="144" t="s">
        <v>20</v>
      </c>
      <c r="J12" s="145" t="s">
        <v>232</v>
      </c>
    </row>
    <row r="13" spans="1:10" x14ac:dyDescent="0.25">
      <c r="A13" s="540"/>
      <c r="B13" s="140" t="s">
        <v>461</v>
      </c>
      <c r="C13" s="141"/>
      <c r="D13" s="142" t="s">
        <v>57</v>
      </c>
      <c r="E13" s="141">
        <v>1</v>
      </c>
      <c r="F13" s="143">
        <v>2</v>
      </c>
      <c r="G13" s="18">
        <v>38</v>
      </c>
      <c r="H13" s="127">
        <v>32</v>
      </c>
      <c r="I13" s="144" t="s">
        <v>20</v>
      </c>
      <c r="J13" s="145" t="s">
        <v>231</v>
      </c>
    </row>
    <row r="14" spans="1:10" x14ac:dyDescent="0.25">
      <c r="A14" s="540"/>
      <c r="B14" s="140" t="s">
        <v>713</v>
      </c>
      <c r="C14" s="141"/>
      <c r="D14" s="142" t="s">
        <v>60</v>
      </c>
      <c r="E14" s="141">
        <v>1</v>
      </c>
      <c r="F14" s="143">
        <v>2</v>
      </c>
      <c r="G14" s="18">
        <v>38</v>
      </c>
      <c r="H14" s="127">
        <v>32</v>
      </c>
      <c r="I14" s="144" t="s">
        <v>20</v>
      </c>
      <c r="J14" s="145" t="s">
        <v>230</v>
      </c>
    </row>
    <row r="15" spans="1:10" x14ac:dyDescent="0.25">
      <c r="A15" s="538"/>
      <c r="B15" s="14" t="s">
        <v>714</v>
      </c>
      <c r="C15" s="15"/>
      <c r="D15" s="16" t="s">
        <v>60</v>
      </c>
      <c r="E15" s="15">
        <v>1</v>
      </c>
      <c r="F15" s="126">
        <v>2</v>
      </c>
      <c r="G15" s="18">
        <v>38</v>
      </c>
      <c r="H15" s="127">
        <v>32</v>
      </c>
      <c r="I15" s="128" t="s">
        <v>15</v>
      </c>
      <c r="J15" s="129" t="s">
        <v>230</v>
      </c>
    </row>
    <row r="16" spans="1:10" x14ac:dyDescent="0.25">
      <c r="A16" s="538"/>
      <c r="B16" s="14" t="s">
        <v>715</v>
      </c>
      <c r="C16" s="15"/>
      <c r="D16" s="16" t="s">
        <v>60</v>
      </c>
      <c r="E16" s="15">
        <v>1</v>
      </c>
      <c r="F16" s="126">
        <v>2</v>
      </c>
      <c r="G16" s="18">
        <v>38</v>
      </c>
      <c r="H16" s="127">
        <v>32</v>
      </c>
      <c r="I16" s="128" t="s">
        <v>14</v>
      </c>
      <c r="J16" s="129" t="s">
        <v>230</v>
      </c>
    </row>
    <row r="17" spans="1:10" ht="15" customHeight="1" x14ac:dyDescent="0.25">
      <c r="A17" s="538"/>
      <c r="B17" s="14" t="s">
        <v>595</v>
      </c>
      <c r="C17" s="15"/>
      <c r="D17" s="16" t="s">
        <v>60</v>
      </c>
      <c r="E17" s="15">
        <v>1</v>
      </c>
      <c r="F17" s="126">
        <v>2</v>
      </c>
      <c r="G17" s="18">
        <v>38</v>
      </c>
      <c r="H17" s="127">
        <v>32</v>
      </c>
      <c r="I17" s="128" t="s">
        <v>315</v>
      </c>
      <c r="J17" s="129" t="s">
        <v>230</v>
      </c>
    </row>
    <row r="18" spans="1:10" ht="15.75" thickBot="1" x14ac:dyDescent="0.3">
      <c r="A18" s="541"/>
      <c r="B18" s="20" t="s">
        <v>716</v>
      </c>
      <c r="C18" s="21"/>
      <c r="D18" s="22" t="s">
        <v>57</v>
      </c>
      <c r="E18" s="21">
        <v>1</v>
      </c>
      <c r="F18" s="136">
        <v>4</v>
      </c>
      <c r="G18" s="24">
        <v>76</v>
      </c>
      <c r="H18" s="137">
        <v>63</v>
      </c>
      <c r="I18" s="138" t="s">
        <v>20</v>
      </c>
      <c r="J18" s="139" t="s">
        <v>232</v>
      </c>
    </row>
    <row r="19" spans="1:10" x14ac:dyDescent="0.25">
      <c r="A19" s="537" t="s">
        <v>85</v>
      </c>
      <c r="B19" s="8" t="s">
        <v>116</v>
      </c>
      <c r="C19" s="9"/>
      <c r="D19" s="10" t="s">
        <v>57</v>
      </c>
      <c r="E19" s="9">
        <v>1</v>
      </c>
      <c r="F19" s="122">
        <v>4</v>
      </c>
      <c r="G19" s="12">
        <v>76</v>
      </c>
      <c r="H19" s="123">
        <v>63</v>
      </c>
      <c r="I19" s="124" t="s">
        <v>20</v>
      </c>
      <c r="J19" s="125" t="s">
        <v>232</v>
      </c>
    </row>
    <row r="20" spans="1:10" x14ac:dyDescent="0.25">
      <c r="A20" s="538"/>
      <c r="B20" s="14" t="s">
        <v>717</v>
      </c>
      <c r="C20" s="15"/>
      <c r="D20" s="16" t="s">
        <v>57</v>
      </c>
      <c r="E20" s="15">
        <v>1</v>
      </c>
      <c r="F20" s="126">
        <v>2</v>
      </c>
      <c r="G20" s="18">
        <v>38</v>
      </c>
      <c r="H20" s="127">
        <v>32</v>
      </c>
      <c r="I20" s="128" t="s">
        <v>20</v>
      </c>
      <c r="J20" s="129" t="s">
        <v>231</v>
      </c>
    </row>
    <row r="21" spans="1:10" ht="16.5" x14ac:dyDescent="0.25">
      <c r="A21" s="538"/>
      <c r="B21" s="14" t="s">
        <v>718</v>
      </c>
      <c r="C21" s="15"/>
      <c r="D21" s="16" t="s">
        <v>57</v>
      </c>
      <c r="E21" s="15">
        <v>1</v>
      </c>
      <c r="F21" s="126">
        <v>2</v>
      </c>
      <c r="G21" s="18">
        <v>38</v>
      </c>
      <c r="H21" s="127">
        <v>32</v>
      </c>
      <c r="I21" s="128" t="s">
        <v>20</v>
      </c>
      <c r="J21" s="129" t="s">
        <v>232</v>
      </c>
    </row>
    <row r="22" spans="1:10" ht="16.5" x14ac:dyDescent="0.25">
      <c r="A22" s="538"/>
      <c r="B22" s="14" t="s">
        <v>101</v>
      </c>
      <c r="C22" s="15"/>
      <c r="D22" s="16" t="s">
        <v>60</v>
      </c>
      <c r="E22" s="15">
        <v>1</v>
      </c>
      <c r="F22" s="126">
        <v>4</v>
      </c>
      <c r="G22" s="18">
        <v>76</v>
      </c>
      <c r="H22" s="127">
        <v>63</v>
      </c>
      <c r="I22" s="128" t="s">
        <v>20</v>
      </c>
      <c r="J22" s="129" t="s">
        <v>230</v>
      </c>
    </row>
    <row r="23" spans="1:10" ht="16.5" x14ac:dyDescent="0.25">
      <c r="A23" s="538"/>
      <c r="B23" s="14" t="s">
        <v>103</v>
      </c>
      <c r="C23" s="15"/>
      <c r="D23" s="16" t="s">
        <v>57</v>
      </c>
      <c r="E23" s="15">
        <v>1</v>
      </c>
      <c r="F23" s="126">
        <v>2</v>
      </c>
      <c r="G23" s="18">
        <v>38</v>
      </c>
      <c r="H23" s="127">
        <v>32</v>
      </c>
      <c r="I23" s="128" t="s">
        <v>20</v>
      </c>
      <c r="J23" s="129" t="s">
        <v>232</v>
      </c>
    </row>
    <row r="24" spans="1:10" ht="15" customHeight="1" x14ac:dyDescent="0.25">
      <c r="A24" s="538"/>
      <c r="B24" s="14" t="s">
        <v>719</v>
      </c>
      <c r="C24" s="15"/>
      <c r="D24" s="16" t="s">
        <v>57</v>
      </c>
      <c r="E24" s="15">
        <v>1</v>
      </c>
      <c r="F24" s="126">
        <v>4</v>
      </c>
      <c r="G24" s="18">
        <v>76</v>
      </c>
      <c r="H24" s="127">
        <v>63</v>
      </c>
      <c r="I24" s="128" t="s">
        <v>20</v>
      </c>
      <c r="J24" s="129" t="s">
        <v>232</v>
      </c>
    </row>
    <row r="25" spans="1:10" ht="17.25" thickBot="1" x14ac:dyDescent="0.3">
      <c r="A25" s="541"/>
      <c r="B25" s="20" t="s">
        <v>720</v>
      </c>
      <c r="C25" s="21"/>
      <c r="D25" s="22" t="s">
        <v>57</v>
      </c>
      <c r="E25" s="21">
        <v>1</v>
      </c>
      <c r="F25" s="136">
        <v>2</v>
      </c>
      <c r="G25" s="24">
        <v>38</v>
      </c>
      <c r="H25" s="137">
        <v>32</v>
      </c>
      <c r="I25" s="138" t="s">
        <v>20</v>
      </c>
      <c r="J25" s="139" t="s">
        <v>231</v>
      </c>
    </row>
    <row r="26" spans="1:10" ht="16.5" x14ac:dyDescent="0.25">
      <c r="A26" s="537" t="s">
        <v>99</v>
      </c>
      <c r="B26" s="8" t="s">
        <v>721</v>
      </c>
      <c r="C26" s="9"/>
      <c r="D26" s="10" t="s">
        <v>57</v>
      </c>
      <c r="E26" s="9">
        <v>1</v>
      </c>
      <c r="F26" s="122">
        <v>4</v>
      </c>
      <c r="G26" s="12">
        <v>76</v>
      </c>
      <c r="H26" s="123">
        <v>63</v>
      </c>
      <c r="I26" s="124" t="s">
        <v>20</v>
      </c>
      <c r="J26" s="125" t="s">
        <v>231</v>
      </c>
    </row>
    <row r="27" spans="1:10" ht="16.5" x14ac:dyDescent="0.25">
      <c r="A27" s="538"/>
      <c r="B27" s="14" t="s">
        <v>322</v>
      </c>
      <c r="C27" s="15"/>
      <c r="D27" s="16" t="s">
        <v>57</v>
      </c>
      <c r="E27" s="15">
        <v>1</v>
      </c>
      <c r="F27" s="126">
        <v>4</v>
      </c>
      <c r="G27" s="18">
        <v>76</v>
      </c>
      <c r="H27" s="127">
        <v>63</v>
      </c>
      <c r="I27" s="128" t="s">
        <v>20</v>
      </c>
      <c r="J27" s="129" t="s">
        <v>233</v>
      </c>
    </row>
    <row r="28" spans="1:10" ht="16.5" x14ac:dyDescent="0.25">
      <c r="A28" s="538"/>
      <c r="B28" s="14" t="s">
        <v>93</v>
      </c>
      <c r="C28" s="15"/>
      <c r="D28" s="16" t="s">
        <v>57</v>
      </c>
      <c r="E28" s="15">
        <v>1</v>
      </c>
      <c r="F28" s="126">
        <v>4</v>
      </c>
      <c r="G28" s="18">
        <v>76</v>
      </c>
      <c r="H28" s="127">
        <v>63</v>
      </c>
      <c r="I28" s="128" t="s">
        <v>20</v>
      </c>
      <c r="J28" s="129" t="s">
        <v>231</v>
      </c>
    </row>
    <row r="29" spans="1:10" ht="16.5" x14ac:dyDescent="0.25">
      <c r="A29" s="538"/>
      <c r="B29" s="14" t="s">
        <v>722</v>
      </c>
      <c r="C29" s="15"/>
      <c r="D29" s="16" t="s">
        <v>57</v>
      </c>
      <c r="E29" s="15">
        <v>1</v>
      </c>
      <c r="F29" s="126">
        <v>4</v>
      </c>
      <c r="G29" s="18">
        <v>76</v>
      </c>
      <c r="H29" s="127">
        <v>63</v>
      </c>
      <c r="I29" s="128" t="s">
        <v>20</v>
      </c>
      <c r="J29" s="129" t="s">
        <v>232</v>
      </c>
    </row>
    <row r="30" spans="1:10" ht="17.25" thickBot="1" x14ac:dyDescent="0.3">
      <c r="A30" s="541"/>
      <c r="B30" s="20" t="s">
        <v>529</v>
      </c>
      <c r="C30" s="21"/>
      <c r="D30" s="22" t="s">
        <v>57</v>
      </c>
      <c r="E30" s="21">
        <v>1</v>
      </c>
      <c r="F30" s="136">
        <v>4</v>
      </c>
      <c r="G30" s="24">
        <v>76</v>
      </c>
      <c r="H30" s="137">
        <v>63</v>
      </c>
      <c r="I30" s="138" t="s">
        <v>20</v>
      </c>
      <c r="J30" s="139" t="s">
        <v>231</v>
      </c>
    </row>
    <row r="31" spans="1:10" ht="16.5" thickBot="1" x14ac:dyDescent="0.3">
      <c r="A31" s="508" t="s">
        <v>303</v>
      </c>
      <c r="B31" s="508"/>
      <c r="C31" s="508"/>
      <c r="D31" s="508"/>
      <c r="E31" s="508"/>
      <c r="F31" s="55" t="e">
        <f>(F30*#REF!*$C$36)/60</f>
        <v>#REF!</v>
      </c>
      <c r="G31" s="53" t="s">
        <v>304</v>
      </c>
      <c r="H31" s="55" t="e">
        <f>SUM(F31+#REF!+#REF!+#REF!)</f>
        <v>#REF!</v>
      </c>
      <c r="I31" s="36"/>
    </row>
    <row r="32" spans="1:10" ht="16.5" thickBot="1" x14ac:dyDescent="0.3">
      <c r="A32" s="61" t="s">
        <v>305</v>
      </c>
      <c r="B32" s="63"/>
      <c r="C32" s="63"/>
      <c r="D32" s="63"/>
      <c r="E32" s="63"/>
      <c r="F32" s="63"/>
      <c r="G32" s="64"/>
      <c r="H32" s="56" t="e">
        <f>H31</f>
        <v>#REF!</v>
      </c>
      <c r="I32" s="57"/>
    </row>
    <row r="33" spans="1:9" ht="16.5" thickBot="1" x14ac:dyDescent="0.3">
      <c r="A33" s="61" t="s">
        <v>306</v>
      </c>
      <c r="B33" s="63"/>
      <c r="C33" s="63"/>
      <c r="D33" s="63"/>
      <c r="E33" s="63"/>
      <c r="F33" s="63"/>
      <c r="G33" s="75"/>
      <c r="H33" s="58">
        <v>360</v>
      </c>
      <c r="I33" s="36"/>
    </row>
    <row r="34" spans="1:9" ht="16.5" thickBot="1" x14ac:dyDescent="0.3">
      <c r="A34" s="62" t="s">
        <v>308</v>
      </c>
      <c r="B34" s="76"/>
      <c r="C34" s="77"/>
      <c r="D34" s="77"/>
      <c r="E34" s="77"/>
      <c r="F34" s="77"/>
      <c r="G34" s="77"/>
      <c r="H34" s="55" t="e">
        <f>SUM(H32+H33)</f>
        <v>#REF!</v>
      </c>
      <c r="I34" s="36"/>
    </row>
    <row r="35" spans="1:9" ht="15.75" x14ac:dyDescent="0.25">
      <c r="A35" s="532" t="s">
        <v>309</v>
      </c>
      <c r="B35" s="532"/>
      <c r="C35" s="78">
        <v>50</v>
      </c>
      <c r="D35" s="79" t="s">
        <v>310</v>
      </c>
      <c r="E35" s="79"/>
      <c r="F35" s="79"/>
      <c r="G35" s="79"/>
      <c r="H35" s="80"/>
      <c r="I35" s="36"/>
    </row>
  </sheetData>
  <mergeCells count="6">
    <mergeCell ref="A35:B35"/>
    <mergeCell ref="A4:A10"/>
    <mergeCell ref="A11:A18"/>
    <mergeCell ref="A19:A25"/>
    <mergeCell ref="A26:A30"/>
    <mergeCell ref="A31:E31"/>
  </mergeCells>
  <dataValidations count="2">
    <dataValidation type="list" allowBlank="1" showInputMessage="1" showErrorMessage="1" sqref="J4:J30" xr:uid="{00000000-0002-0000-1000-000000000000}">
      <formula1>Ambientes</formula1>
    </dataValidation>
    <dataValidation type="list" allowBlank="1" showInputMessage="1" showErrorMessage="1" sqref="I4:I29" xr:uid="{00000000-0002-0000-10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5">
    <tabColor theme="9" tint="-0.249977111117893"/>
  </sheetPr>
  <dimension ref="A1:J35"/>
  <sheetViews>
    <sheetView topLeftCell="A15" workbookViewId="0">
      <selection activeCell="D23" sqref="D23"/>
    </sheetView>
  </sheetViews>
  <sheetFormatPr defaultRowHeight="15" x14ac:dyDescent="0.25"/>
  <cols>
    <col min="2" max="2" width="47.5703125" customWidth="1"/>
    <col min="9" max="9" width="15.42578125" bestFit="1" customWidth="1"/>
    <col min="10" max="10" width="26.5703125" bestFit="1" customWidth="1"/>
  </cols>
  <sheetData>
    <row r="1" spans="1:10" ht="15.75" thickBot="1" x14ac:dyDescent="0.3">
      <c r="A1" t="s">
        <v>711</v>
      </c>
    </row>
    <row r="2" spans="1:10" ht="33.75" thickBot="1" x14ac:dyDescent="0.3">
      <c r="F2" s="119" t="s">
        <v>48</v>
      </c>
    </row>
    <row r="3" spans="1:10" ht="29.2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0" ht="15" customHeight="1" x14ac:dyDescent="0.25">
      <c r="A4" s="537" t="s">
        <v>51</v>
      </c>
      <c r="B4" s="8" t="s">
        <v>58</v>
      </c>
      <c r="C4" s="9"/>
      <c r="D4" s="10" t="s">
        <v>60</v>
      </c>
      <c r="E4" s="9">
        <v>1</v>
      </c>
      <c r="F4" s="122">
        <v>4</v>
      </c>
      <c r="G4" s="12">
        <v>76</v>
      </c>
      <c r="H4" s="123">
        <v>63</v>
      </c>
      <c r="I4" s="124" t="s">
        <v>20</v>
      </c>
      <c r="J4" s="125" t="s">
        <v>230</v>
      </c>
    </row>
    <row r="5" spans="1:10" x14ac:dyDescent="0.25">
      <c r="A5" s="538"/>
      <c r="B5" s="14" t="s">
        <v>63</v>
      </c>
      <c r="C5" s="15"/>
      <c r="D5" s="16" t="s">
        <v>57</v>
      </c>
      <c r="E5" s="15">
        <v>2</v>
      </c>
      <c r="F5" s="126">
        <v>2</v>
      </c>
      <c r="G5" s="18">
        <v>38</v>
      </c>
      <c r="H5" s="127">
        <v>32</v>
      </c>
      <c r="I5" s="128" t="s">
        <v>20</v>
      </c>
      <c r="J5" s="129" t="s">
        <v>232</v>
      </c>
    </row>
    <row r="6" spans="1:10" x14ac:dyDescent="0.25">
      <c r="A6" s="538"/>
      <c r="B6" s="14" t="s">
        <v>71</v>
      </c>
      <c r="C6" s="15"/>
      <c r="D6" s="16" t="s">
        <v>60</v>
      </c>
      <c r="E6" s="15">
        <v>1</v>
      </c>
      <c r="F6" s="126">
        <v>4</v>
      </c>
      <c r="G6" s="18">
        <v>76</v>
      </c>
      <c r="H6" s="127">
        <v>63</v>
      </c>
      <c r="I6" s="128" t="s">
        <v>20</v>
      </c>
      <c r="J6" s="129" t="s">
        <v>230</v>
      </c>
    </row>
    <row r="7" spans="1:10" x14ac:dyDescent="0.25">
      <c r="A7" s="538"/>
      <c r="B7" s="14" t="s">
        <v>712</v>
      </c>
      <c r="C7" s="15"/>
      <c r="D7" s="16" t="s">
        <v>57</v>
      </c>
      <c r="E7" s="15">
        <v>2</v>
      </c>
      <c r="F7" s="126">
        <v>2</v>
      </c>
      <c r="G7" s="18">
        <v>38</v>
      </c>
      <c r="H7" s="127">
        <v>32</v>
      </c>
      <c r="I7" s="128" t="s">
        <v>20</v>
      </c>
      <c r="J7" s="129" t="s">
        <v>232</v>
      </c>
    </row>
    <row r="8" spans="1:10" x14ac:dyDescent="0.25">
      <c r="A8" s="538"/>
      <c r="B8" s="14" t="s">
        <v>492</v>
      </c>
      <c r="C8" s="15"/>
      <c r="D8" s="16" t="s">
        <v>60</v>
      </c>
      <c r="E8" s="15">
        <v>1</v>
      </c>
      <c r="F8" s="126">
        <v>4</v>
      </c>
      <c r="G8" s="18">
        <v>76</v>
      </c>
      <c r="H8" s="127">
        <v>63</v>
      </c>
      <c r="I8" s="128" t="s">
        <v>21</v>
      </c>
      <c r="J8" s="129" t="s">
        <v>230</v>
      </c>
    </row>
    <row r="9" spans="1:10" x14ac:dyDescent="0.25">
      <c r="A9" s="577"/>
      <c r="B9" s="130" t="s">
        <v>396</v>
      </c>
      <c r="C9" s="131"/>
      <c r="D9" s="132" t="s">
        <v>60</v>
      </c>
      <c r="E9" s="131">
        <v>1</v>
      </c>
      <c r="F9" s="133">
        <v>2</v>
      </c>
      <c r="G9" s="18">
        <v>38</v>
      </c>
      <c r="H9" s="127">
        <v>32</v>
      </c>
      <c r="I9" s="134" t="s">
        <v>15</v>
      </c>
      <c r="J9" s="135" t="s">
        <v>230</v>
      </c>
    </row>
    <row r="10" spans="1:10" ht="15.75" thickBot="1" x14ac:dyDescent="0.3">
      <c r="A10" s="541"/>
      <c r="B10" s="20" t="s">
        <v>343</v>
      </c>
      <c r="C10" s="21"/>
      <c r="D10" s="22" t="s">
        <v>60</v>
      </c>
      <c r="E10" s="21">
        <v>1</v>
      </c>
      <c r="F10" s="136">
        <v>2</v>
      </c>
      <c r="G10" s="24">
        <v>38</v>
      </c>
      <c r="H10" s="137">
        <v>32</v>
      </c>
      <c r="I10" s="138" t="s">
        <v>14</v>
      </c>
      <c r="J10" s="139" t="s">
        <v>230</v>
      </c>
    </row>
    <row r="11" spans="1:10" ht="15" customHeight="1" x14ac:dyDescent="0.25">
      <c r="A11" s="537" t="s">
        <v>67</v>
      </c>
      <c r="B11" s="8" t="s">
        <v>87</v>
      </c>
      <c r="C11" s="9"/>
      <c r="D11" s="10" t="s">
        <v>60</v>
      </c>
      <c r="E11" s="9">
        <v>1</v>
      </c>
      <c r="F11" s="122">
        <v>4</v>
      </c>
      <c r="G11" s="12">
        <v>76</v>
      </c>
      <c r="H11" s="123">
        <v>63</v>
      </c>
      <c r="I11" s="124" t="s">
        <v>20</v>
      </c>
      <c r="J11" s="125" t="s">
        <v>230</v>
      </c>
    </row>
    <row r="12" spans="1:10" x14ac:dyDescent="0.25">
      <c r="A12" s="540"/>
      <c r="B12" s="140" t="s">
        <v>89</v>
      </c>
      <c r="C12" s="141"/>
      <c r="D12" s="142" t="s">
        <v>57</v>
      </c>
      <c r="E12" s="141">
        <v>2</v>
      </c>
      <c r="F12" s="143">
        <v>2</v>
      </c>
      <c r="G12" s="18">
        <v>38</v>
      </c>
      <c r="H12" s="127">
        <v>32</v>
      </c>
      <c r="I12" s="144" t="s">
        <v>20</v>
      </c>
      <c r="J12" s="145" t="s">
        <v>232</v>
      </c>
    </row>
    <row r="13" spans="1:10" x14ac:dyDescent="0.25">
      <c r="A13" s="540"/>
      <c r="B13" s="140" t="s">
        <v>461</v>
      </c>
      <c r="C13" s="141"/>
      <c r="D13" s="142" t="s">
        <v>57</v>
      </c>
      <c r="E13" s="141">
        <v>2</v>
      </c>
      <c r="F13" s="143">
        <v>2</v>
      </c>
      <c r="G13" s="18">
        <v>38</v>
      </c>
      <c r="H13" s="127">
        <v>32</v>
      </c>
      <c r="I13" s="144" t="s">
        <v>20</v>
      </c>
      <c r="J13" s="145" t="s">
        <v>231</v>
      </c>
    </row>
    <row r="14" spans="1:10" x14ac:dyDescent="0.25">
      <c r="A14" s="540"/>
      <c r="B14" s="140" t="s">
        <v>713</v>
      </c>
      <c r="C14" s="141"/>
      <c r="D14" s="142" t="s">
        <v>60</v>
      </c>
      <c r="E14" s="141">
        <v>1</v>
      </c>
      <c r="F14" s="143">
        <v>2</v>
      </c>
      <c r="G14" s="18">
        <v>38</v>
      </c>
      <c r="H14" s="127">
        <v>32</v>
      </c>
      <c r="I14" s="144" t="s">
        <v>20</v>
      </c>
      <c r="J14" s="145" t="s">
        <v>230</v>
      </c>
    </row>
    <row r="15" spans="1:10" x14ac:dyDescent="0.25">
      <c r="A15" s="538"/>
      <c r="B15" s="14" t="s">
        <v>714</v>
      </c>
      <c r="C15" s="15"/>
      <c r="D15" s="16" t="s">
        <v>60</v>
      </c>
      <c r="E15" s="15">
        <v>1</v>
      </c>
      <c r="F15" s="126">
        <v>2</v>
      </c>
      <c r="G15" s="18">
        <v>38</v>
      </c>
      <c r="H15" s="127">
        <v>32</v>
      </c>
      <c r="I15" s="128" t="s">
        <v>15</v>
      </c>
      <c r="J15" s="129" t="s">
        <v>230</v>
      </c>
    </row>
    <row r="16" spans="1:10" x14ac:dyDescent="0.25">
      <c r="A16" s="538"/>
      <c r="B16" s="14" t="s">
        <v>715</v>
      </c>
      <c r="C16" s="15"/>
      <c r="D16" s="16" t="s">
        <v>60</v>
      </c>
      <c r="E16" s="15">
        <v>1</v>
      </c>
      <c r="F16" s="126">
        <v>2</v>
      </c>
      <c r="G16" s="18">
        <v>38</v>
      </c>
      <c r="H16" s="127">
        <v>32</v>
      </c>
      <c r="I16" s="128" t="s">
        <v>14</v>
      </c>
      <c r="J16" s="129" t="s">
        <v>230</v>
      </c>
    </row>
    <row r="17" spans="1:10" ht="15" customHeight="1" x14ac:dyDescent="0.25">
      <c r="A17" s="538"/>
      <c r="B17" s="14" t="s">
        <v>595</v>
      </c>
      <c r="C17" s="15"/>
      <c r="D17" s="16" t="s">
        <v>60</v>
      </c>
      <c r="E17" s="15">
        <v>1</v>
      </c>
      <c r="F17" s="126">
        <v>2</v>
      </c>
      <c r="G17" s="18">
        <v>38</v>
      </c>
      <c r="H17" s="127">
        <v>32</v>
      </c>
      <c r="I17" s="128" t="s">
        <v>315</v>
      </c>
      <c r="J17" s="129" t="s">
        <v>230</v>
      </c>
    </row>
    <row r="18" spans="1:10" ht="15.75" thickBot="1" x14ac:dyDescent="0.3">
      <c r="A18" s="541"/>
      <c r="B18" s="20" t="s">
        <v>716</v>
      </c>
      <c r="C18" s="21"/>
      <c r="D18" s="22" t="s">
        <v>57</v>
      </c>
      <c r="E18" s="21">
        <v>2</v>
      </c>
      <c r="F18" s="136">
        <v>4</v>
      </c>
      <c r="G18" s="24">
        <v>76</v>
      </c>
      <c r="H18" s="137">
        <v>63</v>
      </c>
      <c r="I18" s="138" t="s">
        <v>20</v>
      </c>
      <c r="J18" s="139" t="s">
        <v>232</v>
      </c>
    </row>
    <row r="19" spans="1:10" x14ac:dyDescent="0.25">
      <c r="A19" s="537" t="s">
        <v>85</v>
      </c>
      <c r="B19" s="8" t="s">
        <v>116</v>
      </c>
      <c r="C19" s="9"/>
      <c r="D19" s="10" t="s">
        <v>57</v>
      </c>
      <c r="E19" s="9">
        <v>2</v>
      </c>
      <c r="F19" s="122">
        <v>4</v>
      </c>
      <c r="G19" s="12">
        <v>76</v>
      </c>
      <c r="H19" s="123">
        <v>63</v>
      </c>
      <c r="I19" s="124" t="s">
        <v>20</v>
      </c>
      <c r="J19" s="125" t="s">
        <v>232</v>
      </c>
    </row>
    <row r="20" spans="1:10" x14ac:dyDescent="0.25">
      <c r="A20" s="538"/>
      <c r="B20" s="14" t="s">
        <v>1189</v>
      </c>
      <c r="C20" s="15"/>
      <c r="D20" s="16" t="s">
        <v>57</v>
      </c>
      <c r="E20" s="15">
        <v>2</v>
      </c>
      <c r="F20" s="126">
        <v>2</v>
      </c>
      <c r="G20" s="18">
        <v>38</v>
      </c>
      <c r="H20" s="127">
        <v>32</v>
      </c>
      <c r="I20" s="128" t="s">
        <v>20</v>
      </c>
      <c r="J20" s="129" t="s">
        <v>231</v>
      </c>
    </row>
    <row r="21" spans="1:10" x14ac:dyDescent="0.25">
      <c r="A21" s="538"/>
      <c r="B21" s="14" t="s">
        <v>718</v>
      </c>
      <c r="C21" s="15"/>
      <c r="D21" s="16" t="s">
        <v>57</v>
      </c>
      <c r="E21" s="15">
        <v>2</v>
      </c>
      <c r="F21" s="126">
        <v>2</v>
      </c>
      <c r="G21" s="18">
        <v>38</v>
      </c>
      <c r="H21" s="127">
        <v>32</v>
      </c>
      <c r="I21" s="128" t="s">
        <v>20</v>
      </c>
      <c r="J21" s="129" t="s">
        <v>232</v>
      </c>
    </row>
    <row r="22" spans="1:10" x14ac:dyDescent="0.25">
      <c r="A22" s="538"/>
      <c r="B22" s="14" t="s">
        <v>101</v>
      </c>
      <c r="C22" s="15"/>
      <c r="D22" s="16" t="s">
        <v>60</v>
      </c>
      <c r="E22" s="15">
        <v>1</v>
      </c>
      <c r="F22" s="126">
        <v>4</v>
      </c>
      <c r="G22" s="18">
        <v>76</v>
      </c>
      <c r="H22" s="127">
        <v>63</v>
      </c>
      <c r="I22" s="128" t="s">
        <v>20</v>
      </c>
      <c r="J22" s="129" t="s">
        <v>230</v>
      </c>
    </row>
    <row r="23" spans="1:10" x14ac:dyDescent="0.25">
      <c r="A23" s="538"/>
      <c r="B23" s="14" t="s">
        <v>103</v>
      </c>
      <c r="C23" s="15"/>
      <c r="D23" s="16" t="s">
        <v>57</v>
      </c>
      <c r="E23" s="15">
        <v>2</v>
      </c>
      <c r="F23" s="126">
        <v>2</v>
      </c>
      <c r="G23" s="18">
        <v>38</v>
      </c>
      <c r="H23" s="127">
        <v>32</v>
      </c>
      <c r="I23" s="128" t="s">
        <v>20</v>
      </c>
      <c r="J23" s="129" t="s">
        <v>232</v>
      </c>
    </row>
    <row r="24" spans="1:10" ht="15" customHeight="1" x14ac:dyDescent="0.25">
      <c r="A24" s="538"/>
      <c r="B24" s="14" t="s">
        <v>719</v>
      </c>
      <c r="C24" s="15"/>
      <c r="D24" s="16" t="s">
        <v>57</v>
      </c>
      <c r="E24" s="15">
        <v>2</v>
      </c>
      <c r="F24" s="126">
        <v>4</v>
      </c>
      <c r="G24" s="18">
        <v>76</v>
      </c>
      <c r="H24" s="127">
        <v>63</v>
      </c>
      <c r="I24" s="128" t="s">
        <v>20</v>
      </c>
      <c r="J24" s="129" t="s">
        <v>232</v>
      </c>
    </row>
    <row r="25" spans="1:10" ht="15.75" thickBot="1" x14ac:dyDescent="0.3">
      <c r="A25" s="541"/>
      <c r="B25" s="20" t="s">
        <v>720</v>
      </c>
      <c r="C25" s="21"/>
      <c r="D25" s="22" t="s">
        <v>57</v>
      </c>
      <c r="E25" s="21">
        <v>2</v>
      </c>
      <c r="F25" s="136">
        <v>2</v>
      </c>
      <c r="G25" s="24">
        <v>38</v>
      </c>
      <c r="H25" s="137">
        <v>32</v>
      </c>
      <c r="I25" s="138" t="s">
        <v>20</v>
      </c>
      <c r="J25" s="139" t="s">
        <v>231</v>
      </c>
    </row>
    <row r="26" spans="1:10" x14ac:dyDescent="0.25">
      <c r="A26" s="537" t="s">
        <v>99</v>
      </c>
      <c r="B26" s="8" t="s">
        <v>721</v>
      </c>
      <c r="C26" s="9"/>
      <c r="D26" s="10" t="s">
        <v>57</v>
      </c>
      <c r="E26" s="9">
        <v>1</v>
      </c>
      <c r="F26" s="122">
        <v>4</v>
      </c>
      <c r="G26" s="12">
        <v>76</v>
      </c>
      <c r="H26" s="123">
        <v>63</v>
      </c>
      <c r="I26" s="124" t="s">
        <v>20</v>
      </c>
      <c r="J26" s="125" t="s">
        <v>231</v>
      </c>
    </row>
    <row r="27" spans="1:10" x14ac:dyDescent="0.25">
      <c r="A27" s="538"/>
      <c r="B27" s="14" t="s">
        <v>322</v>
      </c>
      <c r="C27" s="15"/>
      <c r="D27" s="16" t="s">
        <v>57</v>
      </c>
      <c r="E27" s="15">
        <v>1</v>
      </c>
      <c r="F27" s="126">
        <v>4</v>
      </c>
      <c r="G27" s="18">
        <v>76</v>
      </c>
      <c r="H27" s="127">
        <v>63</v>
      </c>
      <c r="I27" s="128" t="s">
        <v>20</v>
      </c>
      <c r="J27" s="129" t="s">
        <v>233</v>
      </c>
    </row>
    <row r="28" spans="1:10" x14ac:dyDescent="0.25">
      <c r="A28" s="538"/>
      <c r="B28" s="14" t="s">
        <v>93</v>
      </c>
      <c r="C28" s="15"/>
      <c r="D28" s="16" t="s">
        <v>57</v>
      </c>
      <c r="E28" s="15">
        <v>1</v>
      </c>
      <c r="F28" s="126">
        <v>4</v>
      </c>
      <c r="G28" s="18">
        <v>76</v>
      </c>
      <c r="H28" s="127">
        <v>63</v>
      </c>
      <c r="I28" s="128" t="s">
        <v>20</v>
      </c>
      <c r="J28" s="129" t="s">
        <v>231</v>
      </c>
    </row>
    <row r="29" spans="1:10" x14ac:dyDescent="0.25">
      <c r="A29" s="538"/>
      <c r="B29" s="14" t="s">
        <v>722</v>
      </c>
      <c r="C29" s="15"/>
      <c r="D29" s="16" t="s">
        <v>57</v>
      </c>
      <c r="E29" s="15">
        <v>1</v>
      </c>
      <c r="F29" s="126">
        <v>4</v>
      </c>
      <c r="G29" s="18">
        <v>76</v>
      </c>
      <c r="H29" s="127">
        <v>63</v>
      </c>
      <c r="I29" s="128" t="s">
        <v>20</v>
      </c>
      <c r="J29" s="129" t="s">
        <v>232</v>
      </c>
    </row>
    <row r="30" spans="1:10" ht="15.75" thickBot="1" x14ac:dyDescent="0.3">
      <c r="A30" s="541"/>
      <c r="B30" s="20" t="s">
        <v>529</v>
      </c>
      <c r="C30" s="21"/>
      <c r="D30" s="22" t="s">
        <v>57</v>
      </c>
      <c r="E30" s="21">
        <v>2</v>
      </c>
      <c r="F30" s="136">
        <v>4</v>
      </c>
      <c r="G30" s="24">
        <v>76</v>
      </c>
      <c r="H30" s="137">
        <v>63</v>
      </c>
      <c r="I30" s="138" t="s">
        <v>20</v>
      </c>
      <c r="J30" s="139" t="s">
        <v>231</v>
      </c>
    </row>
    <row r="31" spans="1:10" ht="16.5" thickBot="1" x14ac:dyDescent="0.3">
      <c r="A31" s="508" t="s">
        <v>303</v>
      </c>
      <c r="B31" s="508"/>
      <c r="C31" s="508"/>
      <c r="D31" s="508"/>
      <c r="E31" s="508"/>
      <c r="F31" s="55" t="e">
        <f>(F30*#REF!*$C$36)/60</f>
        <v>#REF!</v>
      </c>
      <c r="G31" s="53" t="s">
        <v>304</v>
      </c>
      <c r="H31" s="55" t="e">
        <f>SUM(F31+#REF!+#REF!+#REF!)</f>
        <v>#REF!</v>
      </c>
      <c r="I31" s="36"/>
    </row>
    <row r="32" spans="1:10" ht="16.5" thickBot="1" x14ac:dyDescent="0.3">
      <c r="A32" s="61" t="s">
        <v>305</v>
      </c>
      <c r="B32" s="63"/>
      <c r="C32" s="63"/>
      <c r="D32" s="63"/>
      <c r="E32" s="63"/>
      <c r="F32" s="63"/>
      <c r="G32" s="64"/>
      <c r="H32" s="56" t="e">
        <f>H31</f>
        <v>#REF!</v>
      </c>
      <c r="I32" s="57"/>
    </row>
    <row r="33" spans="1:9" ht="16.5" thickBot="1" x14ac:dyDescent="0.3">
      <c r="A33" s="61" t="s">
        <v>306</v>
      </c>
      <c r="B33" s="63"/>
      <c r="C33" s="63"/>
      <c r="D33" s="63"/>
      <c r="E33" s="63"/>
      <c r="F33" s="63"/>
      <c r="G33" s="75"/>
      <c r="H33" s="58">
        <v>360</v>
      </c>
      <c r="I33" s="36"/>
    </row>
    <row r="34" spans="1:9" ht="16.5" thickBot="1" x14ac:dyDescent="0.3">
      <c r="A34" s="62" t="s">
        <v>308</v>
      </c>
      <c r="B34" s="76"/>
      <c r="C34" s="77"/>
      <c r="D34" s="77"/>
      <c r="E34" s="77"/>
      <c r="F34" s="77"/>
      <c r="G34" s="77"/>
      <c r="H34" s="55" t="e">
        <f>SUM(H32+H33)</f>
        <v>#REF!</v>
      </c>
      <c r="I34" s="36"/>
    </row>
    <row r="35" spans="1:9" ht="15.75" x14ac:dyDescent="0.25">
      <c r="A35" s="532" t="s">
        <v>309</v>
      </c>
      <c r="B35" s="532"/>
      <c r="C35" s="78">
        <v>50</v>
      </c>
      <c r="D35" s="79" t="s">
        <v>310</v>
      </c>
      <c r="E35" s="79"/>
      <c r="F35" s="79"/>
      <c r="G35" s="79"/>
      <c r="H35" s="80"/>
      <c r="I35" s="36"/>
    </row>
  </sheetData>
  <mergeCells count="6">
    <mergeCell ref="A35:B35"/>
    <mergeCell ref="A4:A10"/>
    <mergeCell ref="A11:A18"/>
    <mergeCell ref="A19:A25"/>
    <mergeCell ref="A26:A30"/>
    <mergeCell ref="A31:E31"/>
  </mergeCells>
  <dataValidations count="2">
    <dataValidation type="list" allowBlank="1" showInputMessage="1" showErrorMessage="1" sqref="I4:I29" xr:uid="{00000000-0002-0000-1100-000000000000}">
      <formula1>Áreas</formula1>
    </dataValidation>
    <dataValidation type="list" allowBlank="1" showInputMessage="1" showErrorMessage="1" sqref="J4:J30" xr:uid="{00000000-0002-0000-11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40">
    <tabColor theme="9" tint="-0.249977111117893"/>
  </sheetPr>
  <dimension ref="A1:L27"/>
  <sheetViews>
    <sheetView workbookViewId="0">
      <selection activeCell="M5" sqref="M5:N8"/>
    </sheetView>
  </sheetViews>
  <sheetFormatPr defaultColWidth="9.140625" defaultRowHeight="15" x14ac:dyDescent="0.25"/>
  <cols>
    <col min="2" max="2" width="41.42578125" bestFit="1" customWidth="1"/>
    <col min="9" max="9" width="15.42578125" bestFit="1" customWidth="1"/>
    <col min="10" max="10" width="24.85546875" bestFit="1" customWidth="1"/>
  </cols>
  <sheetData>
    <row r="1" spans="1:12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2" ht="15.75" x14ac:dyDescent="0.25">
      <c r="A2" s="513" t="s">
        <v>671</v>
      </c>
      <c r="B2" s="513"/>
      <c r="C2" s="513"/>
      <c r="D2" s="513"/>
      <c r="E2" s="513"/>
      <c r="F2" s="38">
        <v>19</v>
      </c>
      <c r="G2" s="38"/>
      <c r="H2" s="38"/>
      <c r="I2" s="36" t="s">
        <v>11</v>
      </c>
      <c r="K2">
        <f>SUMIF(I5:I21,"=Física",F5:F21)</f>
        <v>10</v>
      </c>
    </row>
    <row r="3" spans="1:12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2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2" x14ac:dyDescent="0.25">
      <c r="A5" s="504" t="s">
        <v>318</v>
      </c>
      <c r="B5" s="40" t="s">
        <v>1246</v>
      </c>
      <c r="C5" s="41"/>
      <c r="D5" s="42" t="s">
        <v>54</v>
      </c>
      <c r="E5" s="43">
        <v>1</v>
      </c>
      <c r="F5" s="42">
        <v>4</v>
      </c>
      <c r="G5" s="44">
        <f t="shared" ref="G5:G21" si="0">SUM(F5:F5)*$F$2</f>
        <v>76</v>
      </c>
      <c r="H5" s="45">
        <f t="shared" ref="H5:H21" si="1">(G5)*$C$27/60</f>
        <v>63.333333333333336</v>
      </c>
      <c r="I5" s="47" t="s">
        <v>11</v>
      </c>
      <c r="J5" s="46" t="s">
        <v>232</v>
      </c>
    </row>
    <row r="6" spans="1:12" x14ac:dyDescent="0.25">
      <c r="A6" s="504"/>
      <c r="B6" s="40" t="s">
        <v>1247</v>
      </c>
      <c r="C6" s="41"/>
      <c r="D6" s="42" t="s">
        <v>54</v>
      </c>
      <c r="E6" s="43">
        <v>1</v>
      </c>
      <c r="F6" s="42">
        <v>2</v>
      </c>
      <c r="G6" s="44">
        <f t="shared" si="0"/>
        <v>38</v>
      </c>
      <c r="H6" s="45">
        <f t="shared" si="1"/>
        <v>31.666666666666668</v>
      </c>
      <c r="I6" s="47" t="s">
        <v>9</v>
      </c>
      <c r="J6" s="46" t="s">
        <v>232</v>
      </c>
    </row>
    <row r="7" spans="1:12" x14ac:dyDescent="0.25">
      <c r="A7" s="504"/>
      <c r="B7" s="40" t="s">
        <v>369</v>
      </c>
      <c r="C7" s="41"/>
      <c r="D7" s="42" t="s">
        <v>60</v>
      </c>
      <c r="E7" s="43">
        <v>1</v>
      </c>
      <c r="F7" s="42">
        <v>4</v>
      </c>
      <c r="G7" s="44">
        <f t="shared" si="0"/>
        <v>76</v>
      </c>
      <c r="H7" s="45">
        <f t="shared" si="1"/>
        <v>63.333333333333336</v>
      </c>
      <c r="I7" s="47" t="s">
        <v>225</v>
      </c>
      <c r="J7" s="46" t="s">
        <v>251</v>
      </c>
    </row>
    <row r="8" spans="1:12" x14ac:dyDescent="0.25">
      <c r="A8" s="504"/>
      <c r="B8" s="40" t="s">
        <v>1248</v>
      </c>
      <c r="C8" s="41"/>
      <c r="D8" s="42" t="s">
        <v>54</v>
      </c>
      <c r="E8" s="43">
        <v>1</v>
      </c>
      <c r="F8" s="42">
        <v>4</v>
      </c>
      <c r="G8" s="44">
        <f t="shared" si="0"/>
        <v>76</v>
      </c>
      <c r="H8" s="45">
        <f t="shared" si="1"/>
        <v>63.333333333333336</v>
      </c>
      <c r="I8" s="47" t="s">
        <v>225</v>
      </c>
      <c r="J8" s="46" t="s">
        <v>231</v>
      </c>
    </row>
    <row r="9" spans="1:12" x14ac:dyDescent="0.25">
      <c r="A9" s="504"/>
      <c r="B9" s="40" t="s">
        <v>1249</v>
      </c>
      <c r="C9" s="41"/>
      <c r="D9" s="42" t="s">
        <v>60</v>
      </c>
      <c r="E9" s="43">
        <v>1</v>
      </c>
      <c r="F9" s="42">
        <v>2</v>
      </c>
      <c r="G9" s="44">
        <f t="shared" si="0"/>
        <v>38</v>
      </c>
      <c r="H9" s="45">
        <f t="shared" si="1"/>
        <v>31.666666666666668</v>
      </c>
      <c r="I9" s="47" t="s">
        <v>6</v>
      </c>
      <c r="J9" s="46"/>
    </row>
    <row r="10" spans="1:12" ht="15.75" thickBot="1" x14ac:dyDescent="0.3">
      <c r="A10" s="504"/>
      <c r="B10" s="40" t="s">
        <v>16</v>
      </c>
      <c r="C10" s="41"/>
      <c r="D10" s="42" t="s">
        <v>54</v>
      </c>
      <c r="E10" s="43">
        <v>1</v>
      </c>
      <c r="F10" s="42">
        <v>4</v>
      </c>
      <c r="G10" s="44">
        <f t="shared" si="0"/>
        <v>76</v>
      </c>
      <c r="H10" s="45">
        <f t="shared" si="1"/>
        <v>63.333333333333336</v>
      </c>
      <c r="I10" s="47" t="s">
        <v>16</v>
      </c>
      <c r="J10" s="46" t="s">
        <v>231</v>
      </c>
    </row>
    <row r="11" spans="1:12" x14ac:dyDescent="0.25">
      <c r="A11" s="534" t="s">
        <v>321</v>
      </c>
      <c r="B11" s="294" t="s">
        <v>1245</v>
      </c>
      <c r="C11" s="353"/>
      <c r="D11" s="296" t="s">
        <v>54</v>
      </c>
      <c r="E11" s="296">
        <v>1</v>
      </c>
      <c r="F11" s="297">
        <v>4</v>
      </c>
      <c r="G11" s="298">
        <f t="shared" si="0"/>
        <v>76</v>
      </c>
      <c r="H11" s="299">
        <f t="shared" si="1"/>
        <v>63.333333333333336</v>
      </c>
      <c r="I11" s="300" t="s">
        <v>225</v>
      </c>
      <c r="J11" s="338" t="s">
        <v>231</v>
      </c>
      <c r="K11" s="339"/>
      <c r="L11" s="340">
        <f>H11*E11</f>
        <v>63.333333333333336</v>
      </c>
    </row>
    <row r="12" spans="1:12" x14ac:dyDescent="0.25">
      <c r="A12" s="535"/>
      <c r="B12" s="40" t="s">
        <v>1250</v>
      </c>
      <c r="C12" s="48"/>
      <c r="D12" s="42" t="s">
        <v>54</v>
      </c>
      <c r="E12" s="42">
        <v>1</v>
      </c>
      <c r="F12" s="43">
        <v>4</v>
      </c>
      <c r="G12" s="44">
        <f t="shared" si="0"/>
        <v>76</v>
      </c>
      <c r="H12" s="45">
        <f t="shared" si="1"/>
        <v>63.333333333333336</v>
      </c>
      <c r="I12" s="47" t="s">
        <v>21</v>
      </c>
      <c r="J12" s="46" t="s">
        <v>232</v>
      </c>
      <c r="L12" s="341">
        <f t="shared" ref="L12:L21" si="2">H12*E12</f>
        <v>63.333333333333336</v>
      </c>
    </row>
    <row r="13" spans="1:12" x14ac:dyDescent="0.25">
      <c r="A13" s="535"/>
      <c r="B13" s="40" t="s">
        <v>1251</v>
      </c>
      <c r="C13" s="48"/>
      <c r="D13" s="42" t="s">
        <v>54</v>
      </c>
      <c r="E13" s="42">
        <v>1</v>
      </c>
      <c r="F13" s="43">
        <v>2</v>
      </c>
      <c r="G13" s="44">
        <f t="shared" si="0"/>
        <v>38</v>
      </c>
      <c r="H13" s="45">
        <f t="shared" si="1"/>
        <v>31.666666666666668</v>
      </c>
      <c r="I13" s="47" t="s">
        <v>9</v>
      </c>
      <c r="J13" s="46" t="s">
        <v>231</v>
      </c>
      <c r="L13" s="341">
        <f t="shared" si="2"/>
        <v>31.666666666666668</v>
      </c>
    </row>
    <row r="14" spans="1:12" x14ac:dyDescent="0.25">
      <c r="A14" s="535"/>
      <c r="B14" s="40" t="s">
        <v>1252</v>
      </c>
      <c r="C14" s="48"/>
      <c r="D14" s="42" t="s">
        <v>54</v>
      </c>
      <c r="E14" s="42">
        <v>1</v>
      </c>
      <c r="F14" s="43">
        <v>2</v>
      </c>
      <c r="G14" s="44">
        <f t="shared" si="0"/>
        <v>38</v>
      </c>
      <c r="H14" s="45">
        <f t="shared" si="1"/>
        <v>31.666666666666668</v>
      </c>
      <c r="I14" s="47" t="s">
        <v>225</v>
      </c>
      <c r="J14" s="46" t="s">
        <v>231</v>
      </c>
      <c r="L14" s="341">
        <f t="shared" si="2"/>
        <v>31.666666666666668</v>
      </c>
    </row>
    <row r="15" spans="1:12" x14ac:dyDescent="0.25">
      <c r="A15" s="535"/>
      <c r="B15" s="40" t="s">
        <v>1256</v>
      </c>
      <c r="C15" s="48"/>
      <c r="D15" s="42" t="s">
        <v>60</v>
      </c>
      <c r="E15" s="42">
        <v>1</v>
      </c>
      <c r="F15" s="43">
        <v>2</v>
      </c>
      <c r="G15" s="44">
        <f t="shared" si="0"/>
        <v>38</v>
      </c>
      <c r="H15" s="45">
        <f t="shared" si="1"/>
        <v>31.666666666666668</v>
      </c>
      <c r="I15" s="47" t="s">
        <v>225</v>
      </c>
      <c r="J15" s="46"/>
      <c r="L15" s="341">
        <f t="shared" si="2"/>
        <v>31.666666666666668</v>
      </c>
    </row>
    <row r="16" spans="1:12" x14ac:dyDescent="0.25">
      <c r="A16" s="535"/>
      <c r="B16" s="40" t="s">
        <v>1253</v>
      </c>
      <c r="C16" s="48"/>
      <c r="D16" s="42" t="s">
        <v>54</v>
      </c>
      <c r="E16" s="42">
        <v>1</v>
      </c>
      <c r="F16" s="43">
        <v>2</v>
      </c>
      <c r="G16" s="44">
        <f t="shared" si="0"/>
        <v>38</v>
      </c>
      <c r="H16" s="45">
        <f t="shared" si="1"/>
        <v>31.666666666666668</v>
      </c>
      <c r="I16" s="47" t="s">
        <v>225</v>
      </c>
      <c r="J16" s="46" t="s">
        <v>232</v>
      </c>
      <c r="L16" s="341">
        <f t="shared" si="2"/>
        <v>31.666666666666668</v>
      </c>
    </row>
    <row r="17" spans="1:12" ht="15.75" thickBot="1" x14ac:dyDescent="0.3">
      <c r="A17" s="536"/>
      <c r="B17" s="302" t="s">
        <v>1255</v>
      </c>
      <c r="C17" s="354"/>
      <c r="D17" s="304" t="s">
        <v>54</v>
      </c>
      <c r="E17" s="304">
        <v>1</v>
      </c>
      <c r="F17" s="305">
        <v>2</v>
      </c>
      <c r="G17" s="306">
        <f t="shared" si="0"/>
        <v>38</v>
      </c>
      <c r="H17" s="307">
        <f t="shared" si="1"/>
        <v>31.666666666666668</v>
      </c>
      <c r="I17" s="308" t="s">
        <v>225</v>
      </c>
      <c r="J17" s="343" t="s">
        <v>231</v>
      </c>
      <c r="K17" s="344"/>
      <c r="L17" s="345">
        <f t="shared" si="2"/>
        <v>31.666666666666668</v>
      </c>
    </row>
    <row r="18" spans="1:12" x14ac:dyDescent="0.25">
      <c r="A18" s="534" t="s">
        <v>323</v>
      </c>
      <c r="B18" s="294" t="s">
        <v>692</v>
      </c>
      <c r="C18" s="353"/>
      <c r="D18" s="296" t="s">
        <v>54</v>
      </c>
      <c r="E18" s="296">
        <v>1</v>
      </c>
      <c r="F18" s="296">
        <v>4</v>
      </c>
      <c r="G18" s="298">
        <f t="shared" si="0"/>
        <v>76</v>
      </c>
      <c r="H18" s="299">
        <f t="shared" si="1"/>
        <v>63.333333333333336</v>
      </c>
      <c r="I18" s="300" t="s">
        <v>6</v>
      </c>
      <c r="J18" s="338" t="s">
        <v>231</v>
      </c>
      <c r="K18" s="339"/>
      <c r="L18" s="340">
        <f t="shared" si="2"/>
        <v>63.333333333333336</v>
      </c>
    </row>
    <row r="19" spans="1:12" x14ac:dyDescent="0.25">
      <c r="A19" s="535"/>
      <c r="B19" s="40" t="s">
        <v>1257</v>
      </c>
      <c r="C19" s="49"/>
      <c r="D19" s="42" t="s">
        <v>54</v>
      </c>
      <c r="E19" s="42">
        <v>1</v>
      </c>
      <c r="F19" s="50">
        <v>4</v>
      </c>
      <c r="G19" s="44">
        <f t="shared" si="0"/>
        <v>76</v>
      </c>
      <c r="H19" s="45">
        <f t="shared" si="1"/>
        <v>63.333333333333336</v>
      </c>
      <c r="I19" s="47" t="s">
        <v>6</v>
      </c>
      <c r="J19" s="46" t="s">
        <v>231</v>
      </c>
      <c r="L19" s="341">
        <f t="shared" si="2"/>
        <v>63.333333333333336</v>
      </c>
    </row>
    <row r="20" spans="1:12" x14ac:dyDescent="0.25">
      <c r="A20" s="535"/>
      <c r="B20" s="40" t="s">
        <v>1258</v>
      </c>
      <c r="C20" s="49"/>
      <c r="D20" s="42" t="s">
        <v>54</v>
      </c>
      <c r="E20" s="42">
        <v>1</v>
      </c>
      <c r="F20" s="50">
        <v>4</v>
      </c>
      <c r="G20" s="44">
        <f t="shared" si="0"/>
        <v>76</v>
      </c>
      <c r="H20" s="45">
        <f t="shared" si="1"/>
        <v>63.333333333333336</v>
      </c>
      <c r="I20" s="47" t="s">
        <v>225</v>
      </c>
      <c r="J20" s="46" t="s">
        <v>231</v>
      </c>
      <c r="L20" s="341">
        <f t="shared" si="2"/>
        <v>63.333333333333336</v>
      </c>
    </row>
    <row r="21" spans="1:12" ht="15.75" thickBot="1" x14ac:dyDescent="0.3">
      <c r="A21" s="536"/>
      <c r="B21" s="357" t="s">
        <v>1254</v>
      </c>
      <c r="C21" s="342"/>
      <c r="D21" s="304" t="s">
        <v>54</v>
      </c>
      <c r="E21" s="304">
        <v>1</v>
      </c>
      <c r="F21" s="304">
        <v>20</v>
      </c>
      <c r="G21" s="306">
        <f t="shared" si="0"/>
        <v>380</v>
      </c>
      <c r="H21" s="307">
        <f t="shared" si="1"/>
        <v>316.66666666666669</v>
      </c>
      <c r="I21" s="308"/>
      <c r="J21" s="343" t="s">
        <v>232</v>
      </c>
      <c r="K21" s="344"/>
      <c r="L21" s="345">
        <f t="shared" si="2"/>
        <v>316.66666666666669</v>
      </c>
    </row>
    <row r="22" spans="1:12" ht="16.5" thickBot="1" x14ac:dyDescent="0.3">
      <c r="A22" s="62" t="s">
        <v>302</v>
      </c>
      <c r="B22" s="76"/>
      <c r="C22" s="76"/>
      <c r="D22" s="76"/>
      <c r="E22" s="355"/>
      <c r="F22" s="350">
        <f>SUM(F5:F21)</f>
        <v>70</v>
      </c>
      <c r="G22" s="350">
        <f>SUM(G5:G21)</f>
        <v>1330</v>
      </c>
      <c r="H22" s="356">
        <f>SUM(H5:H21)</f>
        <v>1108.3333333333335</v>
      </c>
      <c r="I22" s="36"/>
    </row>
    <row r="23" spans="1:12" ht="16.5" thickBot="1" x14ac:dyDescent="0.3">
      <c r="A23" s="61" t="s">
        <v>303</v>
      </c>
      <c r="B23" s="63"/>
      <c r="C23" s="63"/>
      <c r="D23" s="63"/>
      <c r="E23" s="64"/>
      <c r="F23" s="55">
        <f>(F22*$F$2*$C$27)/60</f>
        <v>1108.3333333333333</v>
      </c>
      <c r="G23" s="53" t="s">
        <v>304</v>
      </c>
      <c r="H23" s="55" t="e">
        <f>SUM(F23+#REF!+#REF!)</f>
        <v>#REF!</v>
      </c>
      <c r="I23" s="36"/>
    </row>
    <row r="24" spans="1:12" ht="16.5" thickBot="1" x14ac:dyDescent="0.3">
      <c r="A24" s="61" t="s">
        <v>305</v>
      </c>
      <c r="B24" s="63"/>
      <c r="C24" s="63"/>
      <c r="D24" s="63"/>
      <c r="E24" s="63"/>
      <c r="F24" s="63"/>
      <c r="G24" s="64"/>
      <c r="H24" s="56" t="e">
        <f>H23</f>
        <v>#REF!</v>
      </c>
      <c r="I24" s="57"/>
    </row>
    <row r="25" spans="1:12" ht="16.5" thickBot="1" x14ac:dyDescent="0.3">
      <c r="A25" s="533" t="s">
        <v>306</v>
      </c>
      <c r="B25" s="533"/>
      <c r="C25" s="533"/>
      <c r="D25" s="533"/>
      <c r="E25" s="533"/>
      <c r="F25" s="533"/>
      <c r="G25" s="533"/>
      <c r="H25" s="58">
        <v>360</v>
      </c>
      <c r="I25" s="36"/>
    </row>
    <row r="26" spans="1:12" ht="16.5" thickBot="1" x14ac:dyDescent="0.3">
      <c r="A26" s="62" t="s">
        <v>308</v>
      </c>
      <c r="B26" s="76"/>
      <c r="C26" s="77"/>
      <c r="D26" s="77"/>
      <c r="E26" s="77"/>
      <c r="F26" s="77"/>
      <c r="G26" s="77"/>
      <c r="H26" s="55" t="e">
        <f>H24+H25</f>
        <v>#REF!</v>
      </c>
      <c r="I26" s="36"/>
    </row>
    <row r="27" spans="1:12" ht="15.75" x14ac:dyDescent="0.25">
      <c r="A27" s="532" t="s">
        <v>309</v>
      </c>
      <c r="B27" s="532"/>
      <c r="C27" s="78">
        <v>50</v>
      </c>
      <c r="D27" s="79" t="s">
        <v>310</v>
      </c>
      <c r="E27" s="79"/>
      <c r="F27" s="79"/>
      <c r="G27" s="79"/>
      <c r="H27" s="80"/>
      <c r="I27" s="36"/>
    </row>
  </sheetData>
  <mergeCells count="10">
    <mergeCell ref="I3:I4"/>
    <mergeCell ref="J3:J4"/>
    <mergeCell ref="A5:A10"/>
    <mergeCell ref="A11:A17"/>
    <mergeCell ref="A18:A21"/>
    <mergeCell ref="A25:G25"/>
    <mergeCell ref="A27:B27"/>
    <mergeCell ref="A2:E2"/>
    <mergeCell ref="B3:B4"/>
    <mergeCell ref="C3:C4"/>
  </mergeCells>
  <dataValidations count="2">
    <dataValidation type="list" allowBlank="1" showInputMessage="1" showErrorMessage="1" sqref="J1:J1048576" xr:uid="{00000000-0002-0000-1200-000000000000}">
      <formula1>Ambientes</formula1>
    </dataValidation>
    <dataValidation type="list" allowBlank="1" showInputMessage="1" showErrorMessage="1" sqref="I1:I1048576" xr:uid="{00000000-0002-0000-12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42">
    <tabColor theme="9" tint="-0.249977111117893"/>
  </sheetPr>
  <dimension ref="A1:L30"/>
  <sheetViews>
    <sheetView topLeftCell="A7" workbookViewId="0">
      <selection activeCell="I30" sqref="I30"/>
    </sheetView>
  </sheetViews>
  <sheetFormatPr defaultColWidth="9.140625" defaultRowHeight="15" x14ac:dyDescent="0.25"/>
  <cols>
    <col min="2" max="2" width="41.42578125" bestFit="1" customWidth="1"/>
    <col min="9" max="9" width="15.42578125" bestFit="1" customWidth="1"/>
    <col min="10" max="10" width="24.85546875" bestFit="1" customWidth="1"/>
  </cols>
  <sheetData>
    <row r="1" spans="1:12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2" ht="15.75" x14ac:dyDescent="0.25">
      <c r="A2" s="513" t="s">
        <v>671</v>
      </c>
      <c r="B2" s="513"/>
      <c r="C2" s="513"/>
      <c r="D2" s="513"/>
      <c r="E2" s="513"/>
      <c r="F2" s="38">
        <v>19</v>
      </c>
      <c r="G2" s="38"/>
      <c r="H2" s="38"/>
      <c r="I2" s="36"/>
    </row>
    <row r="3" spans="1:12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2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2" x14ac:dyDescent="0.25">
      <c r="A5" s="504" t="s">
        <v>318</v>
      </c>
      <c r="B5" s="40" t="s">
        <v>672</v>
      </c>
      <c r="C5" s="41" t="s">
        <v>673</v>
      </c>
      <c r="D5" s="42" t="s">
        <v>54</v>
      </c>
      <c r="E5" s="43">
        <v>1</v>
      </c>
      <c r="F5" s="42">
        <v>2</v>
      </c>
      <c r="G5" s="44">
        <f t="shared" ref="G5:G21" si="0">SUM(F5:F5)*$F$2</f>
        <v>38</v>
      </c>
      <c r="H5" s="45">
        <f t="shared" ref="H5:H21" si="1">(G5)*$C$27/60</f>
        <v>31.666666666666668</v>
      </c>
      <c r="I5" s="47" t="s">
        <v>20</v>
      </c>
      <c r="J5" s="46" t="s">
        <v>232</v>
      </c>
    </row>
    <row r="6" spans="1:12" x14ac:dyDescent="0.25">
      <c r="A6" s="504"/>
      <c r="B6" s="40" t="s">
        <v>674</v>
      </c>
      <c r="C6" s="41" t="s">
        <v>675</v>
      </c>
      <c r="D6" s="42" t="s">
        <v>54</v>
      </c>
      <c r="E6" s="43">
        <v>1</v>
      </c>
      <c r="F6" s="42">
        <v>4</v>
      </c>
      <c r="G6" s="44">
        <f t="shared" si="0"/>
        <v>76</v>
      </c>
      <c r="H6" s="45">
        <f t="shared" si="1"/>
        <v>63.333333333333336</v>
      </c>
      <c r="I6" s="47" t="s">
        <v>1213</v>
      </c>
      <c r="J6" s="46" t="s">
        <v>232</v>
      </c>
    </row>
    <row r="7" spans="1:12" x14ac:dyDescent="0.25">
      <c r="A7" s="504"/>
      <c r="B7" s="40" t="s">
        <v>320</v>
      </c>
      <c r="C7" s="41" t="s">
        <v>676</v>
      </c>
      <c r="D7" s="42" t="s">
        <v>60</v>
      </c>
      <c r="E7" s="43">
        <v>1</v>
      </c>
      <c r="F7" s="42">
        <v>2</v>
      </c>
      <c r="G7" s="44">
        <f t="shared" si="0"/>
        <v>38</v>
      </c>
      <c r="H7" s="45">
        <f t="shared" si="1"/>
        <v>31.666666666666668</v>
      </c>
      <c r="I7" s="47" t="s">
        <v>15</v>
      </c>
      <c r="J7" s="46" t="s">
        <v>251</v>
      </c>
    </row>
    <row r="8" spans="1:12" x14ac:dyDescent="0.25">
      <c r="A8" s="504"/>
      <c r="B8" s="40" t="s">
        <v>542</v>
      </c>
      <c r="C8" s="41" t="s">
        <v>677</v>
      </c>
      <c r="D8" s="42" t="s">
        <v>54</v>
      </c>
      <c r="E8" s="43">
        <v>1</v>
      </c>
      <c r="F8" s="42">
        <v>4</v>
      </c>
      <c r="G8" s="44">
        <f t="shared" si="0"/>
        <v>76</v>
      </c>
      <c r="H8" s="45">
        <f t="shared" si="1"/>
        <v>63.333333333333336</v>
      </c>
      <c r="I8" s="47" t="s">
        <v>1213</v>
      </c>
      <c r="J8" s="46" t="s">
        <v>231</v>
      </c>
    </row>
    <row r="9" spans="1:12" x14ac:dyDescent="0.25">
      <c r="A9" s="504"/>
      <c r="B9" s="40" t="s">
        <v>678</v>
      </c>
      <c r="C9" s="41" t="s">
        <v>679</v>
      </c>
      <c r="D9" s="42" t="s">
        <v>54</v>
      </c>
      <c r="E9" s="43">
        <v>1</v>
      </c>
      <c r="F9" s="42">
        <v>4</v>
      </c>
      <c r="G9" s="44">
        <f t="shared" si="0"/>
        <v>76</v>
      </c>
      <c r="H9" s="45">
        <f t="shared" si="1"/>
        <v>63.333333333333336</v>
      </c>
      <c r="I9" s="47" t="s">
        <v>1213</v>
      </c>
      <c r="J9" s="46" t="s">
        <v>231</v>
      </c>
    </row>
    <row r="10" spans="1:12" ht="15.75" thickBot="1" x14ac:dyDescent="0.3">
      <c r="A10" s="515"/>
      <c r="B10" s="330" t="s">
        <v>640</v>
      </c>
      <c r="C10" s="351" t="s">
        <v>680</v>
      </c>
      <c r="D10" s="332" t="s">
        <v>54</v>
      </c>
      <c r="E10" s="352">
        <v>1</v>
      </c>
      <c r="F10" s="332">
        <v>4</v>
      </c>
      <c r="G10" s="333">
        <f t="shared" si="0"/>
        <v>76</v>
      </c>
      <c r="H10" s="334">
        <f t="shared" si="1"/>
        <v>63.333333333333336</v>
      </c>
      <c r="I10" s="335" t="s">
        <v>1213</v>
      </c>
      <c r="J10" s="336" t="s">
        <v>232</v>
      </c>
    </row>
    <row r="11" spans="1:12" x14ac:dyDescent="0.25">
      <c r="A11" s="534" t="s">
        <v>321</v>
      </c>
      <c r="B11" s="294" t="s">
        <v>681</v>
      </c>
      <c r="C11" s="353" t="s">
        <v>682</v>
      </c>
      <c r="D11" s="296" t="s">
        <v>54</v>
      </c>
      <c r="E11" s="296">
        <v>1</v>
      </c>
      <c r="F11" s="297">
        <v>4</v>
      </c>
      <c r="G11" s="298">
        <f t="shared" si="0"/>
        <v>76</v>
      </c>
      <c r="H11" s="299">
        <f t="shared" si="1"/>
        <v>63.333333333333336</v>
      </c>
      <c r="I11" s="300" t="s">
        <v>1189</v>
      </c>
      <c r="J11" s="338" t="s">
        <v>231</v>
      </c>
      <c r="K11" s="339"/>
      <c r="L11" s="340">
        <f>H11*E11</f>
        <v>63.333333333333336</v>
      </c>
    </row>
    <row r="12" spans="1:12" x14ac:dyDescent="0.25">
      <c r="A12" s="535"/>
      <c r="B12" s="40" t="s">
        <v>683</v>
      </c>
      <c r="C12" s="48" t="s">
        <v>684</v>
      </c>
      <c r="D12" s="42" t="s">
        <v>54</v>
      </c>
      <c r="E12" s="42">
        <v>1</v>
      </c>
      <c r="F12" s="43">
        <v>4</v>
      </c>
      <c r="G12" s="44">
        <f t="shared" si="0"/>
        <v>76</v>
      </c>
      <c r="H12" s="45">
        <f t="shared" si="1"/>
        <v>63.333333333333336</v>
      </c>
      <c r="I12" s="47" t="s">
        <v>1213</v>
      </c>
      <c r="J12" s="46" t="s">
        <v>232</v>
      </c>
      <c r="L12" s="341">
        <f t="shared" ref="L12:L21" si="2">H12*E12</f>
        <v>63.333333333333336</v>
      </c>
    </row>
    <row r="13" spans="1:12" x14ac:dyDescent="0.25">
      <c r="A13" s="535"/>
      <c r="B13" s="40" t="s">
        <v>585</v>
      </c>
      <c r="C13" s="48" t="s">
        <v>685</v>
      </c>
      <c r="D13" s="42" t="s">
        <v>54</v>
      </c>
      <c r="E13" s="42">
        <v>1</v>
      </c>
      <c r="F13" s="43">
        <v>2</v>
      </c>
      <c r="G13" s="44">
        <f t="shared" si="0"/>
        <v>38</v>
      </c>
      <c r="H13" s="45">
        <f t="shared" si="1"/>
        <v>31.666666666666668</v>
      </c>
      <c r="I13" s="47" t="s">
        <v>1189</v>
      </c>
      <c r="J13" s="46" t="s">
        <v>231</v>
      </c>
      <c r="L13" s="341">
        <f t="shared" si="2"/>
        <v>31.666666666666668</v>
      </c>
    </row>
    <row r="14" spans="1:12" x14ac:dyDescent="0.25">
      <c r="A14" s="535"/>
      <c r="B14" s="40" t="s">
        <v>686</v>
      </c>
      <c r="C14" s="48" t="s">
        <v>687</v>
      </c>
      <c r="D14" s="42" t="s">
        <v>54</v>
      </c>
      <c r="E14" s="42">
        <v>1</v>
      </c>
      <c r="F14" s="43">
        <v>2</v>
      </c>
      <c r="G14" s="44">
        <f t="shared" si="0"/>
        <v>38</v>
      </c>
      <c r="H14" s="45">
        <f t="shared" si="1"/>
        <v>31.666666666666668</v>
      </c>
      <c r="I14" s="47" t="s">
        <v>1189</v>
      </c>
      <c r="J14" s="46" t="s">
        <v>231</v>
      </c>
      <c r="L14" s="341">
        <f t="shared" si="2"/>
        <v>31.666666666666668</v>
      </c>
    </row>
    <row r="15" spans="1:12" x14ac:dyDescent="0.25">
      <c r="A15" s="535"/>
      <c r="B15" s="40" t="s">
        <v>688</v>
      </c>
      <c r="C15" s="48" t="s">
        <v>689</v>
      </c>
      <c r="D15" s="42" t="s">
        <v>54</v>
      </c>
      <c r="E15" s="42">
        <v>1</v>
      </c>
      <c r="F15" s="43">
        <v>4</v>
      </c>
      <c r="G15" s="44">
        <f t="shared" si="0"/>
        <v>76</v>
      </c>
      <c r="H15" s="45">
        <f t="shared" si="1"/>
        <v>63.333333333333336</v>
      </c>
      <c r="I15" s="47" t="s">
        <v>1213</v>
      </c>
      <c r="J15" s="46" t="s">
        <v>232</v>
      </c>
      <c r="L15" s="341">
        <f t="shared" si="2"/>
        <v>63.333333333333336</v>
      </c>
    </row>
    <row r="16" spans="1:12" ht="15.75" thickBot="1" x14ac:dyDescent="0.3">
      <c r="A16" s="536"/>
      <c r="B16" s="302" t="s">
        <v>690</v>
      </c>
      <c r="C16" s="354" t="s">
        <v>691</v>
      </c>
      <c r="D16" s="304" t="s">
        <v>54</v>
      </c>
      <c r="E16" s="304">
        <v>1</v>
      </c>
      <c r="F16" s="305">
        <v>4</v>
      </c>
      <c r="G16" s="306">
        <f t="shared" si="0"/>
        <v>76</v>
      </c>
      <c r="H16" s="307">
        <f t="shared" si="1"/>
        <v>63.333333333333336</v>
      </c>
      <c r="I16" s="308" t="s">
        <v>1213</v>
      </c>
      <c r="J16" s="343" t="s">
        <v>231</v>
      </c>
      <c r="K16" s="344"/>
      <c r="L16" s="345">
        <f t="shared" si="2"/>
        <v>63.333333333333336</v>
      </c>
    </row>
    <row r="17" spans="1:12" x14ac:dyDescent="0.25">
      <c r="A17" s="534" t="s">
        <v>323</v>
      </c>
      <c r="B17" s="294" t="s">
        <v>692</v>
      </c>
      <c r="C17" s="353" t="s">
        <v>693</v>
      </c>
      <c r="D17" s="296" t="s">
        <v>54</v>
      </c>
      <c r="E17" s="296">
        <v>1</v>
      </c>
      <c r="F17" s="296">
        <v>4</v>
      </c>
      <c r="G17" s="298">
        <f t="shared" si="0"/>
        <v>76</v>
      </c>
      <c r="H17" s="299">
        <f t="shared" si="1"/>
        <v>63.333333333333336</v>
      </c>
      <c r="I17" s="300" t="s">
        <v>1189</v>
      </c>
      <c r="J17" s="338" t="s">
        <v>231</v>
      </c>
      <c r="K17" s="339"/>
      <c r="L17" s="340">
        <f t="shared" si="2"/>
        <v>63.333333333333336</v>
      </c>
    </row>
    <row r="18" spans="1:12" x14ac:dyDescent="0.25">
      <c r="A18" s="535"/>
      <c r="B18" s="40" t="s">
        <v>694</v>
      </c>
      <c r="C18" s="49" t="s">
        <v>695</v>
      </c>
      <c r="D18" s="42" t="s">
        <v>54</v>
      </c>
      <c r="E18" s="42">
        <v>1</v>
      </c>
      <c r="F18" s="50">
        <v>4</v>
      </c>
      <c r="G18" s="44">
        <f t="shared" si="0"/>
        <v>76</v>
      </c>
      <c r="H18" s="45">
        <f t="shared" si="1"/>
        <v>63.333333333333336</v>
      </c>
      <c r="I18" s="47" t="s">
        <v>1213</v>
      </c>
      <c r="J18" s="46" t="s">
        <v>231</v>
      </c>
      <c r="L18" s="341">
        <f t="shared" si="2"/>
        <v>63.333333333333336</v>
      </c>
    </row>
    <row r="19" spans="1:12" x14ac:dyDescent="0.25">
      <c r="A19" s="535"/>
      <c r="B19" s="40" t="s">
        <v>696</v>
      </c>
      <c r="C19" s="49" t="s">
        <v>697</v>
      </c>
      <c r="D19" s="42" t="s">
        <v>54</v>
      </c>
      <c r="E19" s="42">
        <v>1</v>
      </c>
      <c r="F19" s="50">
        <v>6</v>
      </c>
      <c r="G19" s="44">
        <f t="shared" si="0"/>
        <v>114</v>
      </c>
      <c r="H19" s="45">
        <f t="shared" si="1"/>
        <v>95</v>
      </c>
      <c r="I19" s="47" t="s">
        <v>1213</v>
      </c>
      <c r="J19" s="46" t="s">
        <v>231</v>
      </c>
      <c r="L19" s="341">
        <f t="shared" si="2"/>
        <v>95</v>
      </c>
    </row>
    <row r="20" spans="1:12" x14ac:dyDescent="0.25">
      <c r="A20" s="535"/>
      <c r="B20" s="40" t="s">
        <v>698</v>
      </c>
      <c r="C20" s="49" t="s">
        <v>699</v>
      </c>
      <c r="D20" s="42" t="s">
        <v>60</v>
      </c>
      <c r="E20" s="42">
        <v>1</v>
      </c>
      <c r="F20" s="50">
        <v>2</v>
      </c>
      <c r="G20" s="44">
        <f t="shared" si="0"/>
        <v>38</v>
      </c>
      <c r="H20" s="45">
        <f t="shared" si="1"/>
        <v>31.666666666666668</v>
      </c>
      <c r="I20" s="47" t="s">
        <v>315</v>
      </c>
      <c r="J20" s="46" t="s">
        <v>251</v>
      </c>
      <c r="L20" s="341">
        <f t="shared" si="2"/>
        <v>31.666666666666668</v>
      </c>
    </row>
    <row r="21" spans="1:12" ht="15.75" thickBot="1" x14ac:dyDescent="0.3">
      <c r="A21" s="536"/>
      <c r="B21" s="357" t="s">
        <v>295</v>
      </c>
      <c r="C21" s="342" t="s">
        <v>700</v>
      </c>
      <c r="D21" s="304" t="s">
        <v>54</v>
      </c>
      <c r="E21" s="304">
        <v>1</v>
      </c>
      <c r="F21" s="304">
        <v>8</v>
      </c>
      <c r="G21" s="306">
        <f t="shared" si="0"/>
        <v>152</v>
      </c>
      <c r="H21" s="307">
        <f t="shared" si="1"/>
        <v>126.66666666666667</v>
      </c>
      <c r="I21" s="308" t="s">
        <v>1213</v>
      </c>
      <c r="J21" s="343" t="s">
        <v>232</v>
      </c>
      <c r="K21" s="344"/>
      <c r="L21" s="345">
        <f t="shared" si="2"/>
        <v>126.66666666666667</v>
      </c>
    </row>
    <row r="22" spans="1:12" ht="16.5" thickBot="1" x14ac:dyDescent="0.3">
      <c r="A22" s="62" t="s">
        <v>302</v>
      </c>
      <c r="B22" s="76"/>
      <c r="C22" s="76"/>
      <c r="D22" s="76"/>
      <c r="E22" s="355"/>
      <c r="F22" s="350">
        <f>SUM(F5:F21)</f>
        <v>64</v>
      </c>
      <c r="G22" s="350">
        <f>SUM(G5:G21)</f>
        <v>1216</v>
      </c>
      <c r="H22" s="356"/>
      <c r="I22" s="36"/>
    </row>
    <row r="23" spans="1:12" ht="16.5" thickBot="1" x14ac:dyDescent="0.3">
      <c r="A23" s="61" t="s">
        <v>303</v>
      </c>
      <c r="B23" s="63"/>
      <c r="C23" s="63"/>
      <c r="D23" s="63"/>
      <c r="E23" s="64"/>
      <c r="F23" s="55">
        <f>(F22*$F$2*$C$27)/60</f>
        <v>1013.3333333333334</v>
      </c>
      <c r="G23" s="53" t="s">
        <v>304</v>
      </c>
      <c r="H23" s="55" t="e">
        <f>SUM(F23+#REF!+#REF!)</f>
        <v>#REF!</v>
      </c>
      <c r="I23" s="36"/>
    </row>
    <row r="24" spans="1:12" ht="16.5" thickBot="1" x14ac:dyDescent="0.3">
      <c r="A24" s="61" t="s">
        <v>305</v>
      </c>
      <c r="B24" s="63"/>
      <c r="C24" s="63"/>
      <c r="D24" s="63"/>
      <c r="E24" s="63"/>
      <c r="F24" s="63"/>
      <c r="G24" s="64"/>
      <c r="H24" s="56" t="e">
        <f>H23</f>
        <v>#REF!</v>
      </c>
      <c r="I24" s="57"/>
    </row>
    <row r="25" spans="1:12" ht="16.5" thickBot="1" x14ac:dyDescent="0.3">
      <c r="A25" s="533" t="s">
        <v>306</v>
      </c>
      <c r="B25" s="533"/>
      <c r="C25" s="533"/>
      <c r="D25" s="533"/>
      <c r="E25" s="533"/>
      <c r="F25" s="533"/>
      <c r="G25" s="533"/>
      <c r="H25" s="58">
        <v>360</v>
      </c>
      <c r="I25" s="36"/>
    </row>
    <row r="26" spans="1:12" ht="16.5" thickBot="1" x14ac:dyDescent="0.3">
      <c r="A26" s="62" t="s">
        <v>308</v>
      </c>
      <c r="B26" s="76"/>
      <c r="C26" s="77"/>
      <c r="D26" s="77"/>
      <c r="E26" s="77"/>
      <c r="F26" s="77"/>
      <c r="G26" s="77"/>
      <c r="H26" s="55" t="e">
        <f>H24+H25</f>
        <v>#REF!</v>
      </c>
      <c r="I26" s="36"/>
    </row>
    <row r="27" spans="1:12" ht="15.75" x14ac:dyDescent="0.25">
      <c r="A27" s="532" t="s">
        <v>309</v>
      </c>
      <c r="B27" s="532"/>
      <c r="C27" s="78">
        <v>50</v>
      </c>
      <c r="D27" s="79" t="s">
        <v>310</v>
      </c>
      <c r="E27" s="79"/>
      <c r="F27" s="79"/>
      <c r="G27" s="79"/>
      <c r="H27" s="80"/>
      <c r="I27" s="36"/>
    </row>
    <row r="30" spans="1:12" x14ac:dyDescent="0.25">
      <c r="F30" s="219">
        <f>SUMPRODUCT(H5:H21,E5:E21)/F23</f>
        <v>1</v>
      </c>
    </row>
  </sheetData>
  <mergeCells count="10">
    <mergeCell ref="A25:G25"/>
    <mergeCell ref="A27:B27"/>
    <mergeCell ref="A2:E2"/>
    <mergeCell ref="B3:B4"/>
    <mergeCell ref="C3:C4"/>
    <mergeCell ref="I3:I4"/>
    <mergeCell ref="J3:J4"/>
    <mergeCell ref="A5:A10"/>
    <mergeCell ref="A11:A16"/>
    <mergeCell ref="A17:A21"/>
  </mergeCells>
  <dataValidations count="2">
    <dataValidation type="list" allowBlank="1" showInputMessage="1" showErrorMessage="1" sqref="J1:J1048576" xr:uid="{00000000-0002-0000-1300-000000000000}">
      <formula1>Ambientes</formula1>
    </dataValidation>
    <dataValidation type="list" allowBlank="1" showInputMessage="1" showErrorMessage="1" sqref="I1:I1048576" xr:uid="{00000000-0002-0000-13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6">
    <tabColor theme="9" tint="-0.249977111117893"/>
  </sheetPr>
  <dimension ref="A1:L30"/>
  <sheetViews>
    <sheetView workbookViewId="0">
      <selection activeCell="I30" sqref="I30"/>
    </sheetView>
  </sheetViews>
  <sheetFormatPr defaultRowHeight="15" x14ac:dyDescent="0.25"/>
  <cols>
    <col min="2" max="2" width="41.42578125" bestFit="1" customWidth="1"/>
    <col min="9" max="9" width="15.42578125" bestFit="1" customWidth="1"/>
    <col min="10" max="10" width="24.85546875" bestFit="1" customWidth="1"/>
  </cols>
  <sheetData>
    <row r="1" spans="1:12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2" ht="15.75" x14ac:dyDescent="0.25">
      <c r="A2" s="513" t="s">
        <v>671</v>
      </c>
      <c r="B2" s="513"/>
      <c r="C2" s="513"/>
      <c r="D2" s="513"/>
      <c r="E2" s="513"/>
      <c r="F2" s="38">
        <v>19</v>
      </c>
      <c r="G2" s="38"/>
      <c r="H2" s="38"/>
      <c r="I2" s="36"/>
    </row>
    <row r="3" spans="1:12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2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2" x14ac:dyDescent="0.25">
      <c r="A5" s="504" t="s">
        <v>318</v>
      </c>
      <c r="B5" s="40" t="s">
        <v>672</v>
      </c>
      <c r="C5" s="41" t="s">
        <v>673</v>
      </c>
      <c r="D5" s="42" t="s">
        <v>54</v>
      </c>
      <c r="E5" s="43">
        <v>2</v>
      </c>
      <c r="F5" s="42">
        <v>2</v>
      </c>
      <c r="G5" s="44">
        <f t="shared" ref="G5:G21" si="0">SUM(F5:F5)*$F$2</f>
        <v>38</v>
      </c>
      <c r="H5" s="45">
        <f t="shared" ref="H5:H21" si="1">(G5)*$C$27/60</f>
        <v>31.666666666666668</v>
      </c>
      <c r="I5" s="47" t="s">
        <v>20</v>
      </c>
      <c r="J5" s="46" t="s">
        <v>232</v>
      </c>
    </row>
    <row r="6" spans="1:12" x14ac:dyDescent="0.25">
      <c r="A6" s="504"/>
      <c r="B6" s="40" t="s">
        <v>674</v>
      </c>
      <c r="C6" s="41" t="s">
        <v>675</v>
      </c>
      <c r="D6" s="42" t="s">
        <v>54</v>
      </c>
      <c r="E6" s="43">
        <v>2</v>
      </c>
      <c r="F6" s="42">
        <v>4</v>
      </c>
      <c r="G6" s="44">
        <f t="shared" si="0"/>
        <v>76</v>
      </c>
      <c r="H6" s="45">
        <f t="shared" si="1"/>
        <v>63.333333333333336</v>
      </c>
      <c r="I6" s="47" t="s">
        <v>1213</v>
      </c>
      <c r="J6" s="46" t="s">
        <v>232</v>
      </c>
    </row>
    <row r="7" spans="1:12" x14ac:dyDescent="0.25">
      <c r="A7" s="504"/>
      <c r="B7" s="40" t="s">
        <v>320</v>
      </c>
      <c r="C7" s="41" t="s">
        <v>676</v>
      </c>
      <c r="D7" s="42" t="s">
        <v>60</v>
      </c>
      <c r="E7" s="43">
        <v>1</v>
      </c>
      <c r="F7" s="42">
        <v>2</v>
      </c>
      <c r="G7" s="44">
        <f t="shared" si="0"/>
        <v>38</v>
      </c>
      <c r="H7" s="45">
        <f t="shared" si="1"/>
        <v>31.666666666666668</v>
      </c>
      <c r="I7" s="47" t="s">
        <v>15</v>
      </c>
      <c r="J7" s="46" t="s">
        <v>251</v>
      </c>
    </row>
    <row r="8" spans="1:12" x14ac:dyDescent="0.25">
      <c r="A8" s="504"/>
      <c r="B8" s="40" t="s">
        <v>542</v>
      </c>
      <c r="C8" s="41" t="s">
        <v>677</v>
      </c>
      <c r="D8" s="42" t="s">
        <v>54</v>
      </c>
      <c r="E8" s="43">
        <v>2</v>
      </c>
      <c r="F8" s="42">
        <v>4</v>
      </c>
      <c r="G8" s="44">
        <f t="shared" si="0"/>
        <v>76</v>
      </c>
      <c r="H8" s="45">
        <f t="shared" si="1"/>
        <v>63.333333333333336</v>
      </c>
      <c r="I8" s="47" t="s">
        <v>1213</v>
      </c>
      <c r="J8" s="46" t="s">
        <v>231</v>
      </c>
    </row>
    <row r="9" spans="1:12" x14ac:dyDescent="0.25">
      <c r="A9" s="504"/>
      <c r="B9" s="40" t="s">
        <v>678</v>
      </c>
      <c r="C9" s="41" t="s">
        <v>679</v>
      </c>
      <c r="D9" s="42" t="s">
        <v>54</v>
      </c>
      <c r="E9" s="43">
        <v>2</v>
      </c>
      <c r="F9" s="42">
        <v>4</v>
      </c>
      <c r="G9" s="44">
        <f t="shared" si="0"/>
        <v>76</v>
      </c>
      <c r="H9" s="45">
        <f t="shared" si="1"/>
        <v>63.333333333333336</v>
      </c>
      <c r="I9" s="47" t="s">
        <v>1213</v>
      </c>
      <c r="J9" s="46" t="s">
        <v>231</v>
      </c>
    </row>
    <row r="10" spans="1:12" ht="15.75" thickBot="1" x14ac:dyDescent="0.3">
      <c r="A10" s="515"/>
      <c r="B10" s="330" t="s">
        <v>640</v>
      </c>
      <c r="C10" s="351" t="s">
        <v>680</v>
      </c>
      <c r="D10" s="332" t="s">
        <v>54</v>
      </c>
      <c r="E10" s="352">
        <v>2</v>
      </c>
      <c r="F10" s="332">
        <v>4</v>
      </c>
      <c r="G10" s="333">
        <f t="shared" si="0"/>
        <v>76</v>
      </c>
      <c r="H10" s="334">
        <f t="shared" si="1"/>
        <v>63.333333333333336</v>
      </c>
      <c r="I10" s="335" t="s">
        <v>1213</v>
      </c>
      <c r="J10" s="336" t="s">
        <v>232</v>
      </c>
    </row>
    <row r="11" spans="1:12" x14ac:dyDescent="0.25">
      <c r="A11" s="534" t="s">
        <v>321</v>
      </c>
      <c r="B11" s="294" t="s">
        <v>681</v>
      </c>
      <c r="C11" s="353" t="s">
        <v>682</v>
      </c>
      <c r="D11" s="296" t="s">
        <v>54</v>
      </c>
      <c r="E11" s="296">
        <v>2</v>
      </c>
      <c r="F11" s="297">
        <v>4</v>
      </c>
      <c r="G11" s="298">
        <f t="shared" si="0"/>
        <v>76</v>
      </c>
      <c r="H11" s="299">
        <f t="shared" si="1"/>
        <v>63.333333333333336</v>
      </c>
      <c r="I11" s="300" t="s">
        <v>1189</v>
      </c>
      <c r="J11" s="338" t="s">
        <v>231</v>
      </c>
      <c r="K11" s="339"/>
      <c r="L11" s="340">
        <f>H11*E11</f>
        <v>126.66666666666667</v>
      </c>
    </row>
    <row r="12" spans="1:12" x14ac:dyDescent="0.25">
      <c r="A12" s="535"/>
      <c r="B12" s="40" t="s">
        <v>683</v>
      </c>
      <c r="C12" s="48" t="s">
        <v>684</v>
      </c>
      <c r="D12" s="42" t="s">
        <v>54</v>
      </c>
      <c r="E12" s="42">
        <v>2</v>
      </c>
      <c r="F12" s="43">
        <v>4</v>
      </c>
      <c r="G12" s="44">
        <f t="shared" si="0"/>
        <v>76</v>
      </c>
      <c r="H12" s="45">
        <f t="shared" si="1"/>
        <v>63.333333333333336</v>
      </c>
      <c r="I12" s="47" t="s">
        <v>1213</v>
      </c>
      <c r="J12" s="46" t="s">
        <v>232</v>
      </c>
      <c r="L12" s="341">
        <f t="shared" ref="L12:L21" si="2">H12*E12</f>
        <v>126.66666666666667</v>
      </c>
    </row>
    <row r="13" spans="1:12" x14ac:dyDescent="0.25">
      <c r="A13" s="535"/>
      <c r="B13" s="40" t="s">
        <v>585</v>
      </c>
      <c r="C13" s="48" t="s">
        <v>685</v>
      </c>
      <c r="D13" s="42" t="s">
        <v>54</v>
      </c>
      <c r="E13" s="42">
        <v>2</v>
      </c>
      <c r="F13" s="43">
        <v>2</v>
      </c>
      <c r="G13" s="44">
        <f t="shared" si="0"/>
        <v>38</v>
      </c>
      <c r="H13" s="45">
        <f t="shared" si="1"/>
        <v>31.666666666666668</v>
      </c>
      <c r="I13" s="47" t="s">
        <v>1189</v>
      </c>
      <c r="J13" s="46" t="s">
        <v>231</v>
      </c>
      <c r="L13" s="341">
        <f t="shared" si="2"/>
        <v>63.333333333333336</v>
      </c>
    </row>
    <row r="14" spans="1:12" x14ac:dyDescent="0.25">
      <c r="A14" s="535"/>
      <c r="B14" s="40" t="s">
        <v>686</v>
      </c>
      <c r="C14" s="48" t="s">
        <v>687</v>
      </c>
      <c r="D14" s="42" t="s">
        <v>54</v>
      </c>
      <c r="E14" s="42">
        <v>2</v>
      </c>
      <c r="F14" s="43">
        <v>2</v>
      </c>
      <c r="G14" s="44">
        <f t="shared" si="0"/>
        <v>38</v>
      </c>
      <c r="H14" s="45">
        <f t="shared" si="1"/>
        <v>31.666666666666668</v>
      </c>
      <c r="I14" s="47" t="s">
        <v>1189</v>
      </c>
      <c r="J14" s="46" t="s">
        <v>231</v>
      </c>
      <c r="L14" s="341">
        <f t="shared" si="2"/>
        <v>63.333333333333336</v>
      </c>
    </row>
    <row r="15" spans="1:12" x14ac:dyDescent="0.25">
      <c r="A15" s="535"/>
      <c r="B15" s="40" t="s">
        <v>688</v>
      </c>
      <c r="C15" s="48" t="s">
        <v>689</v>
      </c>
      <c r="D15" s="42" t="s">
        <v>54</v>
      </c>
      <c r="E15" s="42">
        <v>2</v>
      </c>
      <c r="F15" s="43">
        <v>4</v>
      </c>
      <c r="G15" s="44">
        <f t="shared" si="0"/>
        <v>76</v>
      </c>
      <c r="H15" s="45">
        <f t="shared" si="1"/>
        <v>63.333333333333336</v>
      </c>
      <c r="I15" s="47" t="s">
        <v>1213</v>
      </c>
      <c r="J15" s="46" t="s">
        <v>232</v>
      </c>
      <c r="L15" s="341">
        <f t="shared" si="2"/>
        <v>126.66666666666667</v>
      </c>
    </row>
    <row r="16" spans="1:12" ht="15.75" thickBot="1" x14ac:dyDescent="0.3">
      <c r="A16" s="536"/>
      <c r="B16" s="302" t="s">
        <v>690</v>
      </c>
      <c r="C16" s="354" t="s">
        <v>691</v>
      </c>
      <c r="D16" s="304" t="s">
        <v>54</v>
      </c>
      <c r="E16" s="304">
        <v>2</v>
      </c>
      <c r="F16" s="305">
        <v>4</v>
      </c>
      <c r="G16" s="306">
        <f t="shared" si="0"/>
        <v>76</v>
      </c>
      <c r="H16" s="307">
        <f t="shared" si="1"/>
        <v>63.333333333333336</v>
      </c>
      <c r="I16" s="308" t="s">
        <v>1213</v>
      </c>
      <c r="J16" s="343" t="s">
        <v>231</v>
      </c>
      <c r="K16" s="344"/>
      <c r="L16" s="345">
        <f t="shared" si="2"/>
        <v>126.66666666666667</v>
      </c>
    </row>
    <row r="17" spans="1:12" x14ac:dyDescent="0.25">
      <c r="A17" s="534" t="s">
        <v>323</v>
      </c>
      <c r="B17" s="294" t="s">
        <v>692</v>
      </c>
      <c r="C17" s="353" t="s">
        <v>693</v>
      </c>
      <c r="D17" s="296" t="s">
        <v>54</v>
      </c>
      <c r="E17" s="296">
        <v>2</v>
      </c>
      <c r="F17" s="296">
        <v>4</v>
      </c>
      <c r="G17" s="298">
        <f t="shared" si="0"/>
        <v>76</v>
      </c>
      <c r="H17" s="299">
        <f t="shared" si="1"/>
        <v>63.333333333333336</v>
      </c>
      <c r="I17" s="300" t="s">
        <v>1189</v>
      </c>
      <c r="J17" s="338" t="s">
        <v>231</v>
      </c>
      <c r="K17" s="339"/>
      <c r="L17" s="340">
        <f t="shared" si="2"/>
        <v>126.66666666666667</v>
      </c>
    </row>
    <row r="18" spans="1:12" x14ac:dyDescent="0.25">
      <c r="A18" s="535"/>
      <c r="B18" s="40" t="s">
        <v>694</v>
      </c>
      <c r="C18" s="49" t="s">
        <v>695</v>
      </c>
      <c r="D18" s="42" t="s">
        <v>54</v>
      </c>
      <c r="E18" s="42">
        <v>2</v>
      </c>
      <c r="F18" s="50">
        <v>4</v>
      </c>
      <c r="G18" s="44">
        <f t="shared" si="0"/>
        <v>76</v>
      </c>
      <c r="H18" s="45">
        <f t="shared" si="1"/>
        <v>63.333333333333336</v>
      </c>
      <c r="I18" s="47" t="s">
        <v>1213</v>
      </c>
      <c r="J18" s="46" t="s">
        <v>231</v>
      </c>
      <c r="L18" s="341">
        <f t="shared" si="2"/>
        <v>126.66666666666667</v>
      </c>
    </row>
    <row r="19" spans="1:12" x14ac:dyDescent="0.25">
      <c r="A19" s="535"/>
      <c r="B19" s="40" t="s">
        <v>696</v>
      </c>
      <c r="C19" s="49" t="s">
        <v>697</v>
      </c>
      <c r="D19" s="42" t="s">
        <v>54</v>
      </c>
      <c r="E19" s="42">
        <v>2</v>
      </c>
      <c r="F19" s="50">
        <v>6</v>
      </c>
      <c r="G19" s="44">
        <f t="shared" si="0"/>
        <v>114</v>
      </c>
      <c r="H19" s="45">
        <f t="shared" si="1"/>
        <v>95</v>
      </c>
      <c r="I19" s="47" t="s">
        <v>1213</v>
      </c>
      <c r="J19" s="46" t="s">
        <v>231</v>
      </c>
      <c r="L19" s="341">
        <f t="shared" si="2"/>
        <v>190</v>
      </c>
    </row>
    <row r="20" spans="1:12" x14ac:dyDescent="0.25">
      <c r="A20" s="535"/>
      <c r="B20" s="40" t="s">
        <v>698</v>
      </c>
      <c r="C20" s="49" t="s">
        <v>699</v>
      </c>
      <c r="D20" s="42" t="s">
        <v>60</v>
      </c>
      <c r="E20" s="42">
        <v>1</v>
      </c>
      <c r="F20" s="50">
        <v>2</v>
      </c>
      <c r="G20" s="44">
        <f t="shared" si="0"/>
        <v>38</v>
      </c>
      <c r="H20" s="45">
        <f t="shared" si="1"/>
        <v>31.666666666666668</v>
      </c>
      <c r="I20" s="47" t="s">
        <v>315</v>
      </c>
      <c r="J20" s="46" t="s">
        <v>251</v>
      </c>
      <c r="L20" s="341">
        <f t="shared" si="2"/>
        <v>31.666666666666668</v>
      </c>
    </row>
    <row r="21" spans="1:12" ht="15.75" thickBot="1" x14ac:dyDescent="0.3">
      <c r="A21" s="536"/>
      <c r="B21" s="357" t="s">
        <v>295</v>
      </c>
      <c r="C21" s="342" t="s">
        <v>700</v>
      </c>
      <c r="D21" s="304" t="s">
        <v>54</v>
      </c>
      <c r="E21" s="304">
        <v>2</v>
      </c>
      <c r="F21" s="304">
        <v>8</v>
      </c>
      <c r="G21" s="306">
        <f t="shared" si="0"/>
        <v>152</v>
      </c>
      <c r="H21" s="307">
        <f t="shared" si="1"/>
        <v>126.66666666666667</v>
      </c>
      <c r="I21" s="308" t="s">
        <v>1213</v>
      </c>
      <c r="J21" s="343" t="s">
        <v>232</v>
      </c>
      <c r="K21" s="344"/>
      <c r="L21" s="345">
        <f t="shared" si="2"/>
        <v>253.33333333333334</v>
      </c>
    </row>
    <row r="22" spans="1:12" ht="16.5" thickBot="1" x14ac:dyDescent="0.3">
      <c r="A22" s="62" t="s">
        <v>302</v>
      </c>
      <c r="B22" s="76"/>
      <c r="C22" s="76"/>
      <c r="D22" s="76"/>
      <c r="E22" s="355"/>
      <c r="F22" s="350">
        <f>SUM(F5:F21)</f>
        <v>64</v>
      </c>
      <c r="G22" s="350">
        <f>SUM(G5:G21)</f>
        <v>1216</v>
      </c>
      <c r="H22" s="356"/>
      <c r="I22" s="36"/>
    </row>
    <row r="23" spans="1:12" ht="16.5" thickBot="1" x14ac:dyDescent="0.3">
      <c r="A23" s="61" t="s">
        <v>303</v>
      </c>
      <c r="B23" s="63"/>
      <c r="C23" s="63"/>
      <c r="D23" s="63"/>
      <c r="E23" s="64"/>
      <c r="F23" s="55">
        <f>(F22*$F$2*$C$27)/60</f>
        <v>1013.3333333333334</v>
      </c>
      <c r="G23" s="53" t="s">
        <v>304</v>
      </c>
      <c r="H23" s="55" t="e">
        <f>SUM(F23+#REF!+#REF!)</f>
        <v>#REF!</v>
      </c>
      <c r="I23" s="36"/>
    </row>
    <row r="24" spans="1:12" ht="16.5" thickBot="1" x14ac:dyDescent="0.3">
      <c r="A24" s="61" t="s">
        <v>305</v>
      </c>
      <c r="B24" s="63"/>
      <c r="C24" s="63"/>
      <c r="D24" s="63"/>
      <c r="E24" s="63"/>
      <c r="F24" s="63"/>
      <c r="G24" s="64"/>
      <c r="H24" s="56" t="e">
        <f>H23</f>
        <v>#REF!</v>
      </c>
      <c r="I24" s="57"/>
    </row>
    <row r="25" spans="1:12" ht="16.5" thickBot="1" x14ac:dyDescent="0.3">
      <c r="A25" s="533" t="s">
        <v>306</v>
      </c>
      <c r="B25" s="533"/>
      <c r="C25" s="533"/>
      <c r="D25" s="533"/>
      <c r="E25" s="533"/>
      <c r="F25" s="533"/>
      <c r="G25" s="533"/>
      <c r="H25" s="58">
        <v>360</v>
      </c>
      <c r="I25" s="36"/>
    </row>
    <row r="26" spans="1:12" ht="16.5" thickBot="1" x14ac:dyDescent="0.3">
      <c r="A26" s="62" t="s">
        <v>308</v>
      </c>
      <c r="B26" s="76"/>
      <c r="C26" s="77"/>
      <c r="D26" s="77"/>
      <c r="E26" s="77"/>
      <c r="F26" s="77"/>
      <c r="G26" s="77"/>
      <c r="H26" s="55" t="e">
        <f>H24+H25</f>
        <v>#REF!</v>
      </c>
      <c r="I26" s="36"/>
    </row>
    <row r="27" spans="1:12" ht="15.75" x14ac:dyDescent="0.25">
      <c r="A27" s="532" t="s">
        <v>309</v>
      </c>
      <c r="B27" s="532"/>
      <c r="C27" s="78">
        <v>50</v>
      </c>
      <c r="D27" s="79" t="s">
        <v>310</v>
      </c>
      <c r="E27" s="79"/>
      <c r="F27" s="79"/>
      <c r="G27" s="79"/>
      <c r="H27" s="80"/>
      <c r="I27" s="36"/>
    </row>
    <row r="30" spans="1:12" x14ac:dyDescent="0.25">
      <c r="F30" s="219">
        <f>SUMPRODUCT(H5:H21,E5:E21)/F23</f>
        <v>1.9375</v>
      </c>
    </row>
  </sheetData>
  <mergeCells count="10">
    <mergeCell ref="A2:E2"/>
    <mergeCell ref="B3:B4"/>
    <mergeCell ref="C3:C4"/>
    <mergeCell ref="A27:B27"/>
    <mergeCell ref="J3:J4"/>
    <mergeCell ref="I3:I4"/>
    <mergeCell ref="A5:A10"/>
    <mergeCell ref="A11:A16"/>
    <mergeCell ref="A17:A21"/>
    <mergeCell ref="A25:G25"/>
  </mergeCells>
  <dataValidations count="2">
    <dataValidation type="list" allowBlank="1" showInputMessage="1" showErrorMessage="1" sqref="I1:I1048576" xr:uid="{00000000-0002-0000-1400-000000000000}">
      <formula1>Áreas</formula1>
    </dataValidation>
    <dataValidation type="list" allowBlank="1" showInputMessage="1" showErrorMessage="1" sqref="J1:J1048576" xr:uid="{00000000-0002-0000-14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48">
    <tabColor theme="9" tint="-0.249977111117893"/>
  </sheetPr>
  <dimension ref="A1:J35"/>
  <sheetViews>
    <sheetView workbookViewId="0">
      <selection activeCell="I30" sqref="I30"/>
    </sheetView>
  </sheetViews>
  <sheetFormatPr defaultColWidth="9.140625" defaultRowHeight="15" x14ac:dyDescent="0.25"/>
  <cols>
    <col min="2" max="2" width="47.5703125" customWidth="1"/>
    <col min="9" max="9" width="15.42578125" bestFit="1" customWidth="1"/>
    <col min="10" max="10" width="26.5703125" bestFit="1" customWidth="1"/>
  </cols>
  <sheetData>
    <row r="1" spans="1:10" ht="15.75" thickBot="1" x14ac:dyDescent="0.3">
      <c r="A1" t="s">
        <v>711</v>
      </c>
    </row>
    <row r="2" spans="1:10" ht="33.75" thickBot="1" x14ac:dyDescent="0.3">
      <c r="F2" s="119" t="s">
        <v>48</v>
      </c>
    </row>
    <row r="3" spans="1:10" ht="29.2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0" ht="15" customHeight="1" x14ac:dyDescent="0.25">
      <c r="A4" s="537" t="s">
        <v>51</v>
      </c>
      <c r="B4" s="8" t="s">
        <v>58</v>
      </c>
      <c r="C4" s="9"/>
      <c r="D4" s="10" t="s">
        <v>60</v>
      </c>
      <c r="E4" s="9">
        <v>1</v>
      </c>
      <c r="F4" s="122">
        <v>4</v>
      </c>
      <c r="G4" s="12">
        <v>76</v>
      </c>
      <c r="H4" s="123">
        <v>63</v>
      </c>
      <c r="I4" s="124" t="s">
        <v>20</v>
      </c>
      <c r="J4" s="125" t="s">
        <v>230</v>
      </c>
    </row>
    <row r="5" spans="1:10" x14ac:dyDescent="0.25">
      <c r="A5" s="538"/>
      <c r="B5" s="14" t="s">
        <v>63</v>
      </c>
      <c r="C5" s="15"/>
      <c r="D5" s="16" t="s">
        <v>57</v>
      </c>
      <c r="E5" s="15">
        <v>1</v>
      </c>
      <c r="F5" s="126">
        <v>2</v>
      </c>
      <c r="G5" s="18">
        <v>38</v>
      </c>
      <c r="H5" s="127">
        <v>32</v>
      </c>
      <c r="I5" s="128" t="s">
        <v>20</v>
      </c>
      <c r="J5" s="129" t="s">
        <v>232</v>
      </c>
    </row>
    <row r="6" spans="1:10" x14ac:dyDescent="0.25">
      <c r="A6" s="538"/>
      <c r="B6" s="14" t="s">
        <v>71</v>
      </c>
      <c r="C6" s="15"/>
      <c r="D6" s="16" t="s">
        <v>60</v>
      </c>
      <c r="E6" s="15">
        <v>1</v>
      </c>
      <c r="F6" s="126">
        <v>4</v>
      </c>
      <c r="G6" s="18">
        <v>76</v>
      </c>
      <c r="H6" s="127">
        <v>63</v>
      </c>
      <c r="I6" s="128" t="s">
        <v>20</v>
      </c>
      <c r="J6" s="129" t="s">
        <v>230</v>
      </c>
    </row>
    <row r="7" spans="1:10" x14ac:dyDescent="0.25">
      <c r="A7" s="538"/>
      <c r="B7" s="14" t="s">
        <v>712</v>
      </c>
      <c r="C7" s="15"/>
      <c r="D7" s="16" t="s">
        <v>57</v>
      </c>
      <c r="E7" s="15">
        <v>1</v>
      </c>
      <c r="F7" s="126">
        <v>2</v>
      </c>
      <c r="G7" s="18">
        <v>38</v>
      </c>
      <c r="H7" s="127">
        <v>32</v>
      </c>
      <c r="I7" s="128" t="s">
        <v>20</v>
      </c>
      <c r="J7" s="129" t="s">
        <v>232</v>
      </c>
    </row>
    <row r="8" spans="1:10" x14ac:dyDescent="0.25">
      <c r="A8" s="538"/>
      <c r="B8" s="14" t="s">
        <v>492</v>
      </c>
      <c r="C8" s="15"/>
      <c r="D8" s="16" t="s">
        <v>60</v>
      </c>
      <c r="E8" s="15">
        <v>1</v>
      </c>
      <c r="F8" s="126">
        <v>4</v>
      </c>
      <c r="G8" s="18">
        <v>76</v>
      </c>
      <c r="H8" s="127">
        <v>63</v>
      </c>
      <c r="I8" s="128" t="s">
        <v>21</v>
      </c>
      <c r="J8" s="129" t="s">
        <v>230</v>
      </c>
    </row>
    <row r="9" spans="1:10" x14ac:dyDescent="0.25">
      <c r="A9" s="577"/>
      <c r="B9" s="130" t="s">
        <v>396</v>
      </c>
      <c r="C9" s="131"/>
      <c r="D9" s="132" t="s">
        <v>60</v>
      </c>
      <c r="E9" s="131">
        <v>1</v>
      </c>
      <c r="F9" s="133">
        <v>2</v>
      </c>
      <c r="G9" s="18">
        <v>38</v>
      </c>
      <c r="H9" s="127">
        <v>32</v>
      </c>
      <c r="I9" s="134" t="s">
        <v>15</v>
      </c>
      <c r="J9" s="135" t="s">
        <v>230</v>
      </c>
    </row>
    <row r="10" spans="1:10" ht="15.75" thickBot="1" x14ac:dyDescent="0.3">
      <c r="A10" s="541"/>
      <c r="B10" s="20" t="s">
        <v>343</v>
      </c>
      <c r="C10" s="21"/>
      <c r="D10" s="22" t="s">
        <v>60</v>
      </c>
      <c r="E10" s="21">
        <v>1</v>
      </c>
      <c r="F10" s="136">
        <v>2</v>
      </c>
      <c r="G10" s="24">
        <v>38</v>
      </c>
      <c r="H10" s="137">
        <v>32</v>
      </c>
      <c r="I10" s="138" t="s">
        <v>14</v>
      </c>
      <c r="J10" s="139" t="s">
        <v>230</v>
      </c>
    </row>
    <row r="11" spans="1:10" ht="15" customHeight="1" x14ac:dyDescent="0.25">
      <c r="A11" s="537" t="s">
        <v>67</v>
      </c>
      <c r="B11" s="8" t="s">
        <v>87</v>
      </c>
      <c r="C11" s="9"/>
      <c r="D11" s="10" t="s">
        <v>60</v>
      </c>
      <c r="E11" s="9">
        <v>1</v>
      </c>
      <c r="F11" s="122">
        <v>4</v>
      </c>
      <c r="G11" s="12">
        <v>76</v>
      </c>
      <c r="H11" s="123">
        <v>63</v>
      </c>
      <c r="I11" s="124" t="s">
        <v>20</v>
      </c>
      <c r="J11" s="125" t="s">
        <v>230</v>
      </c>
    </row>
    <row r="12" spans="1:10" x14ac:dyDescent="0.25">
      <c r="A12" s="540"/>
      <c r="B12" s="140" t="s">
        <v>89</v>
      </c>
      <c r="C12" s="141"/>
      <c r="D12" s="142" t="s">
        <v>57</v>
      </c>
      <c r="E12" s="141">
        <v>1</v>
      </c>
      <c r="F12" s="143">
        <v>2</v>
      </c>
      <c r="G12" s="18">
        <v>38</v>
      </c>
      <c r="H12" s="127">
        <v>32</v>
      </c>
      <c r="I12" s="144" t="s">
        <v>20</v>
      </c>
      <c r="J12" s="145" t="s">
        <v>232</v>
      </c>
    </row>
    <row r="13" spans="1:10" x14ac:dyDescent="0.25">
      <c r="A13" s="540"/>
      <c r="B13" s="140" t="s">
        <v>461</v>
      </c>
      <c r="C13" s="141"/>
      <c r="D13" s="142" t="s">
        <v>57</v>
      </c>
      <c r="E13" s="141">
        <v>1</v>
      </c>
      <c r="F13" s="143">
        <v>2</v>
      </c>
      <c r="G13" s="18">
        <v>38</v>
      </c>
      <c r="H13" s="127">
        <v>32</v>
      </c>
      <c r="I13" s="144" t="s">
        <v>20</v>
      </c>
      <c r="J13" s="145" t="s">
        <v>231</v>
      </c>
    </row>
    <row r="14" spans="1:10" x14ac:dyDescent="0.25">
      <c r="A14" s="540"/>
      <c r="B14" s="140" t="s">
        <v>713</v>
      </c>
      <c r="C14" s="141"/>
      <c r="D14" s="142" t="s">
        <v>60</v>
      </c>
      <c r="E14" s="141">
        <v>1</v>
      </c>
      <c r="F14" s="143">
        <v>2</v>
      </c>
      <c r="G14" s="18">
        <v>38</v>
      </c>
      <c r="H14" s="127">
        <v>32</v>
      </c>
      <c r="I14" s="144" t="s">
        <v>20</v>
      </c>
      <c r="J14" s="145" t="s">
        <v>230</v>
      </c>
    </row>
    <row r="15" spans="1:10" x14ac:dyDescent="0.25">
      <c r="A15" s="538"/>
      <c r="B15" s="14" t="s">
        <v>714</v>
      </c>
      <c r="C15" s="15"/>
      <c r="D15" s="16" t="s">
        <v>60</v>
      </c>
      <c r="E15" s="15">
        <v>1</v>
      </c>
      <c r="F15" s="126">
        <v>2</v>
      </c>
      <c r="G15" s="18">
        <v>38</v>
      </c>
      <c r="H15" s="127">
        <v>32</v>
      </c>
      <c r="I15" s="128" t="s">
        <v>15</v>
      </c>
      <c r="J15" s="129" t="s">
        <v>230</v>
      </c>
    </row>
    <row r="16" spans="1:10" x14ac:dyDescent="0.25">
      <c r="A16" s="538"/>
      <c r="B16" s="14" t="s">
        <v>715</v>
      </c>
      <c r="C16" s="15"/>
      <c r="D16" s="16" t="s">
        <v>60</v>
      </c>
      <c r="E16" s="15">
        <v>1</v>
      </c>
      <c r="F16" s="126">
        <v>2</v>
      </c>
      <c r="G16" s="18">
        <v>38</v>
      </c>
      <c r="H16" s="127">
        <v>32</v>
      </c>
      <c r="I16" s="128" t="s">
        <v>14</v>
      </c>
      <c r="J16" s="129" t="s">
        <v>230</v>
      </c>
    </row>
    <row r="17" spans="1:10" ht="15" customHeight="1" x14ac:dyDescent="0.25">
      <c r="A17" s="538"/>
      <c r="B17" s="14" t="s">
        <v>595</v>
      </c>
      <c r="C17" s="15"/>
      <c r="D17" s="16" t="s">
        <v>60</v>
      </c>
      <c r="E17" s="15">
        <v>1</v>
      </c>
      <c r="F17" s="126">
        <v>2</v>
      </c>
      <c r="G17" s="18">
        <v>38</v>
      </c>
      <c r="H17" s="127">
        <v>32</v>
      </c>
      <c r="I17" s="128" t="s">
        <v>315</v>
      </c>
      <c r="J17" s="129" t="s">
        <v>230</v>
      </c>
    </row>
    <row r="18" spans="1:10" ht="15.75" thickBot="1" x14ac:dyDescent="0.3">
      <c r="A18" s="541"/>
      <c r="B18" s="20" t="s">
        <v>716</v>
      </c>
      <c r="C18" s="21"/>
      <c r="D18" s="22" t="s">
        <v>57</v>
      </c>
      <c r="E18" s="21">
        <v>1</v>
      </c>
      <c r="F18" s="136">
        <v>4</v>
      </c>
      <c r="G18" s="24">
        <v>76</v>
      </c>
      <c r="H18" s="137">
        <v>63</v>
      </c>
      <c r="I18" s="138" t="s">
        <v>20</v>
      </c>
      <c r="J18" s="139" t="s">
        <v>232</v>
      </c>
    </row>
    <row r="19" spans="1:10" x14ac:dyDescent="0.25">
      <c r="A19" s="537" t="s">
        <v>85</v>
      </c>
      <c r="B19" s="8" t="s">
        <v>116</v>
      </c>
      <c r="C19" s="9"/>
      <c r="D19" s="10" t="s">
        <v>57</v>
      </c>
      <c r="E19" s="9">
        <v>1</v>
      </c>
      <c r="F19" s="122">
        <v>4</v>
      </c>
      <c r="G19" s="12">
        <v>76</v>
      </c>
      <c r="H19" s="123">
        <v>63</v>
      </c>
      <c r="I19" s="124" t="s">
        <v>20</v>
      </c>
      <c r="J19" s="125" t="s">
        <v>232</v>
      </c>
    </row>
    <row r="20" spans="1:10" x14ac:dyDescent="0.25">
      <c r="A20" s="538"/>
      <c r="B20" s="14" t="s">
        <v>1189</v>
      </c>
      <c r="C20" s="15"/>
      <c r="D20" s="16" t="s">
        <v>57</v>
      </c>
      <c r="E20" s="15">
        <v>1</v>
      </c>
      <c r="F20" s="126">
        <v>2</v>
      </c>
      <c r="G20" s="18">
        <v>38</v>
      </c>
      <c r="H20" s="127">
        <v>32</v>
      </c>
      <c r="I20" s="128" t="s">
        <v>20</v>
      </c>
      <c r="J20" s="129" t="s">
        <v>231</v>
      </c>
    </row>
    <row r="21" spans="1:10" ht="16.5" x14ac:dyDescent="0.25">
      <c r="A21" s="538"/>
      <c r="B21" s="14" t="s">
        <v>718</v>
      </c>
      <c r="C21" s="15"/>
      <c r="D21" s="16" t="s">
        <v>57</v>
      </c>
      <c r="E21" s="15">
        <v>1</v>
      </c>
      <c r="F21" s="126">
        <v>2</v>
      </c>
      <c r="G21" s="18">
        <v>38</v>
      </c>
      <c r="H21" s="127">
        <v>32</v>
      </c>
      <c r="I21" s="128" t="s">
        <v>20</v>
      </c>
      <c r="J21" s="129" t="s">
        <v>232</v>
      </c>
    </row>
    <row r="22" spans="1:10" ht="16.5" x14ac:dyDescent="0.25">
      <c r="A22" s="538"/>
      <c r="B22" s="14" t="s">
        <v>101</v>
      </c>
      <c r="C22" s="15"/>
      <c r="D22" s="16" t="s">
        <v>60</v>
      </c>
      <c r="E22" s="15">
        <v>1</v>
      </c>
      <c r="F22" s="126">
        <v>4</v>
      </c>
      <c r="G22" s="18">
        <v>76</v>
      </c>
      <c r="H22" s="127">
        <v>63</v>
      </c>
      <c r="I22" s="128" t="s">
        <v>20</v>
      </c>
      <c r="J22" s="129" t="s">
        <v>230</v>
      </c>
    </row>
    <row r="23" spans="1:10" ht="16.5" x14ac:dyDescent="0.25">
      <c r="A23" s="538"/>
      <c r="B23" s="14" t="s">
        <v>103</v>
      </c>
      <c r="C23" s="15"/>
      <c r="D23" s="16" t="s">
        <v>57</v>
      </c>
      <c r="E23" s="15">
        <v>1</v>
      </c>
      <c r="F23" s="126">
        <v>2</v>
      </c>
      <c r="G23" s="18">
        <v>38</v>
      </c>
      <c r="H23" s="127">
        <v>32</v>
      </c>
      <c r="I23" s="128" t="s">
        <v>20</v>
      </c>
      <c r="J23" s="129" t="s">
        <v>232</v>
      </c>
    </row>
    <row r="24" spans="1:10" ht="15" customHeight="1" x14ac:dyDescent="0.25">
      <c r="A24" s="538"/>
      <c r="B24" s="14" t="s">
        <v>719</v>
      </c>
      <c r="C24" s="15"/>
      <c r="D24" s="16" t="s">
        <v>57</v>
      </c>
      <c r="E24" s="15">
        <v>1</v>
      </c>
      <c r="F24" s="126">
        <v>4</v>
      </c>
      <c r="G24" s="18">
        <v>76</v>
      </c>
      <c r="H24" s="127">
        <v>63</v>
      </c>
      <c r="I24" s="128" t="s">
        <v>20</v>
      </c>
      <c r="J24" s="129" t="s">
        <v>232</v>
      </c>
    </row>
    <row r="25" spans="1:10" ht="17.25" thickBot="1" x14ac:dyDescent="0.3">
      <c r="A25" s="541"/>
      <c r="B25" s="20" t="s">
        <v>720</v>
      </c>
      <c r="C25" s="21"/>
      <c r="D25" s="22" t="s">
        <v>57</v>
      </c>
      <c r="E25" s="21">
        <v>1</v>
      </c>
      <c r="F25" s="136">
        <v>2</v>
      </c>
      <c r="G25" s="24">
        <v>38</v>
      </c>
      <c r="H25" s="137">
        <v>32</v>
      </c>
      <c r="I25" s="138" t="s">
        <v>20</v>
      </c>
      <c r="J25" s="139" t="s">
        <v>231</v>
      </c>
    </row>
    <row r="26" spans="1:10" ht="16.5" x14ac:dyDescent="0.25">
      <c r="A26" s="537" t="s">
        <v>99</v>
      </c>
      <c r="B26" s="8" t="s">
        <v>721</v>
      </c>
      <c r="C26" s="9"/>
      <c r="D26" s="10" t="s">
        <v>57</v>
      </c>
      <c r="E26" s="9">
        <v>1</v>
      </c>
      <c r="F26" s="122">
        <v>4</v>
      </c>
      <c r="G26" s="12">
        <v>76</v>
      </c>
      <c r="H26" s="123">
        <v>63</v>
      </c>
      <c r="I26" s="124" t="s">
        <v>20</v>
      </c>
      <c r="J26" s="125" t="s">
        <v>231</v>
      </c>
    </row>
    <row r="27" spans="1:10" ht="16.5" x14ac:dyDescent="0.25">
      <c r="A27" s="538"/>
      <c r="B27" s="14" t="s">
        <v>322</v>
      </c>
      <c r="C27" s="15"/>
      <c r="D27" s="16" t="s">
        <v>57</v>
      </c>
      <c r="E27" s="15">
        <v>1</v>
      </c>
      <c r="F27" s="126">
        <v>4</v>
      </c>
      <c r="G27" s="18">
        <v>76</v>
      </c>
      <c r="H27" s="127">
        <v>63</v>
      </c>
      <c r="I27" s="128" t="s">
        <v>20</v>
      </c>
      <c r="J27" s="129" t="s">
        <v>233</v>
      </c>
    </row>
    <row r="28" spans="1:10" ht="16.5" x14ac:dyDescent="0.25">
      <c r="A28" s="538"/>
      <c r="B28" s="14" t="s">
        <v>93</v>
      </c>
      <c r="C28" s="15"/>
      <c r="D28" s="16" t="s">
        <v>57</v>
      </c>
      <c r="E28" s="15">
        <v>1</v>
      </c>
      <c r="F28" s="126">
        <v>4</v>
      </c>
      <c r="G28" s="18">
        <v>76</v>
      </c>
      <c r="H28" s="127">
        <v>63</v>
      </c>
      <c r="I28" s="128" t="s">
        <v>20</v>
      </c>
      <c r="J28" s="129" t="s">
        <v>231</v>
      </c>
    </row>
    <row r="29" spans="1:10" ht="16.5" x14ac:dyDescent="0.25">
      <c r="A29" s="538"/>
      <c r="B29" s="14" t="s">
        <v>722</v>
      </c>
      <c r="C29" s="15"/>
      <c r="D29" s="16" t="s">
        <v>57</v>
      </c>
      <c r="E29" s="15">
        <v>1</v>
      </c>
      <c r="F29" s="126">
        <v>4</v>
      </c>
      <c r="G29" s="18">
        <v>76</v>
      </c>
      <c r="H29" s="127">
        <v>63</v>
      </c>
      <c r="I29" s="128" t="s">
        <v>20</v>
      </c>
      <c r="J29" s="129" t="s">
        <v>232</v>
      </c>
    </row>
    <row r="30" spans="1:10" ht="17.25" thickBot="1" x14ac:dyDescent="0.3">
      <c r="A30" s="541"/>
      <c r="B30" s="20" t="s">
        <v>529</v>
      </c>
      <c r="C30" s="21"/>
      <c r="D30" s="22" t="s">
        <v>57</v>
      </c>
      <c r="E30" s="21">
        <v>1</v>
      </c>
      <c r="F30" s="136">
        <v>4</v>
      </c>
      <c r="G30" s="24">
        <v>76</v>
      </c>
      <c r="H30" s="137">
        <v>63</v>
      </c>
      <c r="I30" s="138" t="s">
        <v>20</v>
      </c>
      <c r="J30" s="139" t="s">
        <v>231</v>
      </c>
    </row>
    <row r="31" spans="1:10" ht="16.5" thickBot="1" x14ac:dyDescent="0.3">
      <c r="A31" s="508" t="s">
        <v>303</v>
      </c>
      <c r="B31" s="508"/>
      <c r="C31" s="508"/>
      <c r="D31" s="508"/>
      <c r="E31" s="508"/>
      <c r="F31" s="55" t="e">
        <f>(F30*#REF!*$C$36)/60</f>
        <v>#REF!</v>
      </c>
      <c r="G31" s="53" t="s">
        <v>304</v>
      </c>
      <c r="H31" s="55" t="e">
        <f>SUM(F31+#REF!+#REF!+#REF!)</f>
        <v>#REF!</v>
      </c>
      <c r="I31" s="36"/>
    </row>
    <row r="32" spans="1:10" ht="16.5" thickBot="1" x14ac:dyDescent="0.3">
      <c r="A32" s="61" t="s">
        <v>305</v>
      </c>
      <c r="B32" s="63"/>
      <c r="C32" s="63"/>
      <c r="D32" s="63"/>
      <c r="E32" s="63"/>
      <c r="F32" s="63"/>
      <c r="G32" s="64"/>
      <c r="H32" s="56" t="e">
        <f>H31</f>
        <v>#REF!</v>
      </c>
      <c r="I32" s="57"/>
    </row>
    <row r="33" spans="1:9" ht="16.5" thickBot="1" x14ac:dyDescent="0.3">
      <c r="A33" s="61" t="s">
        <v>306</v>
      </c>
      <c r="B33" s="63"/>
      <c r="C33" s="63"/>
      <c r="D33" s="63"/>
      <c r="E33" s="63"/>
      <c r="F33" s="63"/>
      <c r="G33" s="75"/>
      <c r="H33" s="58">
        <v>360</v>
      </c>
      <c r="I33" s="36"/>
    </row>
    <row r="34" spans="1:9" ht="16.5" thickBot="1" x14ac:dyDescent="0.3">
      <c r="A34" s="62" t="s">
        <v>308</v>
      </c>
      <c r="B34" s="76"/>
      <c r="C34" s="77"/>
      <c r="D34" s="77"/>
      <c r="E34" s="77"/>
      <c r="F34" s="77"/>
      <c r="G34" s="77"/>
      <c r="H34" s="55" t="e">
        <f>SUM(H32+H33)</f>
        <v>#REF!</v>
      </c>
      <c r="I34" s="36"/>
    </row>
    <row r="35" spans="1:9" ht="15.75" x14ac:dyDescent="0.25">
      <c r="A35" s="532" t="s">
        <v>309</v>
      </c>
      <c r="B35" s="532"/>
      <c r="C35" s="78">
        <v>50</v>
      </c>
      <c r="D35" s="79" t="s">
        <v>310</v>
      </c>
      <c r="E35" s="79"/>
      <c r="F35" s="79"/>
      <c r="G35" s="79"/>
      <c r="H35" s="80"/>
      <c r="I35" s="36"/>
    </row>
  </sheetData>
  <mergeCells count="6">
    <mergeCell ref="A35:B35"/>
    <mergeCell ref="A4:A10"/>
    <mergeCell ref="A11:A18"/>
    <mergeCell ref="A19:A25"/>
    <mergeCell ref="A26:A30"/>
    <mergeCell ref="A31:E31"/>
  </mergeCells>
  <dataValidations count="2">
    <dataValidation type="list" allowBlank="1" showInputMessage="1" showErrorMessage="1" sqref="J4:J30" xr:uid="{00000000-0002-0000-1500-000000000000}">
      <formula1>Ambientes</formula1>
    </dataValidation>
    <dataValidation type="list" allowBlank="1" showInputMessage="1" showErrorMessage="1" sqref="I4:I29" xr:uid="{00000000-0002-0000-15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50">
    <tabColor theme="7" tint="-0.249977111117893"/>
  </sheetPr>
  <dimension ref="A1:J17"/>
  <sheetViews>
    <sheetView workbookViewId="0">
      <selection activeCell="F5" sqref="F5:F10"/>
    </sheetView>
  </sheetViews>
  <sheetFormatPr defaultColWidth="9.140625" defaultRowHeight="15" x14ac:dyDescent="0.25"/>
  <cols>
    <col min="2" max="2" width="51.4257812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1275</v>
      </c>
      <c r="B2" s="513"/>
      <c r="C2" s="513"/>
      <c r="D2" s="513"/>
      <c r="E2" s="513"/>
      <c r="F2" s="38">
        <v>19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ht="15.75" thickBot="1" x14ac:dyDescent="0.3">
      <c r="A4" s="292"/>
      <c r="B4" s="578"/>
      <c r="C4" s="578"/>
      <c r="D4" s="293" t="s">
        <v>244</v>
      </c>
      <c r="E4" s="293" t="s">
        <v>245</v>
      </c>
      <c r="F4" s="293" t="s">
        <v>246</v>
      </c>
      <c r="G4" s="293" t="s">
        <v>247</v>
      </c>
      <c r="H4" s="293" t="s">
        <v>248</v>
      </c>
      <c r="I4" s="578"/>
      <c r="J4" s="578"/>
    </row>
    <row r="5" spans="1:10" ht="15" customHeight="1" x14ac:dyDescent="0.25">
      <c r="A5" s="579" t="s">
        <v>318</v>
      </c>
      <c r="B5" s="310" t="s">
        <v>1314</v>
      </c>
      <c r="C5" s="311"/>
      <c r="D5" s="312" t="s">
        <v>54</v>
      </c>
      <c r="E5" s="313">
        <v>1</v>
      </c>
      <c r="F5" s="312">
        <v>1</v>
      </c>
      <c r="G5" s="314">
        <f>SUM(F5:F5)*$F$2</f>
        <v>19</v>
      </c>
      <c r="H5" s="315">
        <f>(G5)*$C$13/60</f>
        <v>15.833333333333334</v>
      </c>
      <c r="I5" s="316" t="s">
        <v>1213</v>
      </c>
      <c r="J5" s="317" t="s">
        <v>231</v>
      </c>
    </row>
    <row r="6" spans="1:10" ht="15" customHeight="1" thickBot="1" x14ac:dyDescent="0.3">
      <c r="A6" s="580"/>
      <c r="B6" s="318" t="s">
        <v>1315</v>
      </c>
      <c r="C6" s="319"/>
      <c r="D6" s="320" t="s">
        <v>54</v>
      </c>
      <c r="E6" s="321">
        <v>1</v>
      </c>
      <c r="F6" s="320">
        <v>2</v>
      </c>
      <c r="G6" s="322">
        <f>SUM(F6:F6)*$F$2</f>
        <v>38</v>
      </c>
      <c r="H6" s="323">
        <f>(G6)*$C$13/60</f>
        <v>31.666666666666668</v>
      </c>
      <c r="I6" s="324" t="s">
        <v>1213</v>
      </c>
      <c r="J6" s="325" t="s">
        <v>231</v>
      </c>
    </row>
    <row r="7" spans="1:10" ht="15" customHeight="1" x14ac:dyDescent="0.25">
      <c r="A7" s="581" t="s">
        <v>724</v>
      </c>
      <c r="B7" s="294" t="s">
        <v>1316</v>
      </c>
      <c r="C7" s="295"/>
      <c r="D7" s="296" t="s">
        <v>54</v>
      </c>
      <c r="E7" s="297">
        <v>1</v>
      </c>
      <c r="F7" s="296">
        <v>1</v>
      </c>
      <c r="G7" s="298">
        <f>SUM(F7:F7)*$F$2</f>
        <v>19</v>
      </c>
      <c r="H7" s="299">
        <f>(G7)*$C$13/60</f>
        <v>15.833333333333334</v>
      </c>
      <c r="I7" s="300" t="s">
        <v>1213</v>
      </c>
      <c r="J7" s="301" t="s">
        <v>231</v>
      </c>
    </row>
    <row r="8" spans="1:10" ht="15" customHeight="1" thickBot="1" x14ac:dyDescent="0.3">
      <c r="A8" s="582"/>
      <c r="B8" s="302" t="s">
        <v>1317</v>
      </c>
      <c r="C8" s="303"/>
      <c r="D8" s="304" t="s">
        <v>54</v>
      </c>
      <c r="E8" s="305">
        <v>1</v>
      </c>
      <c r="F8" s="304">
        <v>2</v>
      </c>
      <c r="G8" s="306">
        <f>SUM(F8:F8)*$F$2</f>
        <v>38</v>
      </c>
      <c r="H8" s="307">
        <f>(G8)*$C$13/60</f>
        <v>31.666666666666668</v>
      </c>
      <c r="I8" s="308" t="s">
        <v>1213</v>
      </c>
      <c r="J8" s="309" t="s">
        <v>231</v>
      </c>
    </row>
    <row r="9" spans="1:10" ht="15" customHeight="1" thickBot="1" x14ac:dyDescent="0.3">
      <c r="A9" s="579" t="s">
        <v>323</v>
      </c>
      <c r="B9" s="310" t="s">
        <v>1318</v>
      </c>
      <c r="C9" s="311"/>
      <c r="D9" s="312" t="s">
        <v>54</v>
      </c>
      <c r="E9" s="313">
        <v>1</v>
      </c>
      <c r="F9" s="312">
        <v>3</v>
      </c>
      <c r="G9" s="314">
        <f>SUM(F9:F9)*$F$2</f>
        <v>57</v>
      </c>
      <c r="H9" s="315">
        <f>(G9)*$C$13/60</f>
        <v>47.5</v>
      </c>
      <c r="I9" s="316" t="s">
        <v>1213</v>
      </c>
      <c r="J9" s="317" t="s">
        <v>231</v>
      </c>
    </row>
    <row r="10" spans="1:10" ht="15" customHeight="1" thickBot="1" x14ac:dyDescent="0.3">
      <c r="A10" s="580"/>
      <c r="B10" s="294"/>
      <c r="C10" s="319"/>
      <c r="D10" s="320"/>
      <c r="E10" s="321"/>
      <c r="F10" s="320"/>
      <c r="G10" s="322"/>
      <c r="H10" s="323"/>
      <c r="I10" s="324"/>
      <c r="J10" s="325"/>
    </row>
    <row r="11" spans="1:10" ht="15" customHeight="1" thickBot="1" x14ac:dyDescent="0.3">
      <c r="A11" s="579" t="s">
        <v>311</v>
      </c>
      <c r="B11" s="294" t="s">
        <v>1319</v>
      </c>
      <c r="C11" s="319"/>
      <c r="D11" s="320" t="s">
        <v>54</v>
      </c>
      <c r="E11" s="321">
        <v>1</v>
      </c>
      <c r="F11" s="320">
        <v>3</v>
      </c>
      <c r="G11" s="378">
        <f>SUM(F11:F11)*$F$2</f>
        <v>57</v>
      </c>
      <c r="H11" s="379">
        <f>(G11)*$C$13/60</f>
        <v>47.5</v>
      </c>
      <c r="I11" s="324" t="s">
        <v>1213</v>
      </c>
      <c r="J11" s="325" t="s">
        <v>231</v>
      </c>
    </row>
    <row r="12" spans="1:10" ht="15" customHeight="1" thickBot="1" x14ac:dyDescent="0.3">
      <c r="A12" s="580"/>
      <c r="B12" s="294"/>
      <c r="C12" s="319"/>
      <c r="D12" s="320"/>
      <c r="E12" s="321"/>
      <c r="F12" s="320"/>
      <c r="G12" s="376"/>
      <c r="H12" s="377"/>
      <c r="I12" s="324"/>
      <c r="J12" s="325"/>
    </row>
    <row r="13" spans="1:10" ht="16.5" thickBot="1" x14ac:dyDescent="0.3">
      <c r="A13" s="62" t="s">
        <v>303</v>
      </c>
      <c r="B13" s="326"/>
      <c r="C13" s="327">
        <v>50</v>
      </c>
      <c r="D13" s="328" t="s">
        <v>310</v>
      </c>
      <c r="E13" s="328"/>
      <c r="F13" s="328"/>
      <c r="G13" s="328"/>
      <c r="H13" s="329"/>
      <c r="I13" s="36"/>
    </row>
    <row r="14" spans="1:10" ht="16.5" thickBot="1" x14ac:dyDescent="0.3">
      <c r="A14" s="61" t="s">
        <v>305</v>
      </c>
    </row>
    <row r="15" spans="1:10" ht="16.5" thickBot="1" x14ac:dyDescent="0.3">
      <c r="A15" s="115" t="s">
        <v>306</v>
      </c>
    </row>
    <row r="16" spans="1:10" ht="16.5" thickBot="1" x14ac:dyDescent="0.3">
      <c r="A16" s="62" t="s">
        <v>308</v>
      </c>
    </row>
    <row r="17" spans="1:1" ht="15.75" x14ac:dyDescent="0.25">
      <c r="A17" s="114" t="s">
        <v>309</v>
      </c>
    </row>
  </sheetData>
  <mergeCells count="9">
    <mergeCell ref="A5:A6"/>
    <mergeCell ref="A7:A8"/>
    <mergeCell ref="A9:A10"/>
    <mergeCell ref="A11:A12"/>
    <mergeCell ref="A2:E2"/>
    <mergeCell ref="B3:B4"/>
    <mergeCell ref="C3:C4"/>
    <mergeCell ref="I3:I4"/>
    <mergeCell ref="J3:J4"/>
  </mergeCells>
  <dataValidations count="2">
    <dataValidation type="list" allowBlank="1" showInputMessage="1" showErrorMessage="1" sqref="I1:I1048576" xr:uid="{00000000-0002-0000-1600-000000000000}">
      <formula1>Áreas</formula1>
    </dataValidation>
    <dataValidation type="list" allowBlank="1" showInputMessage="1" showErrorMessage="1" sqref="J1:J1048576" xr:uid="{00000000-0002-0000-16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3">
    <tabColor theme="7" tint="-0.249977111117893"/>
  </sheetPr>
  <dimension ref="A1:J24"/>
  <sheetViews>
    <sheetView workbookViewId="0">
      <selection activeCell="F5" sqref="F5:F10"/>
    </sheetView>
  </sheetViews>
  <sheetFormatPr defaultColWidth="9.140625" defaultRowHeight="15" x14ac:dyDescent="0.25"/>
  <cols>
    <col min="2" max="2" width="31.710937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1184</v>
      </c>
      <c r="B2" s="513"/>
      <c r="C2" s="513"/>
      <c r="D2" s="513"/>
      <c r="E2" s="513"/>
      <c r="F2" s="38">
        <v>19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ht="15.75" thickBot="1" x14ac:dyDescent="0.3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ht="15.75" thickBot="1" x14ac:dyDescent="0.3">
      <c r="A5" s="515" t="s">
        <v>318</v>
      </c>
      <c r="B5" s="384" t="s">
        <v>1298</v>
      </c>
      <c r="C5" s="41"/>
      <c r="D5" s="42" t="s">
        <v>60</v>
      </c>
      <c r="E5" s="43">
        <v>1</v>
      </c>
      <c r="F5" s="42">
        <v>2</v>
      </c>
      <c r="G5" s="44">
        <f>SUM(F5:F5)*$F$2</f>
        <v>38</v>
      </c>
      <c r="H5" s="45">
        <f>(G5)*$C$20/60</f>
        <v>31.666666666666668</v>
      </c>
      <c r="I5" s="47" t="s">
        <v>13</v>
      </c>
      <c r="J5" s="46" t="s">
        <v>230</v>
      </c>
    </row>
    <row r="6" spans="1:10" ht="38.25" customHeight="1" thickBot="1" x14ac:dyDescent="0.3">
      <c r="A6" s="516"/>
      <c r="B6" s="384" t="s">
        <v>1299</v>
      </c>
      <c r="C6" s="41"/>
      <c r="D6" s="42" t="s">
        <v>60</v>
      </c>
      <c r="E6" s="43">
        <v>1</v>
      </c>
      <c r="F6" s="42">
        <v>2</v>
      </c>
      <c r="G6" s="44">
        <f>SUM(F6:F6)*$F$2</f>
        <v>38</v>
      </c>
      <c r="H6" s="45">
        <f>(G6)*$C$20/60</f>
        <v>31.666666666666668</v>
      </c>
      <c r="I6" s="47" t="s">
        <v>12</v>
      </c>
      <c r="J6" s="46" t="s">
        <v>230</v>
      </c>
    </row>
    <row r="7" spans="1:10" ht="38.25" customHeight="1" thickBot="1" x14ac:dyDescent="0.3">
      <c r="A7" s="516"/>
      <c r="B7" s="384" t="s">
        <v>1302</v>
      </c>
      <c r="C7" s="41"/>
      <c r="D7" s="42" t="s">
        <v>60</v>
      </c>
      <c r="E7" s="43">
        <v>1</v>
      </c>
      <c r="F7" s="42">
        <v>2</v>
      </c>
      <c r="G7" s="44">
        <f>SUM(F7:F7)*$F$2</f>
        <v>38</v>
      </c>
      <c r="H7" s="45">
        <f>(G7)*$C$20/60</f>
        <v>31.666666666666668</v>
      </c>
      <c r="I7" s="47" t="s">
        <v>5</v>
      </c>
      <c r="J7" s="46" t="s">
        <v>230</v>
      </c>
    </row>
    <row r="8" spans="1:10" ht="41.25" customHeight="1" thickBot="1" x14ac:dyDescent="0.3">
      <c r="A8" s="583"/>
      <c r="B8" s="387" t="s">
        <v>369</v>
      </c>
      <c r="C8" s="303"/>
      <c r="D8" s="304" t="s">
        <v>60</v>
      </c>
      <c r="E8" s="305">
        <v>1</v>
      </c>
      <c r="F8" s="304">
        <v>2</v>
      </c>
      <c r="G8" s="306">
        <f>SUM(F8:F8)*$F$2</f>
        <v>38</v>
      </c>
      <c r="H8" s="307">
        <f>(G8)*$C$20/60</f>
        <v>31.666666666666668</v>
      </c>
      <c r="I8" s="308" t="s">
        <v>225</v>
      </c>
      <c r="J8" s="343" t="s">
        <v>230</v>
      </c>
    </row>
    <row r="9" spans="1:10" ht="15.75" thickBot="1" x14ac:dyDescent="0.3">
      <c r="A9" s="584" t="s">
        <v>724</v>
      </c>
      <c r="B9" s="395" t="s">
        <v>1323</v>
      </c>
      <c r="C9" s="295"/>
      <c r="D9" s="296" t="s">
        <v>60</v>
      </c>
      <c r="E9" s="297">
        <v>1</v>
      </c>
      <c r="F9" s="296">
        <v>2</v>
      </c>
      <c r="G9" s="388">
        <f>SUM(F9:F9)*$F$2</f>
        <v>38</v>
      </c>
      <c r="H9" s="389">
        <f>(G9)*$C$20/60</f>
        <v>31.666666666666668</v>
      </c>
      <c r="I9" s="300" t="s">
        <v>11</v>
      </c>
      <c r="J9" s="338" t="s">
        <v>231</v>
      </c>
    </row>
    <row r="10" spans="1:10" ht="15.75" thickBot="1" x14ac:dyDescent="0.3">
      <c r="A10" s="516"/>
      <c r="B10" s="384" t="s">
        <v>1324</v>
      </c>
      <c r="C10" s="41"/>
      <c r="D10" s="42" t="s">
        <v>60</v>
      </c>
      <c r="E10" s="43">
        <v>1</v>
      </c>
      <c r="F10" s="42">
        <v>2</v>
      </c>
      <c r="G10" s="44">
        <f t="shared" ref="G10:G17" si="0">SUM(F10:F10)*$F$2</f>
        <v>38</v>
      </c>
      <c r="H10" s="45">
        <f t="shared" ref="H10:H17" si="1">(G10)*$C$20/60</f>
        <v>31.666666666666668</v>
      </c>
      <c r="I10" s="47" t="s">
        <v>13</v>
      </c>
      <c r="J10" s="46" t="s">
        <v>230</v>
      </c>
    </row>
    <row r="11" spans="1:10" ht="30.75" thickBot="1" x14ac:dyDescent="0.3">
      <c r="A11" s="516"/>
      <c r="B11" s="402" t="s">
        <v>1325</v>
      </c>
      <c r="C11" s="351"/>
      <c r="D11" s="332" t="s">
        <v>60</v>
      </c>
      <c r="E11" s="352">
        <v>1</v>
      </c>
      <c r="F11" s="332">
        <v>2</v>
      </c>
      <c r="G11" s="333">
        <f t="shared" si="0"/>
        <v>38</v>
      </c>
      <c r="H11" s="334">
        <f t="shared" si="1"/>
        <v>31.666666666666668</v>
      </c>
      <c r="I11" s="335" t="s">
        <v>9</v>
      </c>
      <c r="J11" s="336"/>
    </row>
    <row r="12" spans="1:10" ht="105" x14ac:dyDescent="0.25">
      <c r="A12" s="516"/>
      <c r="B12" s="402" t="s">
        <v>1301</v>
      </c>
      <c r="C12" s="351"/>
      <c r="D12" s="332" t="s">
        <v>60</v>
      </c>
      <c r="E12" s="352">
        <v>1</v>
      </c>
      <c r="F12" s="332">
        <v>2</v>
      </c>
      <c r="G12" s="333">
        <f t="shared" si="0"/>
        <v>38</v>
      </c>
      <c r="H12" s="334">
        <f t="shared" si="1"/>
        <v>31.666666666666668</v>
      </c>
      <c r="I12" s="335" t="s">
        <v>5</v>
      </c>
      <c r="J12" s="336" t="s">
        <v>230</v>
      </c>
    </row>
    <row r="13" spans="1:10" ht="45.75" thickBot="1" x14ac:dyDescent="0.3">
      <c r="A13" s="585"/>
      <c r="B13" s="403" t="s">
        <v>1326</v>
      </c>
      <c r="C13" s="404"/>
      <c r="D13" s="405" t="s">
        <v>54</v>
      </c>
      <c r="E13" s="406">
        <v>1</v>
      </c>
      <c r="F13" s="405">
        <v>2</v>
      </c>
      <c r="G13" s="407">
        <f t="shared" si="0"/>
        <v>38</v>
      </c>
      <c r="H13" s="408">
        <f t="shared" si="1"/>
        <v>31.666666666666668</v>
      </c>
      <c r="I13" s="409" t="s">
        <v>7</v>
      </c>
      <c r="J13" s="410" t="s">
        <v>230</v>
      </c>
    </row>
    <row r="14" spans="1:10" ht="30.75" thickBot="1" x14ac:dyDescent="0.3">
      <c r="A14" s="586" t="s">
        <v>1152</v>
      </c>
      <c r="B14" s="386" t="s">
        <v>1327</v>
      </c>
      <c r="C14" s="392"/>
      <c r="D14" s="393" t="s">
        <v>60</v>
      </c>
      <c r="E14" s="394">
        <v>1</v>
      </c>
      <c r="F14" s="393">
        <v>2</v>
      </c>
      <c r="G14" s="388">
        <f t="shared" si="0"/>
        <v>38</v>
      </c>
      <c r="H14" s="389">
        <f t="shared" si="1"/>
        <v>31.666666666666668</v>
      </c>
      <c r="I14" s="390" t="s">
        <v>8</v>
      </c>
      <c r="J14" s="391" t="s">
        <v>230</v>
      </c>
    </row>
    <row r="15" spans="1:10" ht="15.75" thickBot="1" x14ac:dyDescent="0.3">
      <c r="A15" s="519"/>
      <c r="B15" s="385" t="s">
        <v>1300</v>
      </c>
      <c r="C15" s="270"/>
      <c r="D15" s="271" t="s">
        <v>60</v>
      </c>
      <c r="E15" s="272">
        <v>1</v>
      </c>
      <c r="F15" s="271">
        <v>2</v>
      </c>
      <c r="G15" s="44">
        <f t="shared" si="0"/>
        <v>38</v>
      </c>
      <c r="H15" s="45">
        <f t="shared" si="1"/>
        <v>31.666666666666668</v>
      </c>
      <c r="I15" s="47" t="s">
        <v>10</v>
      </c>
      <c r="J15" s="46" t="s">
        <v>230</v>
      </c>
    </row>
    <row r="16" spans="1:10" ht="30" x14ac:dyDescent="0.25">
      <c r="A16" s="519"/>
      <c r="B16" s="402" t="s">
        <v>1328</v>
      </c>
      <c r="C16" s="411"/>
      <c r="D16" s="412" t="s">
        <v>60</v>
      </c>
      <c r="E16" s="413">
        <v>1</v>
      </c>
      <c r="F16" s="412">
        <v>2</v>
      </c>
      <c r="G16" s="414">
        <f t="shared" si="0"/>
        <v>38</v>
      </c>
      <c r="H16" s="415">
        <f t="shared" si="1"/>
        <v>31.666666666666668</v>
      </c>
      <c r="I16" s="335" t="s">
        <v>5</v>
      </c>
      <c r="J16" s="336" t="s">
        <v>230</v>
      </c>
    </row>
    <row r="17" spans="1:10" ht="39" thickBot="1" x14ac:dyDescent="0.3">
      <c r="A17" s="587"/>
      <c r="B17" s="416" t="s">
        <v>1329</v>
      </c>
      <c r="C17" s="404"/>
      <c r="D17" s="405" t="s">
        <v>54</v>
      </c>
      <c r="E17" s="406">
        <v>1</v>
      </c>
      <c r="F17" s="405">
        <v>2</v>
      </c>
      <c r="G17" s="407">
        <f t="shared" si="0"/>
        <v>38</v>
      </c>
      <c r="H17" s="408">
        <f t="shared" si="1"/>
        <v>31.666666666666668</v>
      </c>
      <c r="I17" s="409" t="s">
        <v>21</v>
      </c>
      <c r="J17" s="410" t="s">
        <v>230</v>
      </c>
    </row>
    <row r="18" spans="1:10" x14ac:dyDescent="0.25">
      <c r="A18" s="586" t="s">
        <v>311</v>
      </c>
    </row>
    <row r="19" spans="1:10" ht="15.75" thickBot="1" x14ac:dyDescent="0.3">
      <c r="A19" s="588"/>
      <c r="B19" s="401" t="s">
        <v>1295</v>
      </c>
      <c r="C19" s="396"/>
      <c r="D19" s="397" t="s">
        <v>60</v>
      </c>
      <c r="E19" s="398">
        <v>1</v>
      </c>
      <c r="F19" s="397">
        <v>0</v>
      </c>
      <c r="G19" s="399">
        <f>SUM(F19:F19)*$F$2</f>
        <v>0</v>
      </c>
      <c r="H19" s="400">
        <f>(G19)*$C$20/60</f>
        <v>0</v>
      </c>
      <c r="I19" s="308" t="s">
        <v>13</v>
      </c>
      <c r="J19" s="343" t="s">
        <v>230</v>
      </c>
    </row>
    <row r="20" spans="1:10" ht="16.5" thickBot="1" x14ac:dyDescent="0.3">
      <c r="A20" s="62" t="s">
        <v>303</v>
      </c>
      <c r="B20" s="326"/>
      <c r="C20" s="327">
        <v>50</v>
      </c>
      <c r="D20" s="328" t="s">
        <v>310</v>
      </c>
      <c r="E20" s="328"/>
      <c r="F20" s="328"/>
      <c r="G20" s="328"/>
      <c r="H20" s="329"/>
      <c r="I20" s="36"/>
    </row>
    <row r="21" spans="1:10" ht="16.5" thickBot="1" x14ac:dyDescent="0.3">
      <c r="A21" s="61" t="s">
        <v>305</v>
      </c>
    </row>
    <row r="22" spans="1:10" ht="16.5" thickBot="1" x14ac:dyDescent="0.3">
      <c r="A22" s="115" t="s">
        <v>306</v>
      </c>
    </row>
    <row r="23" spans="1:10" ht="16.5" thickBot="1" x14ac:dyDescent="0.3">
      <c r="A23" s="62" t="s">
        <v>308</v>
      </c>
    </row>
    <row r="24" spans="1:10" ht="15.75" x14ac:dyDescent="0.25">
      <c r="A24" s="114" t="s">
        <v>309</v>
      </c>
    </row>
  </sheetData>
  <mergeCells count="9">
    <mergeCell ref="I3:I4"/>
    <mergeCell ref="J3:J4"/>
    <mergeCell ref="A5:A8"/>
    <mergeCell ref="A9:A13"/>
    <mergeCell ref="A14:A17"/>
    <mergeCell ref="A18:A19"/>
    <mergeCell ref="A2:E2"/>
    <mergeCell ref="B3:B4"/>
    <mergeCell ref="C3:C4"/>
  </mergeCells>
  <dataValidations count="2">
    <dataValidation type="list" allowBlank="1" showInputMessage="1" showErrorMessage="1" sqref="J1:J17 J19:J1048576" xr:uid="{00000000-0002-0000-1700-000000000000}">
      <formula1>Ambientes</formula1>
    </dataValidation>
    <dataValidation type="list" allowBlank="1" showInputMessage="1" showErrorMessage="1" sqref="I1:I17 I19:I1048576" xr:uid="{00000000-0002-0000-17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31">
    <tabColor theme="7" tint="-0.249977111117893"/>
  </sheetPr>
  <dimension ref="A1:J16"/>
  <sheetViews>
    <sheetView workbookViewId="0">
      <selection activeCell="F5" sqref="F5:F10"/>
    </sheetView>
  </sheetViews>
  <sheetFormatPr defaultColWidth="9.140625" defaultRowHeight="15" x14ac:dyDescent="0.25"/>
  <cols>
    <col min="2" max="2" width="50.2851562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1232</v>
      </c>
      <c r="B2" s="513"/>
      <c r="C2" s="513"/>
      <c r="D2" s="513"/>
      <c r="E2" s="513"/>
      <c r="F2" s="38">
        <v>19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ht="38.25" customHeight="1" x14ac:dyDescent="0.25">
      <c r="A5" s="515" t="s">
        <v>318</v>
      </c>
      <c r="B5" s="40" t="s">
        <v>1291</v>
      </c>
      <c r="C5" s="41"/>
      <c r="D5" s="42" t="s">
        <v>60</v>
      </c>
      <c r="E5" s="43">
        <v>1</v>
      </c>
      <c r="F5" s="42">
        <v>4</v>
      </c>
      <c r="G5" s="44">
        <f t="shared" ref="G5:G11" si="0">SUM(F5:F5)*$F$2</f>
        <v>76</v>
      </c>
      <c r="H5" s="45">
        <f t="shared" ref="H5:H11" si="1">(G5)*$C$12/60</f>
        <v>63.333333333333336</v>
      </c>
      <c r="I5" s="47" t="s">
        <v>14</v>
      </c>
      <c r="J5" s="46" t="s">
        <v>230</v>
      </c>
    </row>
    <row r="6" spans="1:10" ht="41.25" customHeight="1" x14ac:dyDescent="0.25">
      <c r="A6" s="517"/>
      <c r="B6" s="40" t="s">
        <v>1292</v>
      </c>
      <c r="C6" s="41"/>
      <c r="D6" s="42" t="s">
        <v>60</v>
      </c>
      <c r="E6" s="43">
        <v>1</v>
      </c>
      <c r="F6" s="42">
        <v>4</v>
      </c>
      <c r="G6" s="44">
        <f t="shared" si="0"/>
        <v>76</v>
      </c>
      <c r="H6" s="45">
        <f t="shared" si="1"/>
        <v>63.333333333333336</v>
      </c>
      <c r="I6" s="47" t="s">
        <v>14</v>
      </c>
      <c r="J6" s="46" t="s">
        <v>230</v>
      </c>
    </row>
    <row r="7" spans="1:10" ht="15" customHeight="1" x14ac:dyDescent="0.25">
      <c r="A7" s="515" t="s">
        <v>724</v>
      </c>
      <c r="B7" s="40" t="s">
        <v>1293</v>
      </c>
      <c r="C7" s="41"/>
      <c r="D7" s="42" t="s">
        <v>60</v>
      </c>
      <c r="E7" s="43">
        <v>1</v>
      </c>
      <c r="F7" s="42">
        <v>4</v>
      </c>
      <c r="G7" s="44">
        <f t="shared" si="0"/>
        <v>76</v>
      </c>
      <c r="H7" s="45">
        <f t="shared" si="1"/>
        <v>63.333333333333336</v>
      </c>
      <c r="I7" s="47" t="s">
        <v>14</v>
      </c>
      <c r="J7" s="46" t="s">
        <v>230</v>
      </c>
    </row>
    <row r="8" spans="1:10" ht="15" customHeight="1" thickBot="1" x14ac:dyDescent="0.3">
      <c r="A8" s="516"/>
      <c r="B8" s="40" t="s">
        <v>1294</v>
      </c>
      <c r="C8" s="41"/>
      <c r="D8" s="42" t="s">
        <v>60</v>
      </c>
      <c r="E8" s="43">
        <v>1</v>
      </c>
      <c r="F8" s="42">
        <v>4</v>
      </c>
      <c r="G8" s="44">
        <f t="shared" si="0"/>
        <v>76</v>
      </c>
      <c r="H8" s="45">
        <f t="shared" si="1"/>
        <v>63.333333333333336</v>
      </c>
      <c r="I8" s="47" t="s">
        <v>14</v>
      </c>
      <c r="J8" s="46" t="s">
        <v>230</v>
      </c>
    </row>
    <row r="9" spans="1:10" x14ac:dyDescent="0.25">
      <c r="A9" s="589" t="s">
        <v>1152</v>
      </c>
      <c r="B9" s="269" t="s">
        <v>1296</v>
      </c>
      <c r="C9" s="270"/>
      <c r="D9" s="271" t="s">
        <v>60</v>
      </c>
      <c r="E9" s="272">
        <v>1</v>
      </c>
      <c r="F9" s="271">
        <v>4</v>
      </c>
      <c r="G9" s="273">
        <f t="shared" si="0"/>
        <v>76</v>
      </c>
      <c r="H9" s="45">
        <f t="shared" si="1"/>
        <v>63.333333333333336</v>
      </c>
      <c r="I9" s="47" t="s">
        <v>14</v>
      </c>
      <c r="J9" s="46" t="s">
        <v>230</v>
      </c>
    </row>
    <row r="10" spans="1:10" ht="15.75" thickBot="1" x14ac:dyDescent="0.3">
      <c r="A10" s="519"/>
      <c r="B10" s="269" t="s">
        <v>1297</v>
      </c>
      <c r="C10" s="270"/>
      <c r="D10" s="271" t="s">
        <v>60</v>
      </c>
      <c r="E10" s="272">
        <v>1</v>
      </c>
      <c r="F10" s="271">
        <v>4</v>
      </c>
      <c r="G10" s="273">
        <f t="shared" si="0"/>
        <v>76</v>
      </c>
      <c r="H10" s="45">
        <f t="shared" si="1"/>
        <v>63.333333333333336</v>
      </c>
      <c r="I10" s="47" t="s">
        <v>14</v>
      </c>
      <c r="J10" s="46" t="s">
        <v>230</v>
      </c>
    </row>
    <row r="11" spans="1:10" ht="59.25" thickBot="1" x14ac:dyDescent="0.3">
      <c r="A11" s="380" t="s">
        <v>311</v>
      </c>
      <c r="B11" s="269" t="s">
        <v>1295</v>
      </c>
      <c r="C11" s="270"/>
      <c r="D11" s="271" t="s">
        <v>60</v>
      </c>
      <c r="E11" s="272">
        <v>1</v>
      </c>
      <c r="F11" s="271">
        <v>0</v>
      </c>
      <c r="G11" s="273">
        <f t="shared" si="0"/>
        <v>0</v>
      </c>
      <c r="H11" s="274">
        <f t="shared" si="1"/>
        <v>0</v>
      </c>
      <c r="I11" s="47" t="s">
        <v>14</v>
      </c>
      <c r="J11" s="46" t="s">
        <v>230</v>
      </c>
    </row>
    <row r="12" spans="1:10" ht="16.5" thickBot="1" x14ac:dyDescent="0.3">
      <c r="A12" s="61" t="s">
        <v>303</v>
      </c>
      <c r="B12" s="114"/>
      <c r="C12" s="78">
        <v>50</v>
      </c>
      <c r="D12" s="79" t="s">
        <v>310</v>
      </c>
      <c r="E12" s="79"/>
      <c r="F12" s="79"/>
      <c r="G12" s="79"/>
      <c r="H12" s="80"/>
      <c r="I12" s="36"/>
    </row>
    <row r="13" spans="1:10" ht="16.5" thickBot="1" x14ac:dyDescent="0.3">
      <c r="A13" s="61" t="s">
        <v>305</v>
      </c>
    </row>
    <row r="14" spans="1:10" ht="16.5" thickBot="1" x14ac:dyDescent="0.3">
      <c r="A14" s="115" t="s">
        <v>306</v>
      </c>
    </row>
    <row r="15" spans="1:10" ht="16.5" thickBot="1" x14ac:dyDescent="0.3">
      <c r="A15" s="62" t="s">
        <v>308</v>
      </c>
    </row>
    <row r="16" spans="1:10" ht="15.75" x14ac:dyDescent="0.25">
      <c r="A16" s="114" t="s">
        <v>309</v>
      </c>
    </row>
  </sheetData>
  <mergeCells count="8">
    <mergeCell ref="A2:E2"/>
    <mergeCell ref="B3:B4"/>
    <mergeCell ref="C3:C4"/>
    <mergeCell ref="I3:I4"/>
    <mergeCell ref="J3:J4"/>
    <mergeCell ref="A5:A6"/>
    <mergeCell ref="A7:A8"/>
    <mergeCell ref="A9:A10"/>
  </mergeCells>
  <dataValidations count="2">
    <dataValidation type="list" allowBlank="1" showInputMessage="1" showErrorMessage="1" sqref="I1:I1048576" xr:uid="{00000000-0002-0000-1800-000000000000}">
      <formula1>Áreas</formula1>
    </dataValidation>
    <dataValidation type="list" allowBlank="1" showInputMessage="1" showErrorMessage="1" sqref="J1:J1048576" xr:uid="{00000000-0002-0000-18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68B5C-32CC-48D4-B3E8-D41FF5595BB2}">
  <sheetPr codeName="Planilha57">
    <tabColor theme="9" tint="-0.249977111117893"/>
  </sheetPr>
  <dimension ref="A1:J39"/>
  <sheetViews>
    <sheetView workbookViewId="0">
      <selection activeCell="J34" sqref="J34"/>
    </sheetView>
  </sheetViews>
  <sheetFormatPr defaultRowHeight="15" x14ac:dyDescent="0.25"/>
  <cols>
    <col min="2" max="2" width="41.140625" customWidth="1"/>
    <col min="3" max="3" width="16.28515625" customWidth="1"/>
    <col min="4" max="4" width="12.7109375" customWidth="1"/>
    <col min="9" max="9" width="14.85546875" bestFit="1" customWidth="1"/>
    <col min="10" max="10" width="24.85546875" bestFit="1" customWidth="1"/>
  </cols>
  <sheetData>
    <row r="1" spans="1:10" x14ac:dyDescent="0.25">
      <c r="A1" s="36"/>
      <c r="B1" s="36"/>
      <c r="C1" s="36" t="s">
        <v>1749</v>
      </c>
      <c r="D1" s="36"/>
      <c r="E1" s="36"/>
      <c r="F1" s="36"/>
      <c r="G1" s="36"/>
      <c r="H1" s="36"/>
      <c r="I1" s="36"/>
    </row>
    <row r="2" spans="1:10" ht="15.75" x14ac:dyDescent="0.25">
      <c r="A2" s="513" t="s">
        <v>485</v>
      </c>
      <c r="B2" s="513"/>
      <c r="C2" s="513"/>
      <c r="D2" s="37" t="s">
        <v>237</v>
      </c>
      <c r="E2" s="38"/>
      <c r="F2" s="38">
        <v>19</v>
      </c>
      <c r="G2" s="38"/>
      <c r="H2" s="38"/>
      <c r="I2" s="36"/>
    </row>
    <row r="3" spans="1:10" ht="15.75" x14ac:dyDescent="0.25">
      <c r="A3" s="496"/>
      <c r="B3" s="591" t="s">
        <v>44</v>
      </c>
      <c r="C3" s="591" t="s">
        <v>238</v>
      </c>
      <c r="D3" s="497" t="s">
        <v>239</v>
      </c>
      <c r="E3" s="497" t="s">
        <v>240</v>
      </c>
      <c r="F3" s="497" t="s">
        <v>241</v>
      </c>
      <c r="G3" s="497" t="s">
        <v>242</v>
      </c>
      <c r="H3" s="497" t="s">
        <v>242</v>
      </c>
      <c r="I3" s="591" t="s">
        <v>243</v>
      </c>
      <c r="J3" s="591" t="s">
        <v>224</v>
      </c>
    </row>
    <row r="4" spans="1:10" ht="15.75" x14ac:dyDescent="0.25">
      <c r="A4" s="498"/>
      <c r="B4" s="592"/>
      <c r="C4" s="592"/>
      <c r="D4" s="499" t="s">
        <v>244</v>
      </c>
      <c r="E4" s="499" t="s">
        <v>245</v>
      </c>
      <c r="F4" s="499" t="s">
        <v>246</v>
      </c>
      <c r="G4" s="499" t="s">
        <v>247</v>
      </c>
      <c r="H4" s="499" t="s">
        <v>248</v>
      </c>
      <c r="I4" s="592"/>
      <c r="J4" s="592"/>
    </row>
    <row r="5" spans="1:10" ht="15.75" x14ac:dyDescent="0.25">
      <c r="A5" s="590" t="s">
        <v>318</v>
      </c>
      <c r="B5" s="500" t="s">
        <v>904</v>
      </c>
      <c r="C5" s="501" t="s">
        <v>1735</v>
      </c>
      <c r="D5" s="502" t="s">
        <v>60</v>
      </c>
      <c r="E5" s="503">
        <v>1</v>
      </c>
      <c r="F5" s="503">
        <v>4</v>
      </c>
      <c r="G5" s="502">
        <f>F5*$F$2</f>
        <v>76</v>
      </c>
      <c r="H5" s="502">
        <f>G5*$C$39/60</f>
        <v>63.333333333333336</v>
      </c>
      <c r="I5" s="47" t="s">
        <v>19</v>
      </c>
      <c r="J5" s="46" t="s">
        <v>251</v>
      </c>
    </row>
    <row r="6" spans="1:10" ht="15.75" x14ac:dyDescent="0.25">
      <c r="A6" s="590"/>
      <c r="B6" s="500" t="s">
        <v>1736</v>
      </c>
      <c r="C6" s="501" t="s">
        <v>1608</v>
      </c>
      <c r="D6" s="502" t="s">
        <v>54</v>
      </c>
      <c r="E6" s="503">
        <v>2</v>
      </c>
      <c r="F6" s="503">
        <v>2</v>
      </c>
      <c r="G6" s="502">
        <f t="shared" ref="G6:G34" si="0">F6*$F$2</f>
        <v>38</v>
      </c>
      <c r="H6" s="502">
        <f t="shared" ref="H6:H34" si="1">G6*$C$39/60</f>
        <v>31.666666666666668</v>
      </c>
      <c r="I6" s="47" t="s">
        <v>1213</v>
      </c>
      <c r="J6" s="46" t="s">
        <v>231</v>
      </c>
    </row>
    <row r="7" spans="1:10" ht="15.75" x14ac:dyDescent="0.25">
      <c r="A7" s="590"/>
      <c r="B7" s="500" t="s">
        <v>1737</v>
      </c>
      <c r="C7" s="503" t="s">
        <v>1738</v>
      </c>
      <c r="D7" s="502" t="s">
        <v>60</v>
      </c>
      <c r="E7" s="503">
        <v>1</v>
      </c>
      <c r="F7" s="503">
        <v>2</v>
      </c>
      <c r="G7" s="502">
        <f t="shared" si="0"/>
        <v>38</v>
      </c>
      <c r="H7" s="502">
        <f t="shared" si="1"/>
        <v>31.666666666666668</v>
      </c>
      <c r="I7" s="47" t="s">
        <v>19</v>
      </c>
      <c r="J7" s="46" t="s">
        <v>230</v>
      </c>
    </row>
    <row r="8" spans="1:10" ht="15.75" x14ac:dyDescent="0.25">
      <c r="A8" s="590"/>
      <c r="B8" s="500" t="s">
        <v>1739</v>
      </c>
      <c r="C8" s="503" t="s">
        <v>1740</v>
      </c>
      <c r="D8" s="502" t="s">
        <v>60</v>
      </c>
      <c r="E8" s="503">
        <v>1</v>
      </c>
      <c r="F8" s="503">
        <v>2</v>
      </c>
      <c r="G8" s="502">
        <f t="shared" si="0"/>
        <v>38</v>
      </c>
      <c r="H8" s="502">
        <f t="shared" si="1"/>
        <v>31.666666666666668</v>
      </c>
      <c r="I8" s="47" t="s">
        <v>19</v>
      </c>
      <c r="J8" s="46" t="s">
        <v>251</v>
      </c>
    </row>
    <row r="9" spans="1:10" ht="15.75" x14ac:dyDescent="0.25">
      <c r="A9" s="590"/>
      <c r="B9" s="500" t="s">
        <v>1741</v>
      </c>
      <c r="C9" s="503" t="s">
        <v>1742</v>
      </c>
      <c r="D9" s="502" t="s">
        <v>54</v>
      </c>
      <c r="E9" s="503">
        <v>2</v>
      </c>
      <c r="F9" s="503">
        <v>2</v>
      </c>
      <c r="G9" s="502">
        <f t="shared" si="0"/>
        <v>38</v>
      </c>
      <c r="H9" s="502">
        <f t="shared" si="1"/>
        <v>31.666666666666668</v>
      </c>
      <c r="I9" s="47" t="s">
        <v>19</v>
      </c>
      <c r="J9" s="46" t="s">
        <v>232</v>
      </c>
    </row>
    <row r="10" spans="1:10" ht="15.75" x14ac:dyDescent="0.25">
      <c r="A10" s="590"/>
      <c r="B10" s="500" t="s">
        <v>1743</v>
      </c>
      <c r="C10" s="503" t="s">
        <v>1744</v>
      </c>
      <c r="D10" s="502" t="s">
        <v>60</v>
      </c>
      <c r="E10" s="503">
        <v>1</v>
      </c>
      <c r="F10" s="503">
        <v>2</v>
      </c>
      <c r="G10" s="502">
        <f t="shared" si="0"/>
        <v>38</v>
      </c>
      <c r="H10" s="502">
        <f t="shared" si="1"/>
        <v>31.666666666666668</v>
      </c>
      <c r="I10" s="47" t="s">
        <v>14</v>
      </c>
      <c r="J10" s="46" t="s">
        <v>251</v>
      </c>
    </row>
    <row r="11" spans="1:10" ht="15.75" x14ac:dyDescent="0.25">
      <c r="A11" s="590"/>
      <c r="B11" s="500" t="s">
        <v>1745</v>
      </c>
      <c r="C11" s="503" t="s">
        <v>1746</v>
      </c>
      <c r="D11" s="502" t="s">
        <v>60</v>
      </c>
      <c r="E11" s="503">
        <v>1</v>
      </c>
      <c r="F11" s="503">
        <v>4</v>
      </c>
      <c r="G11" s="502">
        <f t="shared" si="0"/>
        <v>76</v>
      </c>
      <c r="H11" s="502">
        <f t="shared" si="1"/>
        <v>63.333333333333336</v>
      </c>
      <c r="I11" s="47" t="s">
        <v>19</v>
      </c>
      <c r="J11" s="46" t="s">
        <v>230</v>
      </c>
    </row>
    <row r="12" spans="1:10" ht="15.75" x14ac:dyDescent="0.25">
      <c r="A12" s="590"/>
      <c r="B12" s="500" t="s">
        <v>1747</v>
      </c>
      <c r="C12" s="503" t="s">
        <v>1748</v>
      </c>
      <c r="D12" s="502" t="s">
        <v>54</v>
      </c>
      <c r="E12" s="503">
        <v>2</v>
      </c>
      <c r="F12" s="503">
        <v>2</v>
      </c>
      <c r="G12" s="502">
        <f t="shared" si="0"/>
        <v>38</v>
      </c>
      <c r="H12" s="502">
        <f t="shared" si="1"/>
        <v>31.666666666666668</v>
      </c>
      <c r="I12" s="47" t="s">
        <v>19</v>
      </c>
      <c r="J12" s="46" t="s">
        <v>232</v>
      </c>
    </row>
    <row r="13" spans="1:10" ht="15.75" x14ac:dyDescent="0.25">
      <c r="A13" s="590" t="s">
        <v>321</v>
      </c>
      <c r="B13" s="500" t="s">
        <v>922</v>
      </c>
      <c r="C13" s="501" t="s">
        <v>1750</v>
      </c>
      <c r="D13" s="502" t="s">
        <v>54</v>
      </c>
      <c r="E13" s="503">
        <v>2</v>
      </c>
      <c r="F13" s="503">
        <v>4</v>
      </c>
      <c r="G13" s="502">
        <f t="shared" si="0"/>
        <v>76</v>
      </c>
      <c r="H13" s="502">
        <f t="shared" si="1"/>
        <v>63.333333333333336</v>
      </c>
      <c r="I13" s="47" t="s">
        <v>19</v>
      </c>
      <c r="J13" s="46" t="s">
        <v>231</v>
      </c>
    </row>
    <row r="14" spans="1:10" ht="15.75" x14ac:dyDescent="0.25">
      <c r="A14" s="590"/>
      <c r="B14" s="500" t="s">
        <v>1751</v>
      </c>
      <c r="C14" s="501" t="s">
        <v>1752</v>
      </c>
      <c r="D14" s="502" t="s">
        <v>54</v>
      </c>
      <c r="E14" s="503">
        <v>2</v>
      </c>
      <c r="F14" s="503">
        <v>2</v>
      </c>
      <c r="G14" s="502">
        <f t="shared" si="0"/>
        <v>38</v>
      </c>
      <c r="H14" s="502">
        <f t="shared" si="1"/>
        <v>31.666666666666668</v>
      </c>
      <c r="I14" s="47" t="s">
        <v>19</v>
      </c>
      <c r="J14" s="46" t="s">
        <v>232</v>
      </c>
    </row>
    <row r="15" spans="1:10" ht="15.75" x14ac:dyDescent="0.25">
      <c r="A15" s="590"/>
      <c r="B15" s="500" t="s">
        <v>1753</v>
      </c>
      <c r="C15" s="501" t="s">
        <v>1754</v>
      </c>
      <c r="D15" s="502" t="s">
        <v>54</v>
      </c>
      <c r="E15" s="503">
        <v>2</v>
      </c>
      <c r="F15" s="503">
        <v>2</v>
      </c>
      <c r="G15" s="502">
        <f t="shared" si="0"/>
        <v>38</v>
      </c>
      <c r="H15" s="502">
        <f t="shared" si="1"/>
        <v>31.666666666666668</v>
      </c>
      <c r="I15" s="47" t="s">
        <v>19</v>
      </c>
      <c r="J15" s="46" t="s">
        <v>232</v>
      </c>
    </row>
    <row r="16" spans="1:10" ht="31.5" x14ac:dyDescent="0.25">
      <c r="A16" s="590"/>
      <c r="B16" s="500" t="s">
        <v>1755</v>
      </c>
      <c r="C16" s="501" t="s">
        <v>1756</v>
      </c>
      <c r="D16" s="502" t="s">
        <v>54</v>
      </c>
      <c r="E16" s="503">
        <v>1</v>
      </c>
      <c r="F16" s="503">
        <v>4</v>
      </c>
      <c r="G16" s="502">
        <f t="shared" si="0"/>
        <v>76</v>
      </c>
      <c r="H16" s="502">
        <f t="shared" si="1"/>
        <v>63.333333333333336</v>
      </c>
      <c r="I16" s="47" t="s">
        <v>19</v>
      </c>
      <c r="J16" s="46" t="s">
        <v>230</v>
      </c>
    </row>
    <row r="17" spans="1:10" ht="31.5" x14ac:dyDescent="0.25">
      <c r="A17" s="590"/>
      <c r="B17" s="500" t="s">
        <v>1757</v>
      </c>
      <c r="C17" s="501" t="s">
        <v>1438</v>
      </c>
      <c r="D17" s="502" t="s">
        <v>60</v>
      </c>
      <c r="E17" s="503">
        <v>1</v>
      </c>
      <c r="F17" s="503">
        <v>2</v>
      </c>
      <c r="G17" s="502">
        <f t="shared" si="0"/>
        <v>38</v>
      </c>
      <c r="H17" s="502">
        <f t="shared" si="1"/>
        <v>31.666666666666668</v>
      </c>
      <c r="I17" s="47" t="s">
        <v>19</v>
      </c>
      <c r="J17" s="46" t="s">
        <v>251</v>
      </c>
    </row>
    <row r="18" spans="1:10" ht="15.75" x14ac:dyDescent="0.25">
      <c r="A18" s="590"/>
      <c r="B18" s="500" t="s">
        <v>1758</v>
      </c>
      <c r="C18" s="501" t="s">
        <v>1759</v>
      </c>
      <c r="D18" s="502" t="s">
        <v>54</v>
      </c>
      <c r="E18" s="503">
        <v>2</v>
      </c>
      <c r="F18" s="503">
        <v>4</v>
      </c>
      <c r="G18" s="502">
        <f t="shared" si="0"/>
        <v>76</v>
      </c>
      <c r="H18" s="502">
        <f t="shared" si="1"/>
        <v>63.333333333333336</v>
      </c>
      <c r="I18" s="47" t="s">
        <v>19</v>
      </c>
      <c r="J18" s="46" t="s">
        <v>232</v>
      </c>
    </row>
    <row r="19" spans="1:10" ht="31.5" x14ac:dyDescent="0.25">
      <c r="A19" s="590"/>
      <c r="B19" s="500" t="s">
        <v>1760</v>
      </c>
      <c r="C19" s="501" t="s">
        <v>1761</v>
      </c>
      <c r="D19" s="502" t="s">
        <v>60</v>
      </c>
      <c r="E19" s="503">
        <v>1</v>
      </c>
      <c r="F19" s="503">
        <v>2</v>
      </c>
      <c r="G19" s="502">
        <f t="shared" si="0"/>
        <v>38</v>
      </c>
      <c r="H19" s="502">
        <f t="shared" si="1"/>
        <v>31.666666666666668</v>
      </c>
      <c r="I19" s="108" t="s">
        <v>315</v>
      </c>
      <c r="J19" s="46" t="s">
        <v>230</v>
      </c>
    </row>
    <row r="20" spans="1:10" ht="15.75" x14ac:dyDescent="0.25">
      <c r="A20" s="590" t="s">
        <v>323</v>
      </c>
      <c r="B20" s="500" t="s">
        <v>1762</v>
      </c>
      <c r="C20" s="501" t="s">
        <v>1763</v>
      </c>
      <c r="D20" s="502" t="s">
        <v>60</v>
      </c>
      <c r="E20" s="503">
        <v>1</v>
      </c>
      <c r="F20" s="503">
        <v>2</v>
      </c>
      <c r="G20" s="502">
        <f t="shared" si="0"/>
        <v>38</v>
      </c>
      <c r="H20" s="502">
        <f t="shared" si="1"/>
        <v>31.666666666666668</v>
      </c>
      <c r="I20" s="47" t="s">
        <v>19</v>
      </c>
      <c r="J20" s="46" t="s">
        <v>230</v>
      </c>
    </row>
    <row r="21" spans="1:10" ht="15.75" x14ac:dyDescent="0.25">
      <c r="A21" s="590"/>
      <c r="B21" s="500" t="s">
        <v>976</v>
      </c>
      <c r="C21" s="501" t="s">
        <v>1764</v>
      </c>
      <c r="D21" s="502" t="s">
        <v>54</v>
      </c>
      <c r="E21" s="503">
        <v>2</v>
      </c>
      <c r="F21" s="503">
        <v>4</v>
      </c>
      <c r="G21" s="502">
        <f t="shared" si="0"/>
        <v>76</v>
      </c>
      <c r="H21" s="502">
        <f t="shared" si="1"/>
        <v>63.333333333333336</v>
      </c>
      <c r="I21" s="47" t="s">
        <v>19</v>
      </c>
      <c r="J21" s="46" t="s">
        <v>232</v>
      </c>
    </row>
    <row r="22" spans="1:10" ht="15.75" x14ac:dyDescent="0.25">
      <c r="A22" s="590"/>
      <c r="B22" s="500" t="s">
        <v>1765</v>
      </c>
      <c r="C22" s="501" t="s">
        <v>1766</v>
      </c>
      <c r="D22" s="502" t="s">
        <v>54</v>
      </c>
      <c r="E22" s="503">
        <v>2</v>
      </c>
      <c r="F22" s="503">
        <v>2</v>
      </c>
      <c r="G22" s="502">
        <f t="shared" si="0"/>
        <v>38</v>
      </c>
      <c r="H22" s="502">
        <f t="shared" si="1"/>
        <v>31.666666666666668</v>
      </c>
      <c r="I22" s="47" t="s">
        <v>19</v>
      </c>
      <c r="J22" s="46" t="s">
        <v>231</v>
      </c>
    </row>
    <row r="23" spans="1:10" ht="31.5" x14ac:dyDescent="0.25">
      <c r="A23" s="590"/>
      <c r="B23" s="500" t="s">
        <v>1767</v>
      </c>
      <c r="C23" s="501" t="s">
        <v>1768</v>
      </c>
      <c r="D23" s="502" t="s">
        <v>54</v>
      </c>
      <c r="E23" s="503">
        <v>1</v>
      </c>
      <c r="F23" s="503">
        <v>2</v>
      </c>
      <c r="G23" s="502">
        <f t="shared" si="0"/>
        <v>38</v>
      </c>
      <c r="H23" s="502">
        <f t="shared" si="1"/>
        <v>31.666666666666668</v>
      </c>
      <c r="I23" s="47" t="s">
        <v>19</v>
      </c>
      <c r="J23" s="46" t="s">
        <v>230</v>
      </c>
    </row>
    <row r="24" spans="1:10" ht="15.75" x14ac:dyDescent="0.25">
      <c r="A24" s="590"/>
      <c r="B24" s="500" t="s">
        <v>1769</v>
      </c>
      <c r="C24" s="501" t="s">
        <v>1770</v>
      </c>
      <c r="D24" s="502" t="s">
        <v>54</v>
      </c>
      <c r="E24" s="503">
        <v>2</v>
      </c>
      <c r="F24" s="503">
        <v>2</v>
      </c>
      <c r="G24" s="502">
        <f t="shared" si="0"/>
        <v>38</v>
      </c>
      <c r="H24" s="502">
        <f t="shared" si="1"/>
        <v>31.666666666666668</v>
      </c>
      <c r="I24" s="47" t="s">
        <v>19</v>
      </c>
      <c r="J24" s="46" t="s">
        <v>231</v>
      </c>
    </row>
    <row r="25" spans="1:10" ht="15.75" x14ac:dyDescent="0.25">
      <c r="A25" s="590"/>
      <c r="B25" s="500" t="s">
        <v>1771</v>
      </c>
      <c r="C25" s="501" t="s">
        <v>1772</v>
      </c>
      <c r="D25" s="502" t="s">
        <v>54</v>
      </c>
      <c r="E25" s="503">
        <v>1</v>
      </c>
      <c r="F25" s="503">
        <v>2</v>
      </c>
      <c r="G25" s="502">
        <f t="shared" si="0"/>
        <v>38</v>
      </c>
      <c r="H25" s="502">
        <f t="shared" si="1"/>
        <v>31.666666666666668</v>
      </c>
      <c r="I25" s="47" t="s">
        <v>19</v>
      </c>
      <c r="J25" s="46" t="s">
        <v>232</v>
      </c>
    </row>
    <row r="26" spans="1:10" ht="15.75" x14ac:dyDescent="0.25">
      <c r="A26" s="590"/>
      <c r="B26" s="500" t="s">
        <v>1773</v>
      </c>
      <c r="C26" s="501" t="s">
        <v>1774</v>
      </c>
      <c r="D26" s="502" t="s">
        <v>54</v>
      </c>
      <c r="E26" s="503">
        <v>2</v>
      </c>
      <c r="F26" s="503">
        <v>4</v>
      </c>
      <c r="G26" s="502">
        <f t="shared" si="0"/>
        <v>76</v>
      </c>
      <c r="H26" s="502">
        <f t="shared" si="1"/>
        <v>63.333333333333336</v>
      </c>
      <c r="I26" s="47" t="s">
        <v>19</v>
      </c>
      <c r="J26" s="46" t="s">
        <v>232</v>
      </c>
    </row>
    <row r="27" spans="1:10" ht="15.75" x14ac:dyDescent="0.25">
      <c r="A27" s="590"/>
      <c r="B27" s="500" t="s">
        <v>1775</v>
      </c>
      <c r="C27" s="501" t="s">
        <v>1615</v>
      </c>
      <c r="D27" s="502" t="s">
        <v>54</v>
      </c>
      <c r="E27" s="503">
        <v>1</v>
      </c>
      <c r="F27" s="503">
        <v>2</v>
      </c>
      <c r="G27" s="502">
        <f t="shared" si="0"/>
        <v>38</v>
      </c>
      <c r="H27" s="502">
        <f t="shared" si="1"/>
        <v>31.666666666666668</v>
      </c>
      <c r="I27" s="47" t="s">
        <v>19</v>
      </c>
      <c r="J27" s="46" t="s">
        <v>231</v>
      </c>
    </row>
    <row r="28" spans="1:10" ht="15.75" x14ac:dyDescent="0.25">
      <c r="A28" s="590" t="s">
        <v>311</v>
      </c>
      <c r="B28" s="500" t="s">
        <v>974</v>
      </c>
      <c r="C28" s="501" t="s">
        <v>1776</v>
      </c>
      <c r="D28" s="502" t="s">
        <v>60</v>
      </c>
      <c r="E28" s="503">
        <v>1</v>
      </c>
      <c r="F28" s="503">
        <v>2</v>
      </c>
      <c r="G28" s="502">
        <f t="shared" si="0"/>
        <v>38</v>
      </c>
      <c r="H28" s="502">
        <f t="shared" si="1"/>
        <v>31.666666666666668</v>
      </c>
      <c r="I28" s="47" t="s">
        <v>19</v>
      </c>
      <c r="J28" s="46" t="s">
        <v>230</v>
      </c>
    </row>
    <row r="29" spans="1:10" ht="15.75" x14ac:dyDescent="0.25">
      <c r="A29" s="590"/>
      <c r="B29" s="500" t="s">
        <v>1777</v>
      </c>
      <c r="C29" s="501" t="s">
        <v>1778</v>
      </c>
      <c r="D29" s="502" t="s">
        <v>54</v>
      </c>
      <c r="E29" s="503">
        <v>1</v>
      </c>
      <c r="F29" s="503">
        <v>2</v>
      </c>
      <c r="G29" s="502">
        <f t="shared" si="0"/>
        <v>38</v>
      </c>
      <c r="H29" s="502">
        <f t="shared" si="1"/>
        <v>31.666666666666668</v>
      </c>
      <c r="I29" s="47" t="s">
        <v>19</v>
      </c>
      <c r="J29" s="46" t="s">
        <v>232</v>
      </c>
    </row>
    <row r="30" spans="1:10" ht="15.75" x14ac:dyDescent="0.25">
      <c r="A30" s="590"/>
      <c r="B30" s="500" t="s">
        <v>1779</v>
      </c>
      <c r="C30" s="501" t="s">
        <v>1780</v>
      </c>
      <c r="D30" s="502" t="s">
        <v>60</v>
      </c>
      <c r="E30" s="503">
        <v>1</v>
      </c>
      <c r="F30" s="503">
        <v>2</v>
      </c>
      <c r="G30" s="502">
        <f t="shared" si="0"/>
        <v>38</v>
      </c>
      <c r="H30" s="502">
        <f t="shared" si="1"/>
        <v>31.666666666666668</v>
      </c>
      <c r="I30" s="47" t="s">
        <v>19</v>
      </c>
      <c r="J30" s="46" t="s">
        <v>230</v>
      </c>
    </row>
    <row r="31" spans="1:10" ht="15.75" x14ac:dyDescent="0.25">
      <c r="A31" s="590"/>
      <c r="B31" s="500" t="s">
        <v>1781</v>
      </c>
      <c r="C31" s="501" t="s">
        <v>1782</v>
      </c>
      <c r="D31" s="502" t="s">
        <v>60</v>
      </c>
      <c r="E31" s="503">
        <v>1</v>
      </c>
      <c r="F31" s="503">
        <v>2</v>
      </c>
      <c r="G31" s="502">
        <f t="shared" si="0"/>
        <v>38</v>
      </c>
      <c r="H31" s="502">
        <f t="shared" si="1"/>
        <v>31.666666666666668</v>
      </c>
      <c r="I31" s="47" t="s">
        <v>19</v>
      </c>
      <c r="J31" s="46" t="s">
        <v>230</v>
      </c>
    </row>
    <row r="32" spans="1:10" ht="15.75" x14ac:dyDescent="0.25">
      <c r="A32" s="590"/>
      <c r="B32" s="500" t="s">
        <v>1783</v>
      </c>
      <c r="C32" s="501" t="s">
        <v>1629</v>
      </c>
      <c r="D32" s="502" t="s">
        <v>54</v>
      </c>
      <c r="E32" s="503">
        <v>1</v>
      </c>
      <c r="F32" s="503">
        <v>4</v>
      </c>
      <c r="G32" s="502">
        <f t="shared" si="0"/>
        <v>76</v>
      </c>
      <c r="H32" s="502">
        <f t="shared" si="1"/>
        <v>63.333333333333336</v>
      </c>
      <c r="I32" s="47" t="s">
        <v>19</v>
      </c>
      <c r="J32" s="46" t="s">
        <v>231</v>
      </c>
    </row>
    <row r="33" spans="1:10" ht="15.75" x14ac:dyDescent="0.25">
      <c r="A33" s="590"/>
      <c r="B33" s="500" t="s">
        <v>1784</v>
      </c>
      <c r="C33" s="501" t="s">
        <v>1785</v>
      </c>
      <c r="D33" s="502" t="s">
        <v>54</v>
      </c>
      <c r="E33" s="503">
        <v>1</v>
      </c>
      <c r="F33" s="503">
        <v>4</v>
      </c>
      <c r="G33" s="502">
        <f t="shared" si="0"/>
        <v>76</v>
      </c>
      <c r="H33" s="502">
        <f t="shared" si="1"/>
        <v>63.333333333333336</v>
      </c>
      <c r="I33" s="47" t="s">
        <v>19</v>
      </c>
      <c r="J33" s="46" t="s">
        <v>232</v>
      </c>
    </row>
    <row r="34" spans="1:10" ht="16.5" thickBot="1" x14ac:dyDescent="0.3">
      <c r="A34" s="590"/>
      <c r="B34" s="500" t="s">
        <v>1786</v>
      </c>
      <c r="C34" s="501" t="s">
        <v>1787</v>
      </c>
      <c r="D34" s="502" t="s">
        <v>54</v>
      </c>
      <c r="E34" s="503">
        <v>1</v>
      </c>
      <c r="F34" s="503">
        <v>4</v>
      </c>
      <c r="G34" s="502">
        <f t="shared" si="0"/>
        <v>76</v>
      </c>
      <c r="H34" s="502">
        <f t="shared" si="1"/>
        <v>63.333333333333336</v>
      </c>
      <c r="I34" s="47" t="s">
        <v>19</v>
      </c>
      <c r="J34" s="46" t="s">
        <v>232</v>
      </c>
    </row>
    <row r="35" spans="1:10" ht="16.5" thickBot="1" x14ac:dyDescent="0.3">
      <c r="A35" s="508" t="s">
        <v>303</v>
      </c>
      <c r="B35" s="508"/>
      <c r="C35" s="508"/>
      <c r="D35" s="508"/>
      <c r="E35" s="508"/>
      <c r="F35" s="350">
        <f>SUM(F5:F34)</f>
        <v>80</v>
      </c>
      <c r="G35" s="53" t="s">
        <v>304</v>
      </c>
      <c r="H35" s="350">
        <f>SUM(H5:H34)</f>
        <v>1266.6666666666663</v>
      </c>
    </row>
    <row r="36" spans="1:10" ht="16.5" thickBot="1" x14ac:dyDescent="0.3">
      <c r="A36" s="61" t="s">
        <v>305</v>
      </c>
      <c r="B36" s="63"/>
      <c r="C36" s="63"/>
      <c r="D36" s="63"/>
      <c r="E36" s="63"/>
      <c r="F36" s="63"/>
      <c r="G36" s="64"/>
      <c r="H36" s="56">
        <f>H35</f>
        <v>1266.6666666666663</v>
      </c>
    </row>
    <row r="37" spans="1:10" ht="16.5" thickBot="1" x14ac:dyDescent="0.3">
      <c r="A37" s="533" t="s">
        <v>306</v>
      </c>
      <c r="B37" s="533"/>
      <c r="C37" s="533"/>
      <c r="D37" s="533"/>
      <c r="E37" s="533"/>
      <c r="F37" s="533"/>
      <c r="G37" s="533"/>
      <c r="H37" s="58">
        <v>360</v>
      </c>
    </row>
    <row r="38" spans="1:10" ht="16.5" thickBot="1" x14ac:dyDescent="0.3">
      <c r="A38" s="62" t="s">
        <v>308</v>
      </c>
      <c r="B38" s="76"/>
      <c r="C38" s="77"/>
      <c r="D38" s="77"/>
      <c r="E38" s="77"/>
      <c r="F38" s="77"/>
      <c r="G38" s="77"/>
      <c r="H38" s="55">
        <f>SUM(H36+H37)</f>
        <v>1626.6666666666663</v>
      </c>
    </row>
    <row r="39" spans="1:10" ht="15.75" x14ac:dyDescent="0.25">
      <c r="A39" s="532" t="s">
        <v>309</v>
      </c>
      <c r="B39" s="532"/>
      <c r="C39" s="78">
        <v>50</v>
      </c>
      <c r="D39" s="79" t="s">
        <v>310</v>
      </c>
      <c r="E39" s="79"/>
      <c r="F39" s="79"/>
      <c r="G39" s="79"/>
      <c r="H39" s="80"/>
    </row>
  </sheetData>
  <mergeCells count="12">
    <mergeCell ref="A5:A12"/>
    <mergeCell ref="A2:C2"/>
    <mergeCell ref="B3:B4"/>
    <mergeCell ref="C3:C4"/>
    <mergeCell ref="I3:I4"/>
    <mergeCell ref="J3:J4"/>
    <mergeCell ref="A37:G37"/>
    <mergeCell ref="A39:B39"/>
    <mergeCell ref="A13:A19"/>
    <mergeCell ref="A20:A27"/>
    <mergeCell ref="A28:A34"/>
    <mergeCell ref="A35:E35"/>
  </mergeCells>
  <dataValidations count="2">
    <dataValidation type="list" allowBlank="1" showInputMessage="1" showErrorMessage="1" sqref="I1:I34" xr:uid="{745AA08F-A45A-422C-97A6-3D3AA6BC7CB0}">
      <formula1>Áreas</formula1>
    </dataValidation>
    <dataValidation type="list" allowBlank="1" showInputMessage="1" showErrorMessage="1" sqref="J5:J34" xr:uid="{F1994386-2AC4-42BB-95C7-6CE8898715AF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47">
    <tabColor theme="7" tint="-0.249977111117893"/>
  </sheetPr>
  <dimension ref="A1:J17"/>
  <sheetViews>
    <sheetView workbookViewId="0">
      <selection activeCell="J34" sqref="J34"/>
    </sheetView>
  </sheetViews>
  <sheetFormatPr defaultColWidth="9.140625" defaultRowHeight="15" x14ac:dyDescent="0.25"/>
  <cols>
    <col min="2" max="2" width="51.4257812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1275</v>
      </c>
      <c r="B2" s="513"/>
      <c r="C2" s="513"/>
      <c r="D2" s="513"/>
      <c r="E2" s="513"/>
      <c r="F2" s="38">
        <v>19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ht="15.75" thickBot="1" x14ac:dyDescent="0.3">
      <c r="A4" s="292"/>
      <c r="B4" s="578"/>
      <c r="C4" s="578"/>
      <c r="D4" s="293" t="s">
        <v>244</v>
      </c>
      <c r="E4" s="293" t="s">
        <v>245</v>
      </c>
      <c r="F4" s="293" t="s">
        <v>246</v>
      </c>
      <c r="G4" s="293" t="s">
        <v>247</v>
      </c>
      <c r="H4" s="293" t="s">
        <v>248</v>
      </c>
      <c r="I4" s="578"/>
      <c r="J4" s="578"/>
    </row>
    <row r="5" spans="1:10" ht="15" customHeight="1" x14ac:dyDescent="0.25">
      <c r="A5" s="579" t="s">
        <v>318</v>
      </c>
      <c r="B5" s="310" t="s">
        <v>1205</v>
      </c>
      <c r="C5" s="311"/>
      <c r="D5" s="312" t="s">
        <v>60</v>
      </c>
      <c r="E5" s="313">
        <v>1</v>
      </c>
      <c r="F5" s="312">
        <v>1</v>
      </c>
      <c r="G5" s="314">
        <f>SUM(F5:F5)*$F$2</f>
        <v>19</v>
      </c>
      <c r="H5" s="315">
        <f>(G5)*$C$13/60</f>
        <v>15.833333333333334</v>
      </c>
      <c r="I5" s="316" t="s">
        <v>19</v>
      </c>
      <c r="J5" s="317" t="s">
        <v>230</v>
      </c>
    </row>
    <row r="6" spans="1:10" ht="15" customHeight="1" thickBot="1" x14ac:dyDescent="0.3">
      <c r="A6" s="580"/>
      <c r="B6" s="318" t="s">
        <v>1209</v>
      </c>
      <c r="C6" s="319"/>
      <c r="D6" s="320" t="s">
        <v>60</v>
      </c>
      <c r="E6" s="321">
        <v>1</v>
      </c>
      <c r="F6" s="320">
        <v>2</v>
      </c>
      <c r="G6" s="322">
        <f>SUM(F6:F6)*$F$2</f>
        <v>38</v>
      </c>
      <c r="H6" s="323">
        <f>(G6)*$C$13/60</f>
        <v>31.666666666666668</v>
      </c>
      <c r="I6" s="324" t="s">
        <v>19</v>
      </c>
      <c r="J6" s="325" t="s">
        <v>230</v>
      </c>
    </row>
    <row r="7" spans="1:10" ht="15" customHeight="1" x14ac:dyDescent="0.25">
      <c r="A7" s="581" t="s">
        <v>724</v>
      </c>
      <c r="B7" s="294" t="s">
        <v>1279</v>
      </c>
      <c r="C7" s="295"/>
      <c r="D7" s="296" t="s">
        <v>60</v>
      </c>
      <c r="E7" s="297">
        <v>1</v>
      </c>
      <c r="F7" s="296">
        <v>1</v>
      </c>
      <c r="G7" s="298">
        <f>SUM(F7:F7)*$F$2</f>
        <v>19</v>
      </c>
      <c r="H7" s="299">
        <f>(G7)*$C$13/60</f>
        <v>15.833333333333334</v>
      </c>
      <c r="I7" s="300" t="s">
        <v>19</v>
      </c>
      <c r="J7" s="301" t="s">
        <v>230</v>
      </c>
    </row>
    <row r="8" spans="1:10" ht="15" customHeight="1" thickBot="1" x14ac:dyDescent="0.3">
      <c r="A8" s="582"/>
      <c r="B8" s="302" t="s">
        <v>1277</v>
      </c>
      <c r="C8" s="303"/>
      <c r="D8" s="304" t="s">
        <v>60</v>
      </c>
      <c r="E8" s="305">
        <v>1</v>
      </c>
      <c r="F8" s="304">
        <v>2</v>
      </c>
      <c r="G8" s="306">
        <f>SUM(F8:F8)*$F$2</f>
        <v>38</v>
      </c>
      <c r="H8" s="307">
        <f>(G8)*$C$13/60</f>
        <v>31.666666666666668</v>
      </c>
      <c r="I8" s="308" t="s">
        <v>19</v>
      </c>
      <c r="J8" s="309" t="s">
        <v>230</v>
      </c>
    </row>
    <row r="9" spans="1:10" ht="15" customHeight="1" thickBot="1" x14ac:dyDescent="0.3">
      <c r="A9" s="579" t="s">
        <v>323</v>
      </c>
      <c r="B9" s="310" t="s">
        <v>1278</v>
      </c>
      <c r="C9" s="311"/>
      <c r="D9" s="312" t="s">
        <v>54</v>
      </c>
      <c r="E9" s="313">
        <v>1</v>
      </c>
      <c r="F9" s="312">
        <v>3</v>
      </c>
      <c r="G9" s="314">
        <f>SUM(F9:F9)*$F$2</f>
        <v>57</v>
      </c>
      <c r="H9" s="315">
        <f>(G9)*$C$13/60</f>
        <v>47.5</v>
      </c>
      <c r="I9" s="316" t="s">
        <v>19</v>
      </c>
      <c r="J9" s="317" t="s">
        <v>232</v>
      </c>
    </row>
    <row r="10" spans="1:10" ht="15" customHeight="1" thickBot="1" x14ac:dyDescent="0.3">
      <c r="A10" s="580"/>
      <c r="B10" s="294"/>
      <c r="C10" s="319"/>
      <c r="D10" s="320"/>
      <c r="E10" s="321"/>
      <c r="F10" s="320"/>
      <c r="G10" s="322"/>
      <c r="H10" s="323"/>
      <c r="I10" s="324"/>
      <c r="J10" s="325"/>
    </row>
    <row r="11" spans="1:10" ht="15" customHeight="1" thickBot="1" x14ac:dyDescent="0.3">
      <c r="A11" s="579" t="s">
        <v>311</v>
      </c>
      <c r="B11" s="294" t="s">
        <v>1276</v>
      </c>
      <c r="C11" s="319"/>
      <c r="D11" s="320" t="s">
        <v>54</v>
      </c>
      <c r="E11" s="321">
        <v>1</v>
      </c>
      <c r="F11" s="320">
        <v>3</v>
      </c>
      <c r="G11" s="378">
        <f>SUM(F11:F11)*$F$2</f>
        <v>57</v>
      </c>
      <c r="H11" s="379">
        <f>(G11)*$C$13/60</f>
        <v>47.5</v>
      </c>
      <c r="I11" s="324" t="s">
        <v>19</v>
      </c>
      <c r="J11" s="325" t="s">
        <v>232</v>
      </c>
    </row>
    <row r="12" spans="1:10" ht="15" customHeight="1" thickBot="1" x14ac:dyDescent="0.3">
      <c r="A12" s="580"/>
      <c r="B12" s="294"/>
      <c r="C12" s="319"/>
      <c r="D12" s="320"/>
      <c r="E12" s="321"/>
      <c r="F12" s="320"/>
      <c r="G12" s="376"/>
      <c r="H12" s="377"/>
      <c r="I12" s="324"/>
      <c r="J12" s="325"/>
    </row>
    <row r="13" spans="1:10" ht="16.5" thickBot="1" x14ac:dyDescent="0.3">
      <c r="A13" s="62" t="s">
        <v>303</v>
      </c>
      <c r="B13" s="326"/>
      <c r="C13" s="327">
        <v>50</v>
      </c>
      <c r="D13" s="328" t="s">
        <v>310</v>
      </c>
      <c r="E13" s="328"/>
      <c r="F13" s="328"/>
      <c r="G13" s="328"/>
      <c r="H13" s="329"/>
      <c r="I13" s="36"/>
    </row>
    <row r="14" spans="1:10" ht="16.5" thickBot="1" x14ac:dyDescent="0.3">
      <c r="A14" s="61" t="s">
        <v>305</v>
      </c>
    </row>
    <row r="15" spans="1:10" ht="16.5" thickBot="1" x14ac:dyDescent="0.3">
      <c r="A15" s="115" t="s">
        <v>306</v>
      </c>
    </row>
    <row r="16" spans="1:10" ht="16.5" thickBot="1" x14ac:dyDescent="0.3">
      <c r="A16" s="62" t="s">
        <v>308</v>
      </c>
    </row>
    <row r="17" spans="1:1" ht="15.75" x14ac:dyDescent="0.25">
      <c r="A17" s="114" t="s">
        <v>309</v>
      </c>
    </row>
  </sheetData>
  <mergeCells count="9">
    <mergeCell ref="I3:I4"/>
    <mergeCell ref="J3:J4"/>
    <mergeCell ref="A5:A6"/>
    <mergeCell ref="A7:A8"/>
    <mergeCell ref="A9:A10"/>
    <mergeCell ref="A11:A12"/>
    <mergeCell ref="A2:E2"/>
    <mergeCell ref="B3:B4"/>
    <mergeCell ref="C3:C4"/>
  </mergeCells>
  <dataValidations count="2">
    <dataValidation type="list" allowBlank="1" showInputMessage="1" showErrorMessage="1" sqref="J1:J1048576" xr:uid="{00000000-0002-0000-1900-000000000000}">
      <formula1>Ambientes</formula1>
    </dataValidation>
    <dataValidation type="list" allowBlank="1" showInputMessage="1" showErrorMessage="1" sqref="I1:I1048576" xr:uid="{00000000-0002-0000-19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37">
    <tabColor theme="7" tint="-0.249977111117893"/>
  </sheetPr>
  <dimension ref="A1:J17"/>
  <sheetViews>
    <sheetView workbookViewId="0">
      <selection activeCell="I20" sqref="I20"/>
    </sheetView>
  </sheetViews>
  <sheetFormatPr defaultColWidth="9.140625" defaultRowHeight="15" x14ac:dyDescent="0.25"/>
  <cols>
    <col min="2" max="2" width="51.4257812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1210</v>
      </c>
      <c r="B2" s="513"/>
      <c r="C2" s="513"/>
      <c r="D2" s="513"/>
      <c r="E2" s="513"/>
      <c r="F2" s="38">
        <v>19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ht="15.75" thickBot="1" x14ac:dyDescent="0.3">
      <c r="A4" s="292"/>
      <c r="B4" s="578"/>
      <c r="C4" s="578"/>
      <c r="D4" s="293" t="s">
        <v>244</v>
      </c>
      <c r="E4" s="293" t="s">
        <v>245</v>
      </c>
      <c r="F4" s="293" t="s">
        <v>246</v>
      </c>
      <c r="G4" s="293" t="s">
        <v>247</v>
      </c>
      <c r="H4" s="293" t="s">
        <v>248</v>
      </c>
      <c r="I4" s="578"/>
      <c r="J4" s="578"/>
    </row>
    <row r="5" spans="1:10" ht="15" customHeight="1" x14ac:dyDescent="0.25">
      <c r="A5" s="579" t="s">
        <v>318</v>
      </c>
      <c r="B5" s="310" t="s">
        <v>1205</v>
      </c>
      <c r="C5" s="311"/>
      <c r="D5" s="312" t="s">
        <v>60</v>
      </c>
      <c r="E5" s="313">
        <v>1</v>
      </c>
      <c r="F5" s="312">
        <v>1</v>
      </c>
      <c r="G5" s="314">
        <f>SUM(F5:F5)*$F$2</f>
        <v>19</v>
      </c>
      <c r="H5" s="315">
        <f>(G5)*$C$13/60</f>
        <v>15.833333333333334</v>
      </c>
      <c r="I5" s="316" t="s">
        <v>19</v>
      </c>
      <c r="J5" s="317" t="s">
        <v>230</v>
      </c>
    </row>
    <row r="6" spans="1:10" ht="15" customHeight="1" thickBot="1" x14ac:dyDescent="0.3">
      <c r="A6" s="580"/>
      <c r="B6" s="318" t="s">
        <v>1209</v>
      </c>
      <c r="C6" s="319"/>
      <c r="D6" s="320" t="s">
        <v>60</v>
      </c>
      <c r="E6" s="321">
        <v>1</v>
      </c>
      <c r="F6" s="320">
        <v>2</v>
      </c>
      <c r="G6" s="322">
        <f>SUM(F6:F6)*$F$2</f>
        <v>38</v>
      </c>
      <c r="H6" s="323">
        <f>(G6)*$C$13/60</f>
        <v>31.666666666666668</v>
      </c>
      <c r="I6" s="324" t="s">
        <v>19</v>
      </c>
      <c r="J6" s="325" t="s">
        <v>230</v>
      </c>
    </row>
    <row r="7" spans="1:10" ht="15" customHeight="1" x14ac:dyDescent="0.25">
      <c r="A7" s="581" t="s">
        <v>724</v>
      </c>
      <c r="B7" s="294" t="s">
        <v>1206</v>
      </c>
      <c r="C7" s="295"/>
      <c r="D7" s="296" t="s">
        <v>60</v>
      </c>
      <c r="E7" s="297">
        <v>1</v>
      </c>
      <c r="F7" s="296">
        <v>2</v>
      </c>
      <c r="G7" s="298">
        <f>SUM(F7:F7)*$F$2</f>
        <v>38</v>
      </c>
      <c r="H7" s="299">
        <f>(G7)*$C$13/60</f>
        <v>31.666666666666668</v>
      </c>
      <c r="I7" s="300" t="s">
        <v>19</v>
      </c>
      <c r="J7" s="301" t="s">
        <v>230</v>
      </c>
    </row>
    <row r="8" spans="1:10" ht="15" customHeight="1" thickBot="1" x14ac:dyDescent="0.3">
      <c r="A8" s="582"/>
      <c r="B8" s="302" t="s">
        <v>1214</v>
      </c>
      <c r="C8" s="303"/>
      <c r="D8" s="304" t="s">
        <v>60</v>
      </c>
      <c r="E8" s="305">
        <v>1</v>
      </c>
      <c r="F8" s="304">
        <v>1</v>
      </c>
      <c r="G8" s="306">
        <f>SUM(F8:F8)*$F$2</f>
        <v>19</v>
      </c>
      <c r="H8" s="307">
        <f>(G8)*$C$13/60</f>
        <v>15.833333333333334</v>
      </c>
      <c r="I8" s="308" t="s">
        <v>19</v>
      </c>
      <c r="J8" s="309" t="s">
        <v>230</v>
      </c>
    </row>
    <row r="9" spans="1:10" ht="15" customHeight="1" thickBot="1" x14ac:dyDescent="0.3">
      <c r="A9" s="579" t="s">
        <v>323</v>
      </c>
      <c r="B9" s="310" t="s">
        <v>1207</v>
      </c>
      <c r="C9" s="311"/>
      <c r="D9" s="312" t="s">
        <v>54</v>
      </c>
      <c r="E9" s="313">
        <v>1</v>
      </c>
      <c r="F9" s="312">
        <v>3</v>
      </c>
      <c r="G9" s="314">
        <f>SUM(F9:F9)*$F$2</f>
        <v>57</v>
      </c>
      <c r="H9" s="315">
        <f>(G9)*$C$13/60</f>
        <v>47.5</v>
      </c>
      <c r="I9" s="316" t="s">
        <v>19</v>
      </c>
      <c r="J9" s="317" t="s">
        <v>232</v>
      </c>
    </row>
    <row r="10" spans="1:10" ht="15" customHeight="1" thickBot="1" x14ac:dyDescent="0.3">
      <c r="A10" s="580"/>
      <c r="B10" s="294"/>
      <c r="C10" s="319"/>
      <c r="D10" s="320"/>
      <c r="E10" s="321"/>
      <c r="F10" s="320"/>
      <c r="G10" s="322"/>
      <c r="H10" s="323"/>
      <c r="I10" s="324"/>
      <c r="J10" s="325"/>
    </row>
    <row r="11" spans="1:10" ht="15" customHeight="1" thickBot="1" x14ac:dyDescent="0.3">
      <c r="A11" s="579" t="s">
        <v>311</v>
      </c>
      <c r="B11" s="294" t="s">
        <v>1215</v>
      </c>
      <c r="C11" s="319"/>
      <c r="D11" s="320" t="s">
        <v>54</v>
      </c>
      <c r="E11" s="321">
        <v>1</v>
      </c>
      <c r="F11" s="320">
        <v>3</v>
      </c>
      <c r="G11" s="378">
        <f>SUM(F11:F11)*$F$2</f>
        <v>57</v>
      </c>
      <c r="H11" s="379">
        <f>(G11)*$C$13/60</f>
        <v>47.5</v>
      </c>
      <c r="I11" s="324" t="s">
        <v>19</v>
      </c>
      <c r="J11" s="325" t="s">
        <v>232</v>
      </c>
    </row>
    <row r="12" spans="1:10" ht="15" customHeight="1" thickBot="1" x14ac:dyDescent="0.3">
      <c r="A12" s="580"/>
      <c r="B12" s="294"/>
      <c r="C12" s="319"/>
      <c r="D12" s="320"/>
      <c r="E12" s="321"/>
      <c r="F12" s="320"/>
      <c r="G12" s="376"/>
      <c r="H12" s="377"/>
      <c r="I12" s="324"/>
      <c r="J12" s="325"/>
    </row>
    <row r="13" spans="1:10" ht="16.5" thickBot="1" x14ac:dyDescent="0.3">
      <c r="A13" s="62" t="s">
        <v>303</v>
      </c>
      <c r="B13" s="326"/>
      <c r="C13" s="327">
        <v>50</v>
      </c>
      <c r="D13" s="328" t="s">
        <v>310</v>
      </c>
      <c r="E13" s="328"/>
      <c r="F13" s="328"/>
      <c r="G13" s="328"/>
      <c r="H13" s="329"/>
      <c r="I13" s="36"/>
    </row>
    <row r="14" spans="1:10" ht="16.5" thickBot="1" x14ac:dyDescent="0.3">
      <c r="A14" s="61" t="s">
        <v>305</v>
      </c>
    </row>
    <row r="15" spans="1:10" ht="16.5" thickBot="1" x14ac:dyDescent="0.3">
      <c r="A15" s="115" t="s">
        <v>306</v>
      </c>
    </row>
    <row r="16" spans="1:10" ht="16.5" thickBot="1" x14ac:dyDescent="0.3">
      <c r="A16" s="62" t="s">
        <v>308</v>
      </c>
    </row>
    <row r="17" spans="1:1" ht="15.75" x14ac:dyDescent="0.25">
      <c r="A17" s="114" t="s">
        <v>309</v>
      </c>
    </row>
  </sheetData>
  <mergeCells count="9">
    <mergeCell ref="A9:A10"/>
    <mergeCell ref="A5:A6"/>
    <mergeCell ref="A7:A8"/>
    <mergeCell ref="A11:A12"/>
    <mergeCell ref="A2:E2"/>
    <mergeCell ref="B3:B4"/>
    <mergeCell ref="C3:C4"/>
    <mergeCell ref="I3:I4"/>
    <mergeCell ref="J3:J4"/>
  </mergeCells>
  <dataValidations count="2">
    <dataValidation type="list" allowBlank="1" showInputMessage="1" showErrorMessage="1" sqref="I1:I1048576" xr:uid="{00000000-0002-0000-1A00-000000000000}">
      <formula1>Áreas</formula1>
    </dataValidation>
    <dataValidation type="list" allowBlank="1" showInputMessage="1" showErrorMessage="1" sqref="J1:J1048576" xr:uid="{00000000-0002-0000-1A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17">
    <tabColor theme="7" tint="-0.249977111117893"/>
  </sheetPr>
  <dimension ref="A1:J13"/>
  <sheetViews>
    <sheetView workbookViewId="0">
      <selection activeCell="I9" sqref="I9"/>
    </sheetView>
  </sheetViews>
  <sheetFormatPr defaultColWidth="9.140625" defaultRowHeight="15" x14ac:dyDescent="0.25"/>
  <cols>
    <col min="2" max="2" width="31.7109375" customWidth="1"/>
    <col min="9" max="9" width="15.42578125" bestFit="1" customWidth="1"/>
    <col min="10" max="10" width="24.8554687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723</v>
      </c>
      <c r="B2" s="513"/>
      <c r="C2" s="513"/>
      <c r="D2" s="513"/>
      <c r="E2" s="513"/>
      <c r="F2" s="38">
        <v>10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ht="15" customHeight="1" x14ac:dyDescent="0.25">
      <c r="A5" s="515" t="s">
        <v>318</v>
      </c>
      <c r="B5" s="40" t="s">
        <v>19</v>
      </c>
      <c r="C5" s="41"/>
      <c r="D5" s="42" t="s">
        <v>60</v>
      </c>
      <c r="E5" s="43">
        <v>2</v>
      </c>
      <c r="F5" s="42">
        <v>2</v>
      </c>
      <c r="G5" s="44">
        <f>SUM(F5:F5)*$F$2</f>
        <v>20</v>
      </c>
      <c r="H5" s="45">
        <f>(G5)*$C$9/60</f>
        <v>16.666666666666668</v>
      </c>
      <c r="I5" s="47" t="s">
        <v>19</v>
      </c>
      <c r="J5" s="46" t="s">
        <v>232</v>
      </c>
    </row>
    <row r="6" spans="1:10" ht="15" customHeight="1" x14ac:dyDescent="0.25">
      <c r="A6" s="517"/>
      <c r="B6" s="40" t="s">
        <v>315</v>
      </c>
      <c r="C6" s="41"/>
      <c r="D6" s="42" t="s">
        <v>60</v>
      </c>
      <c r="E6" s="43">
        <v>1</v>
      </c>
      <c r="F6" s="42">
        <v>2</v>
      </c>
      <c r="G6" s="44">
        <f>SUM(F6:F6)*$F$2</f>
        <v>20</v>
      </c>
      <c r="H6" s="45">
        <f>(G6)*$C$9/60</f>
        <v>16.666666666666668</v>
      </c>
      <c r="I6" s="47" t="s">
        <v>315</v>
      </c>
      <c r="J6" s="46" t="s">
        <v>230</v>
      </c>
    </row>
    <row r="7" spans="1:10" ht="15" customHeight="1" x14ac:dyDescent="0.25">
      <c r="A7" s="515" t="s">
        <v>724</v>
      </c>
      <c r="B7" s="40" t="s">
        <v>20</v>
      </c>
      <c r="C7" s="41"/>
      <c r="D7" s="42" t="s">
        <v>60</v>
      </c>
      <c r="E7" s="43">
        <v>1</v>
      </c>
      <c r="F7" s="42">
        <v>2</v>
      </c>
      <c r="G7" s="44">
        <f>SUM(F7:F7)*$F$2</f>
        <v>20</v>
      </c>
      <c r="H7" s="45">
        <f>(G7)*$C$9/60</f>
        <v>16.666666666666668</v>
      </c>
      <c r="I7" s="47" t="s">
        <v>20</v>
      </c>
      <c r="J7" s="46" t="s">
        <v>232</v>
      </c>
    </row>
    <row r="8" spans="1:10" ht="15.75" thickBot="1" x14ac:dyDescent="0.3">
      <c r="A8" s="593"/>
      <c r="B8" s="40" t="s">
        <v>18</v>
      </c>
      <c r="C8" s="41"/>
      <c r="D8" s="42" t="s">
        <v>60</v>
      </c>
      <c r="E8" s="43">
        <v>2</v>
      </c>
      <c r="F8" s="42">
        <v>2</v>
      </c>
      <c r="G8" s="44">
        <f>SUM(F8:F8)*$F$2</f>
        <v>20</v>
      </c>
      <c r="H8" s="45">
        <f>(G8)*$C$9/60</f>
        <v>16.666666666666668</v>
      </c>
      <c r="I8" s="47" t="s">
        <v>1213</v>
      </c>
      <c r="J8" s="46" t="s">
        <v>231</v>
      </c>
    </row>
    <row r="9" spans="1:10" ht="16.5" thickBot="1" x14ac:dyDescent="0.3">
      <c r="A9" s="61" t="s">
        <v>303</v>
      </c>
      <c r="B9" s="114"/>
      <c r="C9" s="78">
        <v>50</v>
      </c>
      <c r="D9" s="79" t="s">
        <v>310</v>
      </c>
      <c r="E9" s="79"/>
      <c r="F9" s="79"/>
      <c r="G9" s="79"/>
      <c r="H9" s="80"/>
      <c r="I9" s="36"/>
    </row>
    <row r="10" spans="1:10" ht="16.5" thickBot="1" x14ac:dyDescent="0.3">
      <c r="A10" s="61" t="s">
        <v>305</v>
      </c>
    </row>
    <row r="11" spans="1:10" ht="16.5" thickBot="1" x14ac:dyDescent="0.3">
      <c r="A11" s="115" t="s">
        <v>306</v>
      </c>
    </row>
    <row r="12" spans="1:10" ht="16.5" thickBot="1" x14ac:dyDescent="0.3">
      <c r="A12" s="62" t="s">
        <v>308</v>
      </c>
    </row>
    <row r="13" spans="1:10" ht="15.75" x14ac:dyDescent="0.25">
      <c r="A13" s="114" t="s">
        <v>309</v>
      </c>
    </row>
  </sheetData>
  <mergeCells count="7">
    <mergeCell ref="I3:I4"/>
    <mergeCell ref="J3:J4"/>
    <mergeCell ref="A5:A6"/>
    <mergeCell ref="A7:A8"/>
    <mergeCell ref="A2:E2"/>
    <mergeCell ref="B3:B4"/>
    <mergeCell ref="C3:C4"/>
  </mergeCells>
  <dataValidations count="2">
    <dataValidation type="list" allowBlank="1" showInputMessage="1" showErrorMessage="1" sqref="J1:J1048576" xr:uid="{00000000-0002-0000-1B00-000000000000}">
      <formula1>Ambientes</formula1>
    </dataValidation>
    <dataValidation type="list" allowBlank="1" showInputMessage="1" showErrorMessage="1" sqref="I1:I1048576" xr:uid="{00000000-0002-0000-1B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29"/>
  <dimension ref="A1:J75"/>
  <sheetViews>
    <sheetView topLeftCell="A50" workbookViewId="0">
      <selection activeCell="D66" sqref="D66"/>
    </sheetView>
  </sheetViews>
  <sheetFormatPr defaultColWidth="9.140625" defaultRowHeight="15" x14ac:dyDescent="0.25"/>
  <cols>
    <col min="2" max="2" width="59.28515625" customWidth="1"/>
    <col min="9" max="9" width="16.85546875" bestFit="1" customWidth="1"/>
    <col min="10" max="10" width="33.85546875" bestFit="1" customWidth="1"/>
  </cols>
  <sheetData>
    <row r="1" spans="1:10" ht="15.75" thickBot="1" x14ac:dyDescent="0.3">
      <c r="A1" t="s">
        <v>899</v>
      </c>
    </row>
    <row r="2" spans="1:10" ht="30.75" thickBot="1" x14ac:dyDescent="0.3">
      <c r="F2" s="180" t="s">
        <v>48</v>
      </c>
    </row>
    <row r="3" spans="1:10" ht="30.75" thickBot="1" x14ac:dyDescent="0.3">
      <c r="A3" s="184"/>
      <c r="B3" s="183" t="s">
        <v>44</v>
      </c>
      <c r="C3" s="180" t="s">
        <v>45</v>
      </c>
      <c r="D3" s="180" t="s">
        <v>46</v>
      </c>
      <c r="E3" s="180" t="s">
        <v>47</v>
      </c>
      <c r="F3" s="182"/>
      <c r="G3" s="181" t="s">
        <v>49</v>
      </c>
      <c r="H3" s="180" t="s">
        <v>50</v>
      </c>
      <c r="I3" s="179" t="s">
        <v>313</v>
      </c>
      <c r="J3" s="178" t="s">
        <v>228</v>
      </c>
    </row>
    <row r="4" spans="1:10" x14ac:dyDescent="0.25">
      <c r="A4" s="594" t="s">
        <v>51</v>
      </c>
      <c r="B4" s="167" t="s">
        <v>898</v>
      </c>
      <c r="C4" s="166"/>
      <c r="D4" s="165"/>
      <c r="E4" s="166">
        <v>1</v>
      </c>
      <c r="F4" s="177">
        <v>4</v>
      </c>
      <c r="G4" s="162">
        <f t="shared" ref="G4:G35" si="0">$E$75*F4</f>
        <v>76</v>
      </c>
      <c r="H4" s="176">
        <f t="shared" ref="H4:H35" si="1">ROUND(G4*$C$75/60,)</f>
        <v>63</v>
      </c>
      <c r="I4" s="69" t="s">
        <v>21</v>
      </c>
      <c r="J4" s="69" t="s">
        <v>230</v>
      </c>
    </row>
    <row r="5" spans="1:10" x14ac:dyDescent="0.25">
      <c r="A5" s="595"/>
      <c r="B5" s="160" t="s">
        <v>55</v>
      </c>
      <c r="C5" s="159"/>
      <c r="D5" s="158"/>
      <c r="E5" s="159">
        <v>2</v>
      </c>
      <c r="F5" s="175">
        <v>3</v>
      </c>
      <c r="G5" s="155">
        <f t="shared" si="0"/>
        <v>57</v>
      </c>
      <c r="H5" s="174">
        <f t="shared" si="1"/>
        <v>48</v>
      </c>
      <c r="I5" s="70" t="s">
        <v>19</v>
      </c>
      <c r="J5" s="70" t="s">
        <v>230</v>
      </c>
    </row>
    <row r="6" spans="1:10" x14ac:dyDescent="0.25">
      <c r="A6" s="595"/>
      <c r="B6" s="160" t="s">
        <v>897</v>
      </c>
      <c r="C6" s="159"/>
      <c r="D6" s="158"/>
      <c r="E6" s="159">
        <v>1</v>
      </c>
      <c r="F6" s="175">
        <v>4</v>
      </c>
      <c r="G6" s="155">
        <f t="shared" si="0"/>
        <v>76</v>
      </c>
      <c r="H6" s="174">
        <f t="shared" si="1"/>
        <v>63</v>
      </c>
      <c r="I6" s="70" t="s">
        <v>21</v>
      </c>
      <c r="J6" s="70" t="s">
        <v>230</v>
      </c>
    </row>
    <row r="7" spans="1:10" x14ac:dyDescent="0.25">
      <c r="A7" s="595"/>
      <c r="B7" s="160" t="s">
        <v>896</v>
      </c>
      <c r="C7" s="159"/>
      <c r="D7" s="158"/>
      <c r="E7" s="159">
        <v>1</v>
      </c>
      <c r="F7" s="175">
        <v>2</v>
      </c>
      <c r="G7" s="155">
        <f t="shared" si="0"/>
        <v>38</v>
      </c>
      <c r="H7" s="174">
        <f t="shared" si="1"/>
        <v>32</v>
      </c>
      <c r="I7" s="70" t="s">
        <v>8</v>
      </c>
      <c r="J7" s="70" t="s">
        <v>230</v>
      </c>
    </row>
    <row r="8" spans="1:10" x14ac:dyDescent="0.25">
      <c r="A8" s="595"/>
      <c r="B8" s="160" t="s">
        <v>895</v>
      </c>
      <c r="C8" s="159"/>
      <c r="D8" s="158"/>
      <c r="E8" s="159">
        <v>1</v>
      </c>
      <c r="F8" s="175">
        <v>3</v>
      </c>
      <c r="G8" s="155">
        <f t="shared" si="0"/>
        <v>57</v>
      </c>
      <c r="H8" s="174">
        <f t="shared" si="1"/>
        <v>48</v>
      </c>
      <c r="I8" s="70" t="s">
        <v>7</v>
      </c>
      <c r="J8" s="70" t="s">
        <v>230</v>
      </c>
    </row>
    <row r="9" spans="1:10" x14ac:dyDescent="0.25">
      <c r="A9" s="595"/>
      <c r="B9" s="160" t="s">
        <v>850</v>
      </c>
      <c r="C9" s="159"/>
      <c r="D9" s="158"/>
      <c r="E9" s="159">
        <v>1</v>
      </c>
      <c r="F9" s="175">
        <v>2</v>
      </c>
      <c r="G9" s="155">
        <f t="shared" si="0"/>
        <v>38</v>
      </c>
      <c r="H9" s="174">
        <f t="shared" si="1"/>
        <v>32</v>
      </c>
      <c r="I9" s="70" t="s">
        <v>19</v>
      </c>
      <c r="J9" s="70" t="s">
        <v>230</v>
      </c>
    </row>
    <row r="10" spans="1:10" ht="15.75" thickBot="1" x14ac:dyDescent="0.3">
      <c r="A10" s="596"/>
      <c r="B10" s="153" t="s">
        <v>894</v>
      </c>
      <c r="C10" s="152"/>
      <c r="D10" s="168"/>
      <c r="E10" s="152">
        <v>1</v>
      </c>
      <c r="F10" s="173">
        <v>5</v>
      </c>
      <c r="G10" s="149">
        <f t="shared" si="0"/>
        <v>95</v>
      </c>
      <c r="H10" s="188">
        <f t="shared" si="1"/>
        <v>79</v>
      </c>
      <c r="I10" s="71" t="s">
        <v>19</v>
      </c>
      <c r="J10" s="71" t="s">
        <v>230</v>
      </c>
    </row>
    <row r="11" spans="1:10" x14ac:dyDescent="0.25">
      <c r="A11" s="594" t="s">
        <v>67</v>
      </c>
      <c r="B11" s="167" t="s">
        <v>847</v>
      </c>
      <c r="C11" s="166"/>
      <c r="D11" s="165"/>
      <c r="E11" s="164">
        <v>1</v>
      </c>
      <c r="F11" s="187">
        <v>4</v>
      </c>
      <c r="G11" s="162">
        <f t="shared" si="0"/>
        <v>76</v>
      </c>
      <c r="H11" s="176">
        <f t="shared" si="1"/>
        <v>63</v>
      </c>
      <c r="I11" s="69" t="s">
        <v>21</v>
      </c>
      <c r="J11" s="69" t="s">
        <v>230</v>
      </c>
    </row>
    <row r="12" spans="1:10" x14ac:dyDescent="0.25">
      <c r="A12" s="595"/>
      <c r="B12" s="160" t="s">
        <v>893</v>
      </c>
      <c r="C12" s="159"/>
      <c r="D12" s="158"/>
      <c r="E12" s="157">
        <v>1</v>
      </c>
      <c r="F12" s="186">
        <v>5</v>
      </c>
      <c r="G12" s="155">
        <f t="shared" si="0"/>
        <v>95</v>
      </c>
      <c r="H12" s="174">
        <f t="shared" si="1"/>
        <v>79</v>
      </c>
      <c r="I12" s="70" t="s">
        <v>6</v>
      </c>
      <c r="J12" s="70" t="s">
        <v>230</v>
      </c>
    </row>
    <row r="13" spans="1:10" x14ac:dyDescent="0.25">
      <c r="A13" s="595"/>
      <c r="B13" s="160" t="s">
        <v>375</v>
      </c>
      <c r="C13" s="159"/>
      <c r="D13" s="158"/>
      <c r="E13" s="157">
        <v>1</v>
      </c>
      <c r="F13" s="186">
        <v>4</v>
      </c>
      <c r="G13" s="155">
        <f t="shared" si="0"/>
        <v>76</v>
      </c>
      <c r="H13" s="174">
        <f t="shared" si="1"/>
        <v>63</v>
      </c>
      <c r="I13" s="70" t="s">
        <v>21</v>
      </c>
      <c r="J13" s="70" t="s">
        <v>230</v>
      </c>
    </row>
    <row r="14" spans="1:10" x14ac:dyDescent="0.25">
      <c r="A14" s="595"/>
      <c r="B14" s="160" t="s">
        <v>892</v>
      </c>
      <c r="C14" s="159"/>
      <c r="D14" s="158"/>
      <c r="E14" s="157">
        <v>2</v>
      </c>
      <c r="F14" s="186">
        <v>6</v>
      </c>
      <c r="G14" s="155">
        <f t="shared" si="0"/>
        <v>114</v>
      </c>
      <c r="H14" s="174">
        <f t="shared" si="1"/>
        <v>95</v>
      </c>
      <c r="I14" s="70" t="s">
        <v>18</v>
      </c>
      <c r="J14" s="70" t="s">
        <v>231</v>
      </c>
    </row>
    <row r="15" spans="1:10" x14ac:dyDescent="0.25">
      <c r="A15" s="595"/>
      <c r="B15" s="160" t="s">
        <v>891</v>
      </c>
      <c r="C15" s="159"/>
      <c r="D15" s="158"/>
      <c r="E15" s="157">
        <v>2</v>
      </c>
      <c r="F15" s="186">
        <v>2</v>
      </c>
      <c r="G15" s="155">
        <f t="shared" si="0"/>
        <v>38</v>
      </c>
      <c r="H15" s="174">
        <f t="shared" si="1"/>
        <v>32</v>
      </c>
      <c r="I15" s="70" t="s">
        <v>18</v>
      </c>
      <c r="J15" s="70" t="s">
        <v>231</v>
      </c>
    </row>
    <row r="16" spans="1:10" x14ac:dyDescent="0.25">
      <c r="A16" s="595"/>
      <c r="B16" s="160" t="s">
        <v>890</v>
      </c>
      <c r="C16" s="159"/>
      <c r="D16" s="158"/>
      <c r="E16" s="157">
        <v>1</v>
      </c>
      <c r="F16" s="186">
        <v>2</v>
      </c>
      <c r="G16" s="155">
        <f t="shared" si="0"/>
        <v>38</v>
      </c>
      <c r="H16" s="174">
        <f t="shared" si="1"/>
        <v>32</v>
      </c>
      <c r="I16" s="70" t="s">
        <v>19</v>
      </c>
      <c r="J16" s="70" t="s">
        <v>230</v>
      </c>
    </row>
    <row r="17" spans="1:10" ht="15.75" thickBot="1" x14ac:dyDescent="0.3">
      <c r="A17" s="596"/>
      <c r="B17" s="153" t="s">
        <v>889</v>
      </c>
      <c r="C17" s="152"/>
      <c r="D17" s="168"/>
      <c r="E17" s="151">
        <v>1</v>
      </c>
      <c r="F17" s="185">
        <v>2</v>
      </c>
      <c r="G17" s="149">
        <f t="shared" si="0"/>
        <v>38</v>
      </c>
      <c r="H17" s="188">
        <f t="shared" si="1"/>
        <v>32</v>
      </c>
      <c r="I17" s="71" t="s">
        <v>9</v>
      </c>
      <c r="J17" s="71" t="s">
        <v>230</v>
      </c>
    </row>
    <row r="18" spans="1:10" x14ac:dyDescent="0.25">
      <c r="A18" s="594" t="s">
        <v>85</v>
      </c>
      <c r="B18" s="167" t="s">
        <v>837</v>
      </c>
      <c r="C18" s="166"/>
      <c r="D18" s="165"/>
      <c r="E18" s="164">
        <v>1</v>
      </c>
      <c r="F18" s="187">
        <v>4</v>
      </c>
      <c r="G18" s="162">
        <f t="shared" si="0"/>
        <v>76</v>
      </c>
      <c r="H18" s="176">
        <f t="shared" si="1"/>
        <v>63</v>
      </c>
      <c r="I18" s="69" t="s">
        <v>21</v>
      </c>
      <c r="J18" s="69" t="s">
        <v>230</v>
      </c>
    </row>
    <row r="19" spans="1:10" x14ac:dyDescent="0.25">
      <c r="A19" s="595"/>
      <c r="B19" s="160" t="s">
        <v>888</v>
      </c>
      <c r="C19" s="159"/>
      <c r="D19" s="158"/>
      <c r="E19" s="157">
        <v>1</v>
      </c>
      <c r="F19" s="186">
        <v>5</v>
      </c>
      <c r="G19" s="155">
        <f t="shared" si="0"/>
        <v>95</v>
      </c>
      <c r="H19" s="174">
        <f t="shared" si="1"/>
        <v>79</v>
      </c>
      <c r="I19" s="70" t="s">
        <v>6</v>
      </c>
      <c r="J19" s="70" t="s">
        <v>230</v>
      </c>
    </row>
    <row r="20" spans="1:10" x14ac:dyDescent="0.25">
      <c r="A20" s="595"/>
      <c r="B20" s="160" t="s">
        <v>887</v>
      </c>
      <c r="C20" s="159"/>
      <c r="D20" s="158"/>
      <c r="E20" s="157">
        <v>1</v>
      </c>
      <c r="F20" s="186">
        <v>3</v>
      </c>
      <c r="G20" s="155">
        <f t="shared" si="0"/>
        <v>57</v>
      </c>
      <c r="H20" s="174">
        <f t="shared" si="1"/>
        <v>48</v>
      </c>
      <c r="I20" s="70" t="s">
        <v>19</v>
      </c>
      <c r="J20" s="70" t="s">
        <v>230</v>
      </c>
    </row>
    <row r="21" spans="1:10" x14ac:dyDescent="0.25">
      <c r="A21" s="595"/>
      <c r="B21" s="160" t="s">
        <v>886</v>
      </c>
      <c r="C21" s="159"/>
      <c r="D21" s="158"/>
      <c r="E21" s="157">
        <v>1</v>
      </c>
      <c r="F21" s="186">
        <v>4</v>
      </c>
      <c r="G21" s="155">
        <f t="shared" si="0"/>
        <v>76</v>
      </c>
      <c r="H21" s="174">
        <f t="shared" si="1"/>
        <v>63</v>
      </c>
      <c r="I21" s="70" t="s">
        <v>21</v>
      </c>
      <c r="J21" s="70" t="s">
        <v>230</v>
      </c>
    </row>
    <row r="22" spans="1:10" x14ac:dyDescent="0.25">
      <c r="A22" s="595"/>
      <c r="B22" s="160" t="s">
        <v>885</v>
      </c>
      <c r="C22" s="159"/>
      <c r="D22" s="159"/>
      <c r="E22" s="157">
        <v>1</v>
      </c>
      <c r="F22" s="186">
        <v>5</v>
      </c>
      <c r="G22" s="155">
        <f t="shared" si="0"/>
        <v>95</v>
      </c>
      <c r="H22" s="174">
        <f t="shared" si="1"/>
        <v>79</v>
      </c>
      <c r="I22" s="70" t="s">
        <v>19</v>
      </c>
      <c r="J22" s="70" t="s">
        <v>856</v>
      </c>
    </row>
    <row r="23" spans="1:10" x14ac:dyDescent="0.25">
      <c r="A23" s="595"/>
      <c r="B23" s="160" t="s">
        <v>740</v>
      </c>
      <c r="C23" s="159"/>
      <c r="D23" s="158"/>
      <c r="E23" s="157">
        <v>2</v>
      </c>
      <c r="F23" s="186">
        <v>2</v>
      </c>
      <c r="G23" s="155">
        <f t="shared" si="0"/>
        <v>38</v>
      </c>
      <c r="H23" s="174">
        <f t="shared" si="1"/>
        <v>32</v>
      </c>
      <c r="I23" s="70" t="s">
        <v>18</v>
      </c>
      <c r="J23" s="70" t="s">
        <v>231</v>
      </c>
    </row>
    <row r="24" spans="1:10" ht="15.75" thickBot="1" x14ac:dyDescent="0.3">
      <c r="A24" s="596"/>
      <c r="B24" s="153" t="s">
        <v>884</v>
      </c>
      <c r="C24" s="152"/>
      <c r="D24" s="168"/>
      <c r="E24" s="151">
        <v>1</v>
      </c>
      <c r="F24" s="185">
        <v>2</v>
      </c>
      <c r="G24" s="172">
        <f t="shared" si="0"/>
        <v>38</v>
      </c>
      <c r="H24" s="171">
        <f t="shared" si="1"/>
        <v>32</v>
      </c>
      <c r="I24" s="71" t="s">
        <v>19</v>
      </c>
      <c r="J24" s="71" t="s">
        <v>230</v>
      </c>
    </row>
    <row r="25" spans="1:10" x14ac:dyDescent="0.25">
      <c r="A25" s="594" t="s">
        <v>99</v>
      </c>
      <c r="B25" s="167" t="s">
        <v>833</v>
      </c>
      <c r="C25" s="166"/>
      <c r="D25" s="165"/>
      <c r="E25" s="164">
        <v>1</v>
      </c>
      <c r="F25" s="163">
        <v>4</v>
      </c>
      <c r="G25" s="162">
        <f t="shared" si="0"/>
        <v>76</v>
      </c>
      <c r="H25" s="161">
        <f t="shared" si="1"/>
        <v>63</v>
      </c>
      <c r="I25" s="124" t="s">
        <v>21</v>
      </c>
      <c r="J25" s="69" t="s">
        <v>230</v>
      </c>
    </row>
    <row r="26" spans="1:10" x14ac:dyDescent="0.25">
      <c r="A26" s="595"/>
      <c r="B26" s="160" t="s">
        <v>883</v>
      </c>
      <c r="C26" s="159"/>
      <c r="D26" s="158"/>
      <c r="E26" s="157">
        <v>1</v>
      </c>
      <c r="F26" s="156">
        <v>5</v>
      </c>
      <c r="G26" s="155">
        <f t="shared" si="0"/>
        <v>95</v>
      </c>
      <c r="H26" s="154">
        <f t="shared" si="1"/>
        <v>79</v>
      </c>
      <c r="I26" s="128" t="s">
        <v>6</v>
      </c>
      <c r="J26" s="70" t="s">
        <v>230</v>
      </c>
    </row>
    <row r="27" spans="1:10" x14ac:dyDescent="0.25">
      <c r="A27" s="595"/>
      <c r="B27" s="160" t="s">
        <v>882</v>
      </c>
      <c r="C27" s="159"/>
      <c r="D27" s="158"/>
      <c r="E27" s="157">
        <v>1</v>
      </c>
      <c r="F27" s="156">
        <v>2</v>
      </c>
      <c r="G27" s="155">
        <f t="shared" si="0"/>
        <v>38</v>
      </c>
      <c r="H27" s="154">
        <f t="shared" si="1"/>
        <v>32</v>
      </c>
      <c r="I27" s="128" t="s">
        <v>19</v>
      </c>
      <c r="J27" s="70" t="s">
        <v>230</v>
      </c>
    </row>
    <row r="28" spans="1:10" x14ac:dyDescent="0.25">
      <c r="A28" s="595"/>
      <c r="B28" s="160" t="s">
        <v>881</v>
      </c>
      <c r="C28" s="159"/>
      <c r="D28" s="158"/>
      <c r="E28" s="157">
        <v>1</v>
      </c>
      <c r="F28" s="156">
        <v>5</v>
      </c>
      <c r="G28" s="155">
        <f t="shared" si="0"/>
        <v>95</v>
      </c>
      <c r="H28" s="154">
        <f t="shared" si="1"/>
        <v>79</v>
      </c>
      <c r="I28" s="128" t="s">
        <v>20</v>
      </c>
      <c r="J28" s="70" t="s">
        <v>856</v>
      </c>
    </row>
    <row r="29" spans="1:10" x14ac:dyDescent="0.25">
      <c r="A29" s="595"/>
      <c r="B29" s="160" t="s">
        <v>880</v>
      </c>
      <c r="C29" s="159"/>
      <c r="D29" s="158"/>
      <c r="E29" s="157">
        <v>1</v>
      </c>
      <c r="F29" s="156">
        <v>5</v>
      </c>
      <c r="G29" s="155">
        <f t="shared" si="0"/>
        <v>95</v>
      </c>
      <c r="H29" s="154">
        <f t="shared" si="1"/>
        <v>79</v>
      </c>
      <c r="I29" s="128" t="s">
        <v>19</v>
      </c>
      <c r="J29" s="70" t="s">
        <v>856</v>
      </c>
    </row>
    <row r="30" spans="1:10" ht="15.75" thickBot="1" x14ac:dyDescent="0.3">
      <c r="A30" s="596"/>
      <c r="B30" s="153" t="s">
        <v>747</v>
      </c>
      <c r="C30" s="152"/>
      <c r="D30" s="168"/>
      <c r="E30" s="151">
        <v>1</v>
      </c>
      <c r="F30" s="150">
        <v>3</v>
      </c>
      <c r="G30" s="149">
        <f t="shared" si="0"/>
        <v>57</v>
      </c>
      <c r="H30" s="148">
        <f t="shared" si="1"/>
        <v>48</v>
      </c>
      <c r="I30" s="138" t="s">
        <v>20</v>
      </c>
      <c r="J30" s="71" t="s">
        <v>231</v>
      </c>
    </row>
    <row r="31" spans="1:10" x14ac:dyDescent="0.25">
      <c r="A31" s="594" t="s">
        <v>115</v>
      </c>
      <c r="B31" s="167" t="s">
        <v>879</v>
      </c>
      <c r="C31" s="166"/>
      <c r="D31" s="165"/>
      <c r="E31" s="164">
        <v>1</v>
      </c>
      <c r="F31" s="163">
        <v>5</v>
      </c>
      <c r="G31" s="162">
        <f t="shared" si="0"/>
        <v>95</v>
      </c>
      <c r="H31" s="161">
        <f t="shared" si="1"/>
        <v>79</v>
      </c>
      <c r="I31" s="124" t="s">
        <v>20</v>
      </c>
      <c r="J31" s="69" t="s">
        <v>856</v>
      </c>
    </row>
    <row r="32" spans="1:10" x14ac:dyDescent="0.25">
      <c r="A32" s="595"/>
      <c r="B32" s="160" t="s">
        <v>878</v>
      </c>
      <c r="C32" s="159"/>
      <c r="D32" s="158"/>
      <c r="E32" s="157">
        <v>2</v>
      </c>
      <c r="F32" s="156">
        <v>5</v>
      </c>
      <c r="G32" s="155">
        <f t="shared" si="0"/>
        <v>95</v>
      </c>
      <c r="H32" s="154">
        <f t="shared" si="1"/>
        <v>79</v>
      </c>
      <c r="I32" s="128" t="s">
        <v>19</v>
      </c>
      <c r="J32" s="70" t="s">
        <v>231</v>
      </c>
    </row>
    <row r="33" spans="1:10" x14ac:dyDescent="0.25">
      <c r="A33" s="595"/>
      <c r="B33" s="160" t="s">
        <v>877</v>
      </c>
      <c r="C33" s="159"/>
      <c r="D33" s="158"/>
      <c r="E33" s="157">
        <v>1</v>
      </c>
      <c r="F33" s="156">
        <v>5</v>
      </c>
      <c r="G33" s="155">
        <f t="shared" si="0"/>
        <v>95</v>
      </c>
      <c r="H33" s="154">
        <f t="shared" si="1"/>
        <v>79</v>
      </c>
      <c r="I33" s="128" t="s">
        <v>19</v>
      </c>
      <c r="J33" s="70" t="s">
        <v>230</v>
      </c>
    </row>
    <row r="34" spans="1:10" x14ac:dyDescent="0.25">
      <c r="A34" s="595"/>
      <c r="B34" s="160" t="s">
        <v>876</v>
      </c>
      <c r="C34" s="159"/>
      <c r="D34" s="158"/>
      <c r="E34" s="157">
        <v>1</v>
      </c>
      <c r="F34" s="156">
        <v>5</v>
      </c>
      <c r="G34" s="155">
        <f t="shared" si="0"/>
        <v>95</v>
      </c>
      <c r="H34" s="154">
        <f t="shared" si="1"/>
        <v>79</v>
      </c>
      <c r="I34" s="128" t="s">
        <v>19</v>
      </c>
      <c r="J34" s="70" t="s">
        <v>856</v>
      </c>
    </row>
    <row r="35" spans="1:10" ht="15.75" thickBot="1" x14ac:dyDescent="0.3">
      <c r="A35" s="596"/>
      <c r="B35" s="153" t="s">
        <v>875</v>
      </c>
      <c r="C35" s="152"/>
      <c r="D35" s="168"/>
      <c r="E35" s="151">
        <v>1</v>
      </c>
      <c r="F35" s="150">
        <v>5</v>
      </c>
      <c r="G35" s="149">
        <f t="shared" si="0"/>
        <v>95</v>
      </c>
      <c r="H35" s="148">
        <f t="shared" si="1"/>
        <v>79</v>
      </c>
      <c r="I35" s="138" t="s">
        <v>19</v>
      </c>
      <c r="J35" s="71" t="s">
        <v>856</v>
      </c>
    </row>
    <row r="36" spans="1:10" x14ac:dyDescent="0.25">
      <c r="A36" s="594" t="s">
        <v>132</v>
      </c>
      <c r="B36" s="167" t="s">
        <v>731</v>
      </c>
      <c r="C36" s="166"/>
      <c r="D36" s="165"/>
      <c r="E36" s="164">
        <v>1</v>
      </c>
      <c r="F36" s="163">
        <v>5</v>
      </c>
      <c r="G36" s="162">
        <f t="shared" ref="G36:G60" si="2">$E$75*F36</f>
        <v>95</v>
      </c>
      <c r="H36" s="161">
        <f t="shared" ref="H36:H60" si="3">ROUND(G36*$C$75/60,)</f>
        <v>79</v>
      </c>
      <c r="I36" s="170" t="s">
        <v>20</v>
      </c>
      <c r="J36" s="72" t="s">
        <v>856</v>
      </c>
    </row>
    <row r="37" spans="1:10" x14ac:dyDescent="0.25">
      <c r="A37" s="595"/>
      <c r="B37" s="160" t="s">
        <v>874</v>
      </c>
      <c r="C37" s="159"/>
      <c r="D37" s="159"/>
      <c r="E37" s="157">
        <v>2</v>
      </c>
      <c r="F37" s="156">
        <v>7</v>
      </c>
      <c r="G37" s="155">
        <f t="shared" si="2"/>
        <v>133</v>
      </c>
      <c r="H37" s="154">
        <f t="shared" si="3"/>
        <v>111</v>
      </c>
      <c r="I37" s="128" t="s">
        <v>20</v>
      </c>
      <c r="J37" s="70" t="s">
        <v>231</v>
      </c>
    </row>
    <row r="38" spans="1:10" x14ac:dyDescent="0.25">
      <c r="A38" s="595"/>
      <c r="B38" s="160" t="s">
        <v>873</v>
      </c>
      <c r="C38" s="159"/>
      <c r="D38" s="159"/>
      <c r="E38" s="157">
        <v>1</v>
      </c>
      <c r="F38" s="156">
        <v>5</v>
      </c>
      <c r="G38" s="155">
        <f t="shared" si="2"/>
        <v>95</v>
      </c>
      <c r="H38" s="154">
        <f t="shared" si="3"/>
        <v>79</v>
      </c>
      <c r="I38" s="128" t="s">
        <v>19</v>
      </c>
      <c r="J38" s="70" t="s">
        <v>230</v>
      </c>
    </row>
    <row r="39" spans="1:10" x14ac:dyDescent="0.25">
      <c r="A39" s="595"/>
      <c r="B39" s="160" t="s">
        <v>872</v>
      </c>
      <c r="C39" s="159"/>
      <c r="D39" s="158"/>
      <c r="E39" s="157">
        <v>1</v>
      </c>
      <c r="F39" s="156">
        <v>3</v>
      </c>
      <c r="G39" s="155">
        <f t="shared" si="2"/>
        <v>57</v>
      </c>
      <c r="H39" s="154">
        <f t="shared" si="3"/>
        <v>48</v>
      </c>
      <c r="I39" s="128" t="s">
        <v>19</v>
      </c>
      <c r="J39" s="70" t="s">
        <v>230</v>
      </c>
    </row>
    <row r="40" spans="1:10" ht="15.75" thickBot="1" x14ac:dyDescent="0.3">
      <c r="A40" s="596"/>
      <c r="B40" s="153" t="s">
        <v>871</v>
      </c>
      <c r="C40" s="152"/>
      <c r="D40" s="168"/>
      <c r="E40" s="151">
        <v>1</v>
      </c>
      <c r="F40" s="150">
        <v>5</v>
      </c>
      <c r="G40" s="149">
        <f t="shared" si="2"/>
        <v>95</v>
      </c>
      <c r="H40" s="148">
        <f t="shared" si="3"/>
        <v>79</v>
      </c>
      <c r="I40" s="138" t="s">
        <v>20</v>
      </c>
      <c r="J40" s="71" t="s">
        <v>856</v>
      </c>
    </row>
    <row r="41" spans="1:10" x14ac:dyDescent="0.25">
      <c r="A41" s="594" t="s">
        <v>151</v>
      </c>
      <c r="B41" s="167" t="s">
        <v>743</v>
      </c>
      <c r="C41" s="166"/>
      <c r="D41" s="165"/>
      <c r="E41" s="164">
        <v>1</v>
      </c>
      <c r="F41" s="163">
        <v>5</v>
      </c>
      <c r="G41" s="162">
        <f t="shared" si="2"/>
        <v>95</v>
      </c>
      <c r="H41" s="161">
        <f t="shared" si="3"/>
        <v>79</v>
      </c>
      <c r="I41" s="124" t="s">
        <v>20</v>
      </c>
      <c r="J41" s="69" t="s">
        <v>856</v>
      </c>
    </row>
    <row r="42" spans="1:10" x14ac:dyDescent="0.25">
      <c r="A42" s="595"/>
      <c r="B42" s="160" t="s">
        <v>870</v>
      </c>
      <c r="C42" s="159"/>
      <c r="D42" s="158"/>
      <c r="E42" s="157">
        <v>1</v>
      </c>
      <c r="F42" s="156">
        <v>5</v>
      </c>
      <c r="G42" s="155">
        <f t="shared" si="2"/>
        <v>95</v>
      </c>
      <c r="H42" s="154">
        <f t="shared" si="3"/>
        <v>79</v>
      </c>
      <c r="I42" s="128" t="s">
        <v>20</v>
      </c>
      <c r="J42" s="70" t="s">
        <v>856</v>
      </c>
    </row>
    <row r="43" spans="1:10" x14ac:dyDescent="0.25">
      <c r="A43" s="595"/>
      <c r="B43" s="160" t="s">
        <v>869</v>
      </c>
      <c r="C43" s="159"/>
      <c r="D43" s="158"/>
      <c r="E43" s="157">
        <v>1</v>
      </c>
      <c r="F43" s="156">
        <v>5</v>
      </c>
      <c r="G43" s="155">
        <f t="shared" si="2"/>
        <v>95</v>
      </c>
      <c r="H43" s="154">
        <f t="shared" si="3"/>
        <v>79</v>
      </c>
      <c r="I43" s="128" t="s">
        <v>18</v>
      </c>
      <c r="J43" s="70" t="s">
        <v>231</v>
      </c>
    </row>
    <row r="44" spans="1:10" x14ac:dyDescent="0.25">
      <c r="A44" s="595"/>
      <c r="B44" s="160" t="s">
        <v>154</v>
      </c>
      <c r="C44" s="159"/>
      <c r="D44" s="158"/>
      <c r="E44" s="157">
        <v>1</v>
      </c>
      <c r="F44" s="156">
        <v>5</v>
      </c>
      <c r="G44" s="155">
        <f t="shared" si="2"/>
        <v>95</v>
      </c>
      <c r="H44" s="154">
        <f t="shared" si="3"/>
        <v>79</v>
      </c>
      <c r="I44" s="128" t="s">
        <v>19</v>
      </c>
      <c r="J44" s="70" t="s">
        <v>856</v>
      </c>
    </row>
    <row r="45" spans="1:10" ht="15.75" thickBot="1" x14ac:dyDescent="0.3">
      <c r="A45" s="596"/>
      <c r="B45" s="153" t="s">
        <v>868</v>
      </c>
      <c r="C45" s="152"/>
      <c r="D45" s="168"/>
      <c r="E45" s="151">
        <v>1</v>
      </c>
      <c r="F45" s="150">
        <v>5</v>
      </c>
      <c r="G45" s="149">
        <f t="shared" si="2"/>
        <v>95</v>
      </c>
      <c r="H45" s="148">
        <f t="shared" si="3"/>
        <v>79</v>
      </c>
      <c r="I45" s="138" t="s">
        <v>20</v>
      </c>
      <c r="J45" s="71" t="s">
        <v>856</v>
      </c>
    </row>
    <row r="46" spans="1:10" x14ac:dyDescent="0.25">
      <c r="A46" s="594" t="s">
        <v>168</v>
      </c>
      <c r="B46" s="167" t="s">
        <v>867</v>
      </c>
      <c r="C46" s="166"/>
      <c r="D46" s="165"/>
      <c r="E46" s="164">
        <v>2</v>
      </c>
      <c r="F46" s="163">
        <v>5</v>
      </c>
      <c r="G46" s="162">
        <f t="shared" si="2"/>
        <v>95</v>
      </c>
      <c r="H46" s="161">
        <f t="shared" si="3"/>
        <v>79</v>
      </c>
      <c r="I46" s="124" t="s">
        <v>19</v>
      </c>
      <c r="J46" s="69" t="s">
        <v>856</v>
      </c>
    </row>
    <row r="47" spans="1:10" x14ac:dyDescent="0.25">
      <c r="A47" s="595"/>
      <c r="B47" s="160" t="s">
        <v>792</v>
      </c>
      <c r="C47" s="159"/>
      <c r="D47" s="158"/>
      <c r="E47" s="157">
        <v>1</v>
      </c>
      <c r="F47" s="156">
        <v>5</v>
      </c>
      <c r="G47" s="155">
        <f t="shared" si="2"/>
        <v>95</v>
      </c>
      <c r="H47" s="154">
        <f t="shared" si="3"/>
        <v>79</v>
      </c>
      <c r="I47" s="128" t="s">
        <v>20</v>
      </c>
      <c r="J47" s="70" t="s">
        <v>856</v>
      </c>
    </row>
    <row r="48" spans="1:10" x14ac:dyDescent="0.25">
      <c r="A48" s="595"/>
      <c r="B48" s="160" t="s">
        <v>866</v>
      </c>
      <c r="C48" s="159"/>
      <c r="D48" s="158"/>
      <c r="E48" s="157">
        <v>1</v>
      </c>
      <c r="F48" s="156">
        <v>5</v>
      </c>
      <c r="G48" s="155">
        <f t="shared" si="2"/>
        <v>95</v>
      </c>
      <c r="H48" s="154">
        <f t="shared" si="3"/>
        <v>79</v>
      </c>
      <c r="I48" s="128" t="s">
        <v>315</v>
      </c>
      <c r="J48" s="70" t="s">
        <v>230</v>
      </c>
    </row>
    <row r="49" spans="1:10" x14ac:dyDescent="0.25">
      <c r="A49" s="595"/>
      <c r="B49" s="160" t="s">
        <v>865</v>
      </c>
      <c r="C49" s="159"/>
      <c r="D49" s="158"/>
      <c r="E49" s="157">
        <v>1</v>
      </c>
      <c r="F49" s="156">
        <v>5</v>
      </c>
      <c r="G49" s="155">
        <f t="shared" si="2"/>
        <v>95</v>
      </c>
      <c r="H49" s="154">
        <f t="shared" si="3"/>
        <v>79</v>
      </c>
      <c r="I49" s="128" t="s">
        <v>18</v>
      </c>
      <c r="J49" s="70" t="s">
        <v>231</v>
      </c>
    </row>
    <row r="50" spans="1:10" ht="15.75" thickBot="1" x14ac:dyDescent="0.3">
      <c r="A50" s="596"/>
      <c r="B50" s="153" t="s">
        <v>864</v>
      </c>
      <c r="C50" s="152"/>
      <c r="D50" s="168"/>
      <c r="E50" s="151">
        <v>1</v>
      </c>
      <c r="F50" s="150">
        <v>5</v>
      </c>
      <c r="G50" s="149">
        <f t="shared" si="2"/>
        <v>95</v>
      </c>
      <c r="H50" s="148">
        <f t="shared" si="3"/>
        <v>79</v>
      </c>
      <c r="I50" s="138" t="s">
        <v>19</v>
      </c>
      <c r="J50" s="71" t="s">
        <v>856</v>
      </c>
    </row>
    <row r="51" spans="1:10" x14ac:dyDescent="0.25">
      <c r="A51" s="594" t="s">
        <v>184</v>
      </c>
      <c r="B51" s="167" t="s">
        <v>287</v>
      </c>
      <c r="C51" s="166"/>
      <c r="D51" s="165"/>
      <c r="E51" s="164">
        <v>1</v>
      </c>
      <c r="F51" s="163">
        <v>5</v>
      </c>
      <c r="G51" s="162">
        <f t="shared" si="2"/>
        <v>95</v>
      </c>
      <c r="H51" s="161">
        <f t="shared" si="3"/>
        <v>79</v>
      </c>
      <c r="I51" s="124" t="s">
        <v>19</v>
      </c>
      <c r="J51" s="69" t="s">
        <v>856</v>
      </c>
    </row>
    <row r="52" spans="1:10" x14ac:dyDescent="0.25">
      <c r="A52" s="595"/>
      <c r="B52" s="160" t="s">
        <v>863</v>
      </c>
      <c r="C52" s="159"/>
      <c r="D52" s="158"/>
      <c r="E52" s="157">
        <v>1</v>
      </c>
      <c r="F52" s="156">
        <v>5</v>
      </c>
      <c r="G52" s="155">
        <f t="shared" si="2"/>
        <v>95</v>
      </c>
      <c r="H52" s="154">
        <f t="shared" si="3"/>
        <v>79</v>
      </c>
      <c r="I52" s="128" t="s">
        <v>20</v>
      </c>
      <c r="J52" s="70" t="s">
        <v>856</v>
      </c>
    </row>
    <row r="53" spans="1:10" x14ac:dyDescent="0.25">
      <c r="A53" s="595"/>
      <c r="B53" s="160" t="s">
        <v>862</v>
      </c>
      <c r="C53" s="159"/>
      <c r="D53" s="158"/>
      <c r="E53" s="157">
        <v>1</v>
      </c>
      <c r="F53" s="156">
        <v>3</v>
      </c>
      <c r="G53" s="155">
        <f t="shared" si="2"/>
        <v>57</v>
      </c>
      <c r="H53" s="154">
        <f t="shared" si="3"/>
        <v>48</v>
      </c>
      <c r="I53" s="128" t="s">
        <v>19</v>
      </c>
      <c r="J53" s="70" t="s">
        <v>856</v>
      </c>
    </row>
    <row r="54" spans="1:10" x14ac:dyDescent="0.25">
      <c r="A54" s="595"/>
      <c r="B54" s="160" t="s">
        <v>793</v>
      </c>
      <c r="C54" s="159"/>
      <c r="D54" s="158"/>
      <c r="E54" s="157">
        <v>1</v>
      </c>
      <c r="F54" s="156">
        <v>2</v>
      </c>
      <c r="G54" s="155">
        <f t="shared" si="2"/>
        <v>38</v>
      </c>
      <c r="H54" s="154">
        <f t="shared" si="3"/>
        <v>32</v>
      </c>
      <c r="I54" s="128" t="s">
        <v>19</v>
      </c>
      <c r="J54" s="70" t="s">
        <v>856</v>
      </c>
    </row>
    <row r="55" spans="1:10" x14ac:dyDescent="0.25">
      <c r="A55" s="595"/>
      <c r="B55" s="160" t="s">
        <v>861</v>
      </c>
      <c r="C55" s="159"/>
      <c r="D55" s="158"/>
      <c r="E55" s="157">
        <v>1</v>
      </c>
      <c r="F55" s="156">
        <v>5</v>
      </c>
      <c r="G55" s="155">
        <f t="shared" si="2"/>
        <v>95</v>
      </c>
      <c r="H55" s="154">
        <f t="shared" si="3"/>
        <v>79</v>
      </c>
      <c r="I55" s="128" t="s">
        <v>19</v>
      </c>
      <c r="J55" s="70" t="s">
        <v>230</v>
      </c>
    </row>
    <row r="56" spans="1:10" ht="15.75" thickBot="1" x14ac:dyDescent="0.3">
      <c r="A56" s="596"/>
      <c r="B56" s="153" t="s">
        <v>860</v>
      </c>
      <c r="C56" s="152"/>
      <c r="D56" s="168"/>
      <c r="E56" s="151">
        <v>1</v>
      </c>
      <c r="F56" s="150">
        <v>5</v>
      </c>
      <c r="G56" s="149">
        <f t="shared" si="2"/>
        <v>95</v>
      </c>
      <c r="H56" s="148">
        <f t="shared" si="3"/>
        <v>79</v>
      </c>
      <c r="I56" s="138" t="s">
        <v>20</v>
      </c>
      <c r="J56" s="71" t="s">
        <v>856</v>
      </c>
    </row>
    <row r="57" spans="1:10" x14ac:dyDescent="0.25">
      <c r="A57" s="594" t="s">
        <v>196</v>
      </c>
      <c r="B57" s="167" t="s">
        <v>859</v>
      </c>
      <c r="C57" s="166"/>
      <c r="D57" s="165"/>
      <c r="E57" s="164">
        <v>1</v>
      </c>
      <c r="F57" s="163">
        <v>4</v>
      </c>
      <c r="G57" s="162">
        <f t="shared" si="2"/>
        <v>76</v>
      </c>
      <c r="H57" s="161">
        <f t="shared" si="3"/>
        <v>63</v>
      </c>
      <c r="I57" s="124" t="s">
        <v>20</v>
      </c>
      <c r="J57" s="74" t="s">
        <v>230</v>
      </c>
    </row>
    <row r="58" spans="1:10" x14ac:dyDescent="0.25">
      <c r="A58" s="597"/>
      <c r="B58" s="160" t="s">
        <v>858</v>
      </c>
      <c r="C58" s="159"/>
      <c r="D58" s="158"/>
      <c r="E58" s="157">
        <v>1</v>
      </c>
      <c r="F58" s="156">
        <v>4</v>
      </c>
      <c r="G58" s="155">
        <f t="shared" si="2"/>
        <v>76</v>
      </c>
      <c r="H58" s="154">
        <f t="shared" si="3"/>
        <v>63</v>
      </c>
      <c r="I58" s="128" t="s">
        <v>19</v>
      </c>
      <c r="J58" s="70" t="s">
        <v>230</v>
      </c>
    </row>
    <row r="59" spans="1:10" x14ac:dyDescent="0.25">
      <c r="A59" s="595"/>
      <c r="B59" s="160" t="s">
        <v>857</v>
      </c>
      <c r="C59" s="159"/>
      <c r="D59" s="158"/>
      <c r="E59" s="157">
        <v>1</v>
      </c>
      <c r="F59" s="156">
        <v>4</v>
      </c>
      <c r="G59" s="155">
        <f t="shared" si="2"/>
        <v>76</v>
      </c>
      <c r="H59" s="154">
        <f t="shared" si="3"/>
        <v>63</v>
      </c>
      <c r="I59" s="128" t="s">
        <v>19</v>
      </c>
      <c r="J59" s="70" t="s">
        <v>230</v>
      </c>
    </row>
    <row r="60" spans="1:10" ht="15.75" thickBot="1" x14ac:dyDescent="0.3">
      <c r="A60" s="596"/>
      <c r="B60" s="153" t="s">
        <v>791</v>
      </c>
      <c r="C60" s="152"/>
      <c r="D60" s="152"/>
      <c r="E60" s="151">
        <v>1</v>
      </c>
      <c r="F60" s="150">
        <v>8</v>
      </c>
      <c r="G60" s="149">
        <f t="shared" si="2"/>
        <v>152</v>
      </c>
      <c r="H60" s="148">
        <f t="shared" si="3"/>
        <v>127</v>
      </c>
      <c r="I60" s="138" t="s">
        <v>19</v>
      </c>
      <c r="J60" s="71" t="s">
        <v>856</v>
      </c>
    </row>
    <row r="61" spans="1:10" x14ac:dyDescent="0.25">
      <c r="E61" s="189"/>
    </row>
    <row r="75" spans="3:5" x14ac:dyDescent="0.25">
      <c r="C75">
        <v>50</v>
      </c>
      <c r="E75">
        <v>19</v>
      </c>
    </row>
  </sheetData>
  <mergeCells count="10">
    <mergeCell ref="A41:A45"/>
    <mergeCell ref="A46:A50"/>
    <mergeCell ref="A51:A56"/>
    <mergeCell ref="A57:A60"/>
    <mergeCell ref="A4:A10"/>
    <mergeCell ref="A11:A17"/>
    <mergeCell ref="A18:A24"/>
    <mergeCell ref="A25:A30"/>
    <mergeCell ref="A31:A35"/>
    <mergeCell ref="A36:A40"/>
  </mergeCells>
  <dataValidations count="2">
    <dataValidation type="list" allowBlank="1" showInputMessage="1" showErrorMessage="1" sqref="I1:I1048576" xr:uid="{00000000-0002-0000-1C00-000000000000}">
      <formula1>Áreas</formula1>
    </dataValidation>
    <dataValidation type="list" allowBlank="1" showInputMessage="1" showErrorMessage="1" sqref="J1:J1048576" xr:uid="{00000000-0002-0000-1C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30"/>
  <dimension ref="A1:J86"/>
  <sheetViews>
    <sheetView workbookViewId="0">
      <selection sqref="A1:J71"/>
    </sheetView>
  </sheetViews>
  <sheetFormatPr defaultColWidth="9.140625" defaultRowHeight="15" x14ac:dyDescent="0.25"/>
  <cols>
    <col min="2" max="2" width="56" customWidth="1"/>
    <col min="7" max="7" width="11.140625" bestFit="1" customWidth="1"/>
    <col min="8" max="8" width="11.42578125" bestFit="1" customWidth="1"/>
    <col min="9" max="9" width="16.85546875" bestFit="1" customWidth="1"/>
    <col min="10" max="10" width="33.85546875" bestFit="1" customWidth="1"/>
    <col min="11" max="15" width="14.5703125" customWidth="1"/>
  </cols>
  <sheetData>
    <row r="1" spans="1:10" ht="15.75" thickBot="1" x14ac:dyDescent="0.3">
      <c r="A1" t="s">
        <v>853</v>
      </c>
    </row>
    <row r="2" spans="1:10" ht="30.75" thickBot="1" x14ac:dyDescent="0.3">
      <c r="F2" s="180" t="s">
        <v>48</v>
      </c>
    </row>
    <row r="3" spans="1:10" ht="30.75" thickBot="1" x14ac:dyDescent="0.3">
      <c r="A3" s="184"/>
      <c r="B3" s="183" t="s">
        <v>44</v>
      </c>
      <c r="C3" s="180" t="s">
        <v>45</v>
      </c>
      <c r="D3" s="180" t="s">
        <v>46</v>
      </c>
      <c r="E3" s="180" t="s">
        <v>47</v>
      </c>
      <c r="F3" s="182"/>
      <c r="G3" s="181" t="s">
        <v>49</v>
      </c>
      <c r="H3" s="180" t="s">
        <v>50</v>
      </c>
      <c r="I3" s="179" t="s">
        <v>313</v>
      </c>
      <c r="J3" s="178" t="s">
        <v>228</v>
      </c>
    </row>
    <row r="4" spans="1:10" x14ac:dyDescent="0.25">
      <c r="A4" s="594" t="s">
        <v>51</v>
      </c>
      <c r="B4" s="167" t="s">
        <v>852</v>
      </c>
      <c r="C4" s="166"/>
      <c r="D4" s="165"/>
      <c r="E4" s="166">
        <v>1</v>
      </c>
      <c r="F4" s="177">
        <v>5</v>
      </c>
      <c r="G4" s="162">
        <f t="shared" ref="G4:G35" si="0">$E$86*F4</f>
        <v>95</v>
      </c>
      <c r="H4" s="176">
        <f t="shared" ref="H4:H35" si="1">ROUND(G4*$C$86/60,)</f>
        <v>79</v>
      </c>
      <c r="I4" s="69" t="s">
        <v>6</v>
      </c>
      <c r="J4" s="69" t="s">
        <v>230</v>
      </c>
    </row>
    <row r="5" spans="1:10" x14ac:dyDescent="0.25">
      <c r="A5" s="595"/>
      <c r="B5" s="160" t="s">
        <v>851</v>
      </c>
      <c r="C5" s="159"/>
      <c r="D5" s="158"/>
      <c r="E5" s="159">
        <v>2</v>
      </c>
      <c r="F5" s="175">
        <v>2</v>
      </c>
      <c r="G5" s="155">
        <f t="shared" si="0"/>
        <v>38</v>
      </c>
      <c r="H5" s="174">
        <f t="shared" si="1"/>
        <v>32</v>
      </c>
      <c r="I5" s="70" t="s">
        <v>6</v>
      </c>
      <c r="J5" s="70" t="s">
        <v>233</v>
      </c>
    </row>
    <row r="6" spans="1:10" x14ac:dyDescent="0.25">
      <c r="A6" s="595"/>
      <c r="B6" s="160" t="s">
        <v>850</v>
      </c>
      <c r="C6" s="159"/>
      <c r="D6" s="158"/>
      <c r="E6" s="159">
        <v>1</v>
      </c>
      <c r="F6" s="175">
        <v>1</v>
      </c>
      <c r="G6" s="155">
        <f t="shared" si="0"/>
        <v>19</v>
      </c>
      <c r="H6" s="174">
        <f t="shared" si="1"/>
        <v>16</v>
      </c>
      <c r="I6" s="70" t="s">
        <v>19</v>
      </c>
      <c r="J6" s="70" t="s">
        <v>230</v>
      </c>
    </row>
    <row r="7" spans="1:10" x14ac:dyDescent="0.25">
      <c r="A7" s="595"/>
      <c r="B7" s="160" t="s">
        <v>849</v>
      </c>
      <c r="C7" s="159"/>
      <c r="D7" s="158"/>
      <c r="E7" s="159">
        <v>2</v>
      </c>
      <c r="F7" s="175">
        <v>4</v>
      </c>
      <c r="G7" s="155">
        <f t="shared" si="0"/>
        <v>76</v>
      </c>
      <c r="H7" s="174">
        <f t="shared" si="1"/>
        <v>63</v>
      </c>
      <c r="I7" s="70" t="s">
        <v>19</v>
      </c>
      <c r="J7" s="70" t="s">
        <v>230</v>
      </c>
    </row>
    <row r="8" spans="1:10" x14ac:dyDescent="0.25">
      <c r="A8" s="595"/>
      <c r="B8" s="160" t="s">
        <v>848</v>
      </c>
      <c r="C8" s="159"/>
      <c r="D8" s="158"/>
      <c r="E8" s="159">
        <v>1</v>
      </c>
      <c r="F8" s="175">
        <v>4</v>
      </c>
      <c r="G8" s="155">
        <f t="shared" si="0"/>
        <v>76</v>
      </c>
      <c r="H8" s="174">
        <f t="shared" si="1"/>
        <v>63</v>
      </c>
      <c r="I8" s="70" t="s">
        <v>21</v>
      </c>
      <c r="J8" s="70" t="s">
        <v>230</v>
      </c>
    </row>
    <row r="9" spans="1:10" x14ac:dyDescent="0.25">
      <c r="A9" s="595"/>
      <c r="B9" s="160" t="s">
        <v>847</v>
      </c>
      <c r="C9" s="159"/>
      <c r="D9" s="158"/>
      <c r="E9" s="159">
        <v>1</v>
      </c>
      <c r="F9" s="175">
        <v>4</v>
      </c>
      <c r="G9" s="155">
        <f t="shared" si="0"/>
        <v>76</v>
      </c>
      <c r="H9" s="174">
        <f t="shared" si="1"/>
        <v>63</v>
      </c>
      <c r="I9" s="70" t="s">
        <v>21</v>
      </c>
      <c r="J9" s="70" t="s">
        <v>230</v>
      </c>
    </row>
    <row r="10" spans="1:10" x14ac:dyDescent="0.25">
      <c r="A10" s="595"/>
      <c r="B10" s="160" t="s">
        <v>846</v>
      </c>
      <c r="C10" s="159"/>
      <c r="D10" s="158"/>
      <c r="E10" s="159">
        <v>2</v>
      </c>
      <c r="F10" s="175">
        <v>4</v>
      </c>
      <c r="G10" s="155">
        <f t="shared" si="0"/>
        <v>76</v>
      </c>
      <c r="H10" s="174">
        <f t="shared" si="1"/>
        <v>63</v>
      </c>
      <c r="I10" s="70" t="s">
        <v>7</v>
      </c>
      <c r="J10" s="70" t="s">
        <v>233</v>
      </c>
    </row>
    <row r="11" spans="1:10" ht="15.75" thickBot="1" x14ac:dyDescent="0.3">
      <c r="A11" s="596"/>
      <c r="B11" s="153" t="s">
        <v>845</v>
      </c>
      <c r="C11" s="152"/>
      <c r="D11" s="168"/>
      <c r="E11" s="152">
        <v>1</v>
      </c>
      <c r="F11" s="173">
        <v>4</v>
      </c>
      <c r="G11" s="172">
        <f t="shared" si="0"/>
        <v>76</v>
      </c>
      <c r="H11" s="171">
        <f t="shared" si="1"/>
        <v>63</v>
      </c>
      <c r="I11" s="71" t="s">
        <v>20</v>
      </c>
      <c r="J11" s="71" t="s">
        <v>231</v>
      </c>
    </row>
    <row r="12" spans="1:10" x14ac:dyDescent="0.25">
      <c r="A12" s="594" t="s">
        <v>67</v>
      </c>
      <c r="B12" s="167" t="s">
        <v>844</v>
      </c>
      <c r="C12" s="166"/>
      <c r="D12" s="165"/>
      <c r="E12" s="164">
        <v>1</v>
      </c>
      <c r="F12" s="163">
        <v>5</v>
      </c>
      <c r="G12" s="162">
        <f t="shared" si="0"/>
        <v>95</v>
      </c>
      <c r="H12" s="161">
        <f t="shared" si="1"/>
        <v>79</v>
      </c>
      <c r="I12" s="124" t="s">
        <v>6</v>
      </c>
      <c r="J12" s="69" t="s">
        <v>230</v>
      </c>
    </row>
    <row r="13" spans="1:10" x14ac:dyDescent="0.25">
      <c r="A13" s="595"/>
      <c r="B13" s="160" t="s">
        <v>843</v>
      </c>
      <c r="C13" s="159"/>
      <c r="D13" s="158"/>
      <c r="E13" s="157">
        <v>2</v>
      </c>
      <c r="F13" s="156">
        <v>2</v>
      </c>
      <c r="G13" s="155">
        <f t="shared" si="0"/>
        <v>38</v>
      </c>
      <c r="H13" s="154">
        <f t="shared" si="1"/>
        <v>32</v>
      </c>
      <c r="I13" s="128" t="s">
        <v>6</v>
      </c>
      <c r="J13" s="70" t="s">
        <v>233</v>
      </c>
    </row>
    <row r="14" spans="1:10" x14ac:dyDescent="0.25">
      <c r="A14" s="595"/>
      <c r="B14" s="160" t="s">
        <v>842</v>
      </c>
      <c r="C14" s="159"/>
      <c r="D14" s="158"/>
      <c r="E14" s="157">
        <v>1</v>
      </c>
      <c r="F14" s="156">
        <v>4</v>
      </c>
      <c r="G14" s="155">
        <f t="shared" si="0"/>
        <v>76</v>
      </c>
      <c r="H14" s="154">
        <f t="shared" si="1"/>
        <v>63</v>
      </c>
      <c r="I14" s="128" t="s">
        <v>19</v>
      </c>
      <c r="J14" s="70" t="s">
        <v>230</v>
      </c>
    </row>
    <row r="15" spans="1:10" x14ac:dyDescent="0.25">
      <c r="A15" s="595"/>
      <c r="B15" s="160" t="s">
        <v>841</v>
      </c>
      <c r="C15" s="159"/>
      <c r="D15" s="158"/>
      <c r="E15" s="157">
        <v>1</v>
      </c>
      <c r="F15" s="156">
        <v>1</v>
      </c>
      <c r="G15" s="155">
        <f t="shared" si="0"/>
        <v>19</v>
      </c>
      <c r="H15" s="154">
        <f t="shared" si="1"/>
        <v>16</v>
      </c>
      <c r="I15" s="128" t="s">
        <v>19</v>
      </c>
      <c r="J15" s="70" t="s">
        <v>230</v>
      </c>
    </row>
    <row r="16" spans="1:10" x14ac:dyDescent="0.25">
      <c r="A16" s="595"/>
      <c r="B16" s="160" t="s">
        <v>840</v>
      </c>
      <c r="C16" s="159"/>
      <c r="D16" s="158"/>
      <c r="E16" s="157">
        <v>2</v>
      </c>
      <c r="F16" s="156">
        <v>2</v>
      </c>
      <c r="G16" s="155">
        <f t="shared" si="0"/>
        <v>38</v>
      </c>
      <c r="H16" s="154">
        <f t="shared" si="1"/>
        <v>32</v>
      </c>
      <c r="I16" s="128" t="s">
        <v>19</v>
      </c>
      <c r="J16" s="70" t="s">
        <v>230</v>
      </c>
    </row>
    <row r="17" spans="1:10" x14ac:dyDescent="0.25">
      <c r="A17" s="595"/>
      <c r="B17" s="160" t="s">
        <v>839</v>
      </c>
      <c r="C17" s="159"/>
      <c r="D17" s="158"/>
      <c r="E17" s="157">
        <v>1</v>
      </c>
      <c r="F17" s="156">
        <v>2</v>
      </c>
      <c r="G17" s="155">
        <f t="shared" si="0"/>
        <v>38</v>
      </c>
      <c r="H17" s="154">
        <f t="shared" si="1"/>
        <v>32</v>
      </c>
      <c r="I17" s="128" t="s">
        <v>18</v>
      </c>
      <c r="J17" s="70" t="s">
        <v>230</v>
      </c>
    </row>
    <row r="18" spans="1:10" x14ac:dyDescent="0.25">
      <c r="A18" s="595"/>
      <c r="B18" s="160" t="s">
        <v>838</v>
      </c>
      <c r="C18" s="159"/>
      <c r="D18" s="158"/>
      <c r="E18" s="157">
        <v>2</v>
      </c>
      <c r="F18" s="156">
        <v>1</v>
      </c>
      <c r="G18" s="155">
        <f t="shared" si="0"/>
        <v>19</v>
      </c>
      <c r="H18" s="154">
        <f t="shared" si="1"/>
        <v>16</v>
      </c>
      <c r="I18" s="128" t="s">
        <v>18</v>
      </c>
      <c r="J18" s="70" t="s">
        <v>231</v>
      </c>
    </row>
    <row r="19" spans="1:10" x14ac:dyDescent="0.25">
      <c r="A19" s="595"/>
      <c r="B19" s="160" t="s">
        <v>375</v>
      </c>
      <c r="C19" s="159"/>
      <c r="D19" s="158"/>
      <c r="E19" s="157">
        <v>1</v>
      </c>
      <c r="F19" s="156">
        <v>4</v>
      </c>
      <c r="G19" s="155">
        <f t="shared" si="0"/>
        <v>76</v>
      </c>
      <c r="H19" s="154">
        <f t="shared" si="1"/>
        <v>63</v>
      </c>
      <c r="I19" s="128" t="s">
        <v>21</v>
      </c>
      <c r="J19" s="70" t="s">
        <v>230</v>
      </c>
    </row>
    <row r="20" spans="1:10" ht="15.75" thickBot="1" x14ac:dyDescent="0.3">
      <c r="A20" s="596"/>
      <c r="B20" s="153" t="s">
        <v>837</v>
      </c>
      <c r="C20" s="152"/>
      <c r="D20" s="168"/>
      <c r="E20" s="151">
        <v>1</v>
      </c>
      <c r="F20" s="150">
        <v>4</v>
      </c>
      <c r="G20" s="149">
        <f t="shared" si="0"/>
        <v>76</v>
      </c>
      <c r="H20" s="148">
        <f t="shared" si="1"/>
        <v>63</v>
      </c>
      <c r="I20" s="138" t="s">
        <v>21</v>
      </c>
      <c r="J20" s="71" t="s">
        <v>230</v>
      </c>
    </row>
    <row r="21" spans="1:10" x14ac:dyDescent="0.25">
      <c r="A21" s="594" t="s">
        <v>85</v>
      </c>
      <c r="B21" s="167" t="s">
        <v>836</v>
      </c>
      <c r="C21" s="166"/>
      <c r="D21" s="165"/>
      <c r="E21" s="164">
        <v>1</v>
      </c>
      <c r="F21" s="163">
        <v>4</v>
      </c>
      <c r="G21" s="162">
        <f t="shared" si="0"/>
        <v>76</v>
      </c>
      <c r="H21" s="161">
        <f t="shared" si="1"/>
        <v>63</v>
      </c>
      <c r="I21" s="124" t="s">
        <v>19</v>
      </c>
      <c r="J21" s="69" t="s">
        <v>230</v>
      </c>
    </row>
    <row r="22" spans="1:10" x14ac:dyDescent="0.25">
      <c r="A22" s="595"/>
      <c r="B22" s="160" t="s">
        <v>835</v>
      </c>
      <c r="C22" s="159"/>
      <c r="D22" s="158"/>
      <c r="E22" s="157">
        <v>1</v>
      </c>
      <c r="F22" s="156">
        <v>1</v>
      </c>
      <c r="G22" s="155">
        <f t="shared" si="0"/>
        <v>19</v>
      </c>
      <c r="H22" s="154">
        <f t="shared" si="1"/>
        <v>16</v>
      </c>
      <c r="I22" s="128" t="s">
        <v>20</v>
      </c>
      <c r="J22" s="70" t="s">
        <v>230</v>
      </c>
    </row>
    <row r="23" spans="1:10" x14ac:dyDescent="0.25">
      <c r="A23" s="595"/>
      <c r="B23" s="160" t="s">
        <v>834</v>
      </c>
      <c r="C23" s="159"/>
      <c r="D23" s="158"/>
      <c r="E23" s="157">
        <v>1</v>
      </c>
      <c r="F23" s="156">
        <v>4</v>
      </c>
      <c r="G23" s="155">
        <f t="shared" si="0"/>
        <v>76</v>
      </c>
      <c r="H23" s="154">
        <f t="shared" si="1"/>
        <v>63</v>
      </c>
      <c r="I23" s="128" t="s">
        <v>19</v>
      </c>
      <c r="J23" s="70" t="s">
        <v>230</v>
      </c>
    </row>
    <row r="24" spans="1:10" x14ac:dyDescent="0.25">
      <c r="A24" s="595"/>
      <c r="B24" s="160" t="s">
        <v>833</v>
      </c>
      <c r="C24" s="159"/>
      <c r="D24" s="158"/>
      <c r="E24" s="157">
        <v>1</v>
      </c>
      <c r="F24" s="156">
        <v>4</v>
      </c>
      <c r="G24" s="155">
        <f t="shared" si="0"/>
        <v>76</v>
      </c>
      <c r="H24" s="154">
        <f t="shared" si="1"/>
        <v>63</v>
      </c>
      <c r="I24" s="128" t="s">
        <v>21</v>
      </c>
      <c r="J24" s="70" t="s">
        <v>230</v>
      </c>
    </row>
    <row r="25" spans="1:10" x14ac:dyDescent="0.25">
      <c r="A25" s="595"/>
      <c r="B25" s="160" t="s">
        <v>169</v>
      </c>
      <c r="C25" s="159"/>
      <c r="D25" s="159"/>
      <c r="E25" s="157">
        <v>1</v>
      </c>
      <c r="F25" s="156">
        <v>4</v>
      </c>
      <c r="G25" s="155">
        <f t="shared" si="0"/>
        <v>76</v>
      </c>
      <c r="H25" s="154">
        <f t="shared" si="1"/>
        <v>63</v>
      </c>
      <c r="I25" s="128" t="s">
        <v>19</v>
      </c>
      <c r="J25" s="70" t="s">
        <v>230</v>
      </c>
    </row>
    <row r="26" spans="1:10" x14ac:dyDescent="0.25">
      <c r="A26" s="595"/>
      <c r="B26" s="160" t="s">
        <v>832</v>
      </c>
      <c r="C26" s="159"/>
      <c r="D26" s="158"/>
      <c r="E26" s="157">
        <v>1</v>
      </c>
      <c r="F26" s="156">
        <v>4</v>
      </c>
      <c r="G26" s="155">
        <f t="shared" si="0"/>
        <v>76</v>
      </c>
      <c r="H26" s="154">
        <f t="shared" si="1"/>
        <v>63</v>
      </c>
      <c r="I26" s="128" t="s">
        <v>21</v>
      </c>
      <c r="J26" s="70" t="s">
        <v>230</v>
      </c>
    </row>
    <row r="27" spans="1:10" ht="15.75" thickBot="1" x14ac:dyDescent="0.3">
      <c r="A27" s="596"/>
      <c r="B27" s="153" t="s">
        <v>831</v>
      </c>
      <c r="C27" s="152"/>
      <c r="D27" s="168"/>
      <c r="E27" s="151">
        <v>1</v>
      </c>
      <c r="F27" s="150">
        <v>4</v>
      </c>
      <c r="G27" s="149">
        <f t="shared" si="0"/>
        <v>76</v>
      </c>
      <c r="H27" s="148">
        <f t="shared" si="1"/>
        <v>63</v>
      </c>
      <c r="I27" s="138" t="s">
        <v>19</v>
      </c>
      <c r="J27" s="71" t="s">
        <v>230</v>
      </c>
    </row>
    <row r="28" spans="1:10" x14ac:dyDescent="0.25">
      <c r="A28" s="594" t="s">
        <v>99</v>
      </c>
      <c r="B28" s="167" t="s">
        <v>830</v>
      </c>
      <c r="C28" s="166"/>
      <c r="D28" s="165"/>
      <c r="E28" s="164">
        <v>1</v>
      </c>
      <c r="F28" s="163">
        <v>2</v>
      </c>
      <c r="G28" s="162">
        <f t="shared" si="0"/>
        <v>38</v>
      </c>
      <c r="H28" s="161">
        <f t="shared" si="1"/>
        <v>32</v>
      </c>
      <c r="I28" s="124" t="s">
        <v>9</v>
      </c>
      <c r="J28" s="69" t="s">
        <v>230</v>
      </c>
    </row>
    <row r="29" spans="1:10" x14ac:dyDescent="0.25">
      <c r="A29" s="595"/>
      <c r="B29" s="160" t="s">
        <v>829</v>
      </c>
      <c r="C29" s="159"/>
      <c r="D29" s="158"/>
      <c r="E29" s="157">
        <v>1</v>
      </c>
      <c r="F29" s="156">
        <v>4</v>
      </c>
      <c r="G29" s="155">
        <f t="shared" si="0"/>
        <v>76</v>
      </c>
      <c r="H29" s="154">
        <f t="shared" si="1"/>
        <v>63</v>
      </c>
      <c r="I29" s="128" t="s">
        <v>20</v>
      </c>
      <c r="J29" s="70" t="s">
        <v>230</v>
      </c>
    </row>
    <row r="30" spans="1:10" x14ac:dyDescent="0.25">
      <c r="A30" s="595"/>
      <c r="B30" s="160" t="s">
        <v>828</v>
      </c>
      <c r="C30" s="159"/>
      <c r="D30" s="158"/>
      <c r="E30" s="157">
        <v>1</v>
      </c>
      <c r="F30" s="156">
        <v>3</v>
      </c>
      <c r="G30" s="155">
        <f t="shared" si="0"/>
        <v>57</v>
      </c>
      <c r="H30" s="154">
        <f t="shared" si="1"/>
        <v>48</v>
      </c>
      <c r="I30" s="128" t="s">
        <v>19</v>
      </c>
      <c r="J30" s="70" t="s">
        <v>230</v>
      </c>
    </row>
    <row r="31" spans="1:10" x14ac:dyDescent="0.25">
      <c r="A31" s="595"/>
      <c r="B31" s="160" t="s">
        <v>827</v>
      </c>
      <c r="C31" s="159"/>
      <c r="D31" s="158"/>
      <c r="E31" s="157">
        <v>1</v>
      </c>
      <c r="F31" s="156">
        <v>1</v>
      </c>
      <c r="G31" s="155">
        <f t="shared" si="0"/>
        <v>19</v>
      </c>
      <c r="H31" s="154">
        <f t="shared" si="1"/>
        <v>16</v>
      </c>
      <c r="I31" s="128" t="s">
        <v>19</v>
      </c>
      <c r="J31" s="70" t="s">
        <v>230</v>
      </c>
    </row>
    <row r="32" spans="1:10" x14ac:dyDescent="0.25">
      <c r="A32" s="595"/>
      <c r="B32" s="160" t="s">
        <v>826</v>
      </c>
      <c r="C32" s="159"/>
      <c r="D32" s="158"/>
      <c r="E32" s="157">
        <v>1</v>
      </c>
      <c r="F32" s="156">
        <v>4</v>
      </c>
      <c r="G32" s="155">
        <f t="shared" si="0"/>
        <v>76</v>
      </c>
      <c r="H32" s="154">
        <f t="shared" si="1"/>
        <v>63</v>
      </c>
      <c r="I32" s="128" t="s">
        <v>19</v>
      </c>
      <c r="J32" s="70" t="s">
        <v>230</v>
      </c>
    </row>
    <row r="33" spans="1:10" x14ac:dyDescent="0.25">
      <c r="A33" s="595"/>
      <c r="B33" s="160" t="s">
        <v>825</v>
      </c>
      <c r="C33" s="159"/>
      <c r="D33" s="158"/>
      <c r="E33" s="157">
        <v>1</v>
      </c>
      <c r="F33" s="156">
        <v>4</v>
      </c>
      <c r="G33" s="155">
        <f t="shared" si="0"/>
        <v>76</v>
      </c>
      <c r="H33" s="154">
        <f t="shared" si="1"/>
        <v>63</v>
      </c>
      <c r="I33" s="128" t="s">
        <v>21</v>
      </c>
      <c r="J33" s="70" t="s">
        <v>230</v>
      </c>
    </row>
    <row r="34" spans="1:10" x14ac:dyDescent="0.25">
      <c r="A34" s="595"/>
      <c r="B34" s="160" t="s">
        <v>824</v>
      </c>
      <c r="C34" s="159"/>
      <c r="D34" s="158"/>
      <c r="E34" s="157">
        <v>1</v>
      </c>
      <c r="F34" s="156">
        <v>4</v>
      </c>
      <c r="G34" s="155">
        <f t="shared" si="0"/>
        <v>76</v>
      </c>
      <c r="H34" s="154">
        <f t="shared" si="1"/>
        <v>63</v>
      </c>
      <c r="I34" s="128" t="s">
        <v>21</v>
      </c>
      <c r="J34" s="70" t="s">
        <v>230</v>
      </c>
    </row>
    <row r="35" spans="1:10" ht="15.75" thickBot="1" x14ac:dyDescent="0.3">
      <c r="A35" s="596"/>
      <c r="B35" s="153" t="s">
        <v>823</v>
      </c>
      <c r="C35" s="152"/>
      <c r="D35" s="168"/>
      <c r="E35" s="151">
        <v>1</v>
      </c>
      <c r="F35" s="150">
        <v>4</v>
      </c>
      <c r="G35" s="149">
        <f t="shared" si="0"/>
        <v>76</v>
      </c>
      <c r="H35" s="148">
        <f t="shared" si="1"/>
        <v>63</v>
      </c>
      <c r="I35" s="138" t="s">
        <v>19</v>
      </c>
      <c r="J35" s="71" t="s">
        <v>230</v>
      </c>
    </row>
    <row r="36" spans="1:10" x14ac:dyDescent="0.25">
      <c r="A36" s="594" t="s">
        <v>115</v>
      </c>
      <c r="B36" s="167" t="s">
        <v>822</v>
      </c>
      <c r="C36" s="166"/>
      <c r="D36" s="165"/>
      <c r="E36" s="164">
        <v>1</v>
      </c>
      <c r="F36" s="163">
        <v>4</v>
      </c>
      <c r="G36" s="162">
        <f t="shared" ref="G36:G67" si="2">$E$86*F36</f>
        <v>76</v>
      </c>
      <c r="H36" s="161">
        <f t="shared" ref="H36:H67" si="3">ROUND(G36*$C$86/60,)</f>
        <v>63</v>
      </c>
      <c r="I36" s="124" t="s">
        <v>20</v>
      </c>
      <c r="J36" s="69" t="s">
        <v>230</v>
      </c>
    </row>
    <row r="37" spans="1:10" x14ac:dyDescent="0.25">
      <c r="A37" s="595"/>
      <c r="B37" s="160" t="s">
        <v>821</v>
      </c>
      <c r="C37" s="159"/>
      <c r="D37" s="158"/>
      <c r="E37" s="157">
        <v>1</v>
      </c>
      <c r="F37" s="156">
        <v>4</v>
      </c>
      <c r="G37" s="155">
        <f t="shared" si="2"/>
        <v>76</v>
      </c>
      <c r="H37" s="154">
        <f t="shared" si="3"/>
        <v>63</v>
      </c>
      <c r="I37" s="128" t="s">
        <v>20</v>
      </c>
      <c r="J37" s="70" t="s">
        <v>230</v>
      </c>
    </row>
    <row r="38" spans="1:10" x14ac:dyDescent="0.25">
      <c r="A38" s="595"/>
      <c r="B38" s="160" t="s">
        <v>820</v>
      </c>
      <c r="C38" s="159"/>
      <c r="D38" s="158"/>
      <c r="E38" s="157">
        <v>1</v>
      </c>
      <c r="F38" s="156">
        <v>4</v>
      </c>
      <c r="G38" s="155">
        <f t="shared" si="2"/>
        <v>76</v>
      </c>
      <c r="H38" s="154">
        <f t="shared" si="3"/>
        <v>63</v>
      </c>
      <c r="I38" s="128" t="s">
        <v>19</v>
      </c>
      <c r="J38" s="70" t="s">
        <v>230</v>
      </c>
    </row>
    <row r="39" spans="1:10" x14ac:dyDescent="0.25">
      <c r="A39" s="595"/>
      <c r="B39" s="160" t="s">
        <v>819</v>
      </c>
      <c r="C39" s="159"/>
      <c r="D39" s="158"/>
      <c r="E39" s="157">
        <v>1</v>
      </c>
      <c r="F39" s="156">
        <v>4</v>
      </c>
      <c r="G39" s="155">
        <f t="shared" si="2"/>
        <v>76</v>
      </c>
      <c r="H39" s="154">
        <f t="shared" si="3"/>
        <v>63</v>
      </c>
      <c r="I39" s="128" t="s">
        <v>19</v>
      </c>
      <c r="J39" s="70" t="s">
        <v>230</v>
      </c>
    </row>
    <row r="40" spans="1:10" x14ac:dyDescent="0.25">
      <c r="A40" s="595"/>
      <c r="B40" s="160" t="s">
        <v>818</v>
      </c>
      <c r="C40" s="159"/>
      <c r="D40" s="158"/>
      <c r="E40" s="157">
        <v>1</v>
      </c>
      <c r="F40" s="156">
        <v>1</v>
      </c>
      <c r="G40" s="155">
        <f t="shared" si="2"/>
        <v>19</v>
      </c>
      <c r="H40" s="154">
        <f t="shared" si="3"/>
        <v>16</v>
      </c>
      <c r="I40" s="128" t="s">
        <v>20</v>
      </c>
      <c r="J40" s="70" t="s">
        <v>230</v>
      </c>
    </row>
    <row r="41" spans="1:10" x14ac:dyDescent="0.25">
      <c r="A41" s="595"/>
      <c r="B41" s="160" t="s">
        <v>817</v>
      </c>
      <c r="C41" s="159"/>
      <c r="D41" s="158"/>
      <c r="E41" s="157">
        <v>1</v>
      </c>
      <c r="F41" s="156">
        <v>4</v>
      </c>
      <c r="G41" s="155">
        <f t="shared" si="2"/>
        <v>76</v>
      </c>
      <c r="H41" s="154">
        <f t="shared" si="3"/>
        <v>63</v>
      </c>
      <c r="I41" s="128" t="s">
        <v>19</v>
      </c>
      <c r="J41" s="70" t="s">
        <v>230</v>
      </c>
    </row>
    <row r="42" spans="1:10" ht="15.75" thickBot="1" x14ac:dyDescent="0.3">
      <c r="A42" s="596"/>
      <c r="B42" s="153" t="s">
        <v>816</v>
      </c>
      <c r="C42" s="152"/>
      <c r="D42" s="168"/>
      <c r="E42" s="151">
        <v>1</v>
      </c>
      <c r="F42" s="150">
        <v>4</v>
      </c>
      <c r="G42" s="149">
        <f t="shared" si="2"/>
        <v>76</v>
      </c>
      <c r="H42" s="148">
        <f t="shared" si="3"/>
        <v>63</v>
      </c>
      <c r="I42" s="138" t="s">
        <v>19</v>
      </c>
      <c r="J42" s="71" t="s">
        <v>230</v>
      </c>
    </row>
    <row r="43" spans="1:10" x14ac:dyDescent="0.25">
      <c r="A43" s="594" t="s">
        <v>132</v>
      </c>
      <c r="B43" s="167" t="s">
        <v>815</v>
      </c>
      <c r="C43" s="166"/>
      <c r="D43" s="165"/>
      <c r="E43" s="164">
        <v>1</v>
      </c>
      <c r="F43" s="163">
        <v>2</v>
      </c>
      <c r="G43" s="162">
        <f t="shared" si="2"/>
        <v>38</v>
      </c>
      <c r="H43" s="161">
        <f t="shared" si="3"/>
        <v>32</v>
      </c>
      <c r="I43" s="170" t="s">
        <v>18</v>
      </c>
      <c r="J43" s="72" t="s">
        <v>230</v>
      </c>
    </row>
    <row r="44" spans="1:10" x14ac:dyDescent="0.25">
      <c r="A44" s="595"/>
      <c r="B44" s="160" t="s">
        <v>814</v>
      </c>
      <c r="C44" s="159"/>
      <c r="D44" s="159"/>
      <c r="E44" s="157">
        <v>1</v>
      </c>
      <c r="F44" s="156">
        <v>4</v>
      </c>
      <c r="G44" s="155">
        <f t="shared" si="2"/>
        <v>76</v>
      </c>
      <c r="H44" s="154">
        <f t="shared" si="3"/>
        <v>63</v>
      </c>
      <c r="I44" s="128" t="s">
        <v>19</v>
      </c>
      <c r="J44" s="70" t="s">
        <v>230</v>
      </c>
    </row>
    <row r="45" spans="1:10" x14ac:dyDescent="0.25">
      <c r="A45" s="595"/>
      <c r="B45" s="160" t="s">
        <v>813</v>
      </c>
      <c r="C45" s="159"/>
      <c r="D45" s="159"/>
      <c r="E45" s="157">
        <v>1</v>
      </c>
      <c r="F45" s="156">
        <v>4</v>
      </c>
      <c r="G45" s="155">
        <f t="shared" si="2"/>
        <v>76</v>
      </c>
      <c r="H45" s="154">
        <f t="shared" si="3"/>
        <v>63</v>
      </c>
      <c r="I45" s="128" t="s">
        <v>19</v>
      </c>
      <c r="J45" s="70" t="s">
        <v>230</v>
      </c>
    </row>
    <row r="46" spans="1:10" x14ac:dyDescent="0.25">
      <c r="A46" s="595"/>
      <c r="B46" s="160" t="s">
        <v>812</v>
      </c>
      <c r="C46" s="159"/>
      <c r="D46" s="158"/>
      <c r="E46" s="157">
        <v>1</v>
      </c>
      <c r="F46" s="156">
        <v>2</v>
      </c>
      <c r="G46" s="155">
        <f t="shared" si="2"/>
        <v>38</v>
      </c>
      <c r="H46" s="154">
        <f t="shared" si="3"/>
        <v>32</v>
      </c>
      <c r="I46" s="128" t="s">
        <v>19</v>
      </c>
      <c r="J46" s="70" t="s">
        <v>230</v>
      </c>
    </row>
    <row r="47" spans="1:10" x14ac:dyDescent="0.25">
      <c r="A47" s="595"/>
      <c r="B47" s="160" t="s">
        <v>811</v>
      </c>
      <c r="C47" s="159"/>
      <c r="D47" s="158"/>
      <c r="E47" s="157">
        <v>1</v>
      </c>
      <c r="F47" s="156">
        <v>4</v>
      </c>
      <c r="G47" s="155">
        <f t="shared" si="2"/>
        <v>76</v>
      </c>
      <c r="H47" s="154">
        <f t="shared" si="3"/>
        <v>63</v>
      </c>
      <c r="I47" s="128" t="s">
        <v>20</v>
      </c>
      <c r="J47" s="70" t="s">
        <v>230</v>
      </c>
    </row>
    <row r="48" spans="1:10" x14ac:dyDescent="0.25">
      <c r="A48" s="595"/>
      <c r="B48" s="160" t="s">
        <v>810</v>
      </c>
      <c r="C48" s="159"/>
      <c r="D48" s="158"/>
      <c r="E48" s="157">
        <v>1</v>
      </c>
      <c r="F48" s="156">
        <v>1</v>
      </c>
      <c r="G48" s="155">
        <f t="shared" si="2"/>
        <v>19</v>
      </c>
      <c r="H48" s="154">
        <f t="shared" si="3"/>
        <v>16</v>
      </c>
      <c r="I48" s="128" t="s">
        <v>19</v>
      </c>
      <c r="J48" s="70" t="s">
        <v>230</v>
      </c>
    </row>
    <row r="49" spans="1:10" x14ac:dyDescent="0.25">
      <c r="A49" s="595"/>
      <c r="B49" s="160" t="s">
        <v>180</v>
      </c>
      <c r="C49" s="159"/>
      <c r="D49" s="158"/>
      <c r="E49" s="157">
        <v>1</v>
      </c>
      <c r="F49" s="156">
        <v>4</v>
      </c>
      <c r="G49" s="155">
        <f t="shared" si="2"/>
        <v>76</v>
      </c>
      <c r="H49" s="154">
        <f t="shared" si="3"/>
        <v>63</v>
      </c>
      <c r="I49" s="128" t="s">
        <v>19</v>
      </c>
      <c r="J49" s="70" t="s">
        <v>230</v>
      </c>
    </row>
    <row r="50" spans="1:10" ht="15.75" thickBot="1" x14ac:dyDescent="0.3">
      <c r="A50" s="596"/>
      <c r="B50" s="153" t="s">
        <v>809</v>
      </c>
      <c r="C50" s="152"/>
      <c r="D50" s="168"/>
      <c r="E50" s="151">
        <v>1</v>
      </c>
      <c r="F50" s="150">
        <v>1</v>
      </c>
      <c r="G50" s="149">
        <f t="shared" si="2"/>
        <v>19</v>
      </c>
      <c r="H50" s="148">
        <f t="shared" si="3"/>
        <v>16</v>
      </c>
      <c r="I50" s="138" t="s">
        <v>19</v>
      </c>
      <c r="J50" s="71" t="s">
        <v>230</v>
      </c>
    </row>
    <row r="51" spans="1:10" x14ac:dyDescent="0.25">
      <c r="A51" s="594" t="s">
        <v>151</v>
      </c>
      <c r="B51" s="167" t="s">
        <v>808</v>
      </c>
      <c r="C51" s="166"/>
      <c r="D51" s="165"/>
      <c r="E51" s="164">
        <v>2</v>
      </c>
      <c r="F51" s="163">
        <v>2</v>
      </c>
      <c r="G51" s="162">
        <f t="shared" si="2"/>
        <v>38</v>
      </c>
      <c r="H51" s="161">
        <f t="shared" si="3"/>
        <v>32</v>
      </c>
      <c r="I51" s="124" t="s">
        <v>20</v>
      </c>
      <c r="J51" s="69" t="s">
        <v>230</v>
      </c>
    </row>
    <row r="52" spans="1:10" x14ac:dyDescent="0.25">
      <c r="A52" s="595"/>
      <c r="B52" s="160" t="s">
        <v>807</v>
      </c>
      <c r="C52" s="159"/>
      <c r="D52" s="158"/>
      <c r="E52" s="157">
        <v>1</v>
      </c>
      <c r="F52" s="156">
        <v>4</v>
      </c>
      <c r="G52" s="155">
        <f t="shared" si="2"/>
        <v>76</v>
      </c>
      <c r="H52" s="154">
        <f t="shared" si="3"/>
        <v>63</v>
      </c>
      <c r="I52" s="128" t="s">
        <v>20</v>
      </c>
      <c r="J52" s="70" t="s">
        <v>230</v>
      </c>
    </row>
    <row r="53" spans="1:10" x14ac:dyDescent="0.25">
      <c r="A53" s="595"/>
      <c r="B53" s="160" t="s">
        <v>806</v>
      </c>
      <c r="C53" s="159"/>
      <c r="D53" s="158"/>
      <c r="E53" s="157">
        <v>1</v>
      </c>
      <c r="F53" s="156">
        <v>4</v>
      </c>
      <c r="G53" s="155">
        <f t="shared" si="2"/>
        <v>76</v>
      </c>
      <c r="H53" s="154">
        <f t="shared" si="3"/>
        <v>63</v>
      </c>
      <c r="I53" s="128" t="s">
        <v>20</v>
      </c>
      <c r="J53" s="70" t="s">
        <v>230</v>
      </c>
    </row>
    <row r="54" spans="1:10" x14ac:dyDescent="0.25">
      <c r="A54" s="595"/>
      <c r="B54" s="160" t="s">
        <v>805</v>
      </c>
      <c r="C54" s="159"/>
      <c r="D54" s="158"/>
      <c r="E54" s="157">
        <v>1</v>
      </c>
      <c r="F54" s="156">
        <v>4</v>
      </c>
      <c r="G54" s="155">
        <f t="shared" si="2"/>
        <v>76</v>
      </c>
      <c r="H54" s="154">
        <f t="shared" si="3"/>
        <v>63</v>
      </c>
      <c r="I54" s="128" t="s">
        <v>20</v>
      </c>
      <c r="J54" s="70" t="s">
        <v>230</v>
      </c>
    </row>
    <row r="55" spans="1:10" x14ac:dyDescent="0.25">
      <c r="A55" s="595"/>
      <c r="B55" s="160" t="s">
        <v>804</v>
      </c>
      <c r="C55" s="159"/>
      <c r="D55" s="158"/>
      <c r="E55" s="157">
        <v>1</v>
      </c>
      <c r="F55" s="156">
        <v>4</v>
      </c>
      <c r="G55" s="155">
        <f t="shared" si="2"/>
        <v>76</v>
      </c>
      <c r="H55" s="154">
        <f t="shared" si="3"/>
        <v>63</v>
      </c>
      <c r="I55" s="128" t="s">
        <v>20</v>
      </c>
      <c r="J55" s="70" t="s">
        <v>230</v>
      </c>
    </row>
    <row r="56" spans="1:10" x14ac:dyDescent="0.25">
      <c r="A56" s="595"/>
      <c r="B56" s="160" t="s">
        <v>803</v>
      </c>
      <c r="C56" s="159"/>
      <c r="D56" s="158"/>
      <c r="E56" s="157">
        <v>1</v>
      </c>
      <c r="F56" s="156">
        <v>4</v>
      </c>
      <c r="G56" s="155">
        <f t="shared" si="2"/>
        <v>76</v>
      </c>
      <c r="H56" s="154">
        <f t="shared" si="3"/>
        <v>63</v>
      </c>
      <c r="I56" s="128" t="s">
        <v>19</v>
      </c>
      <c r="J56" s="70" t="s">
        <v>230</v>
      </c>
    </row>
    <row r="57" spans="1:10" ht="15.75" thickBot="1" x14ac:dyDescent="0.3">
      <c r="A57" s="596"/>
      <c r="B57" s="153" t="s">
        <v>802</v>
      </c>
      <c r="C57" s="152"/>
      <c r="D57" s="168"/>
      <c r="E57" s="151">
        <v>1</v>
      </c>
      <c r="F57" s="150">
        <v>2</v>
      </c>
      <c r="G57" s="149">
        <f t="shared" si="2"/>
        <v>38</v>
      </c>
      <c r="H57" s="148">
        <f t="shared" si="3"/>
        <v>32</v>
      </c>
      <c r="I57" s="138" t="s">
        <v>19</v>
      </c>
      <c r="J57" s="71" t="s">
        <v>230</v>
      </c>
    </row>
    <row r="58" spans="1:10" x14ac:dyDescent="0.25">
      <c r="A58" s="594" t="s">
        <v>168</v>
      </c>
      <c r="B58" s="167" t="s">
        <v>801</v>
      </c>
      <c r="C58" s="166"/>
      <c r="D58" s="165"/>
      <c r="E58" s="164">
        <v>1</v>
      </c>
      <c r="F58" s="163">
        <v>4</v>
      </c>
      <c r="G58" s="162">
        <f t="shared" si="2"/>
        <v>76</v>
      </c>
      <c r="H58" s="161">
        <f t="shared" si="3"/>
        <v>63</v>
      </c>
      <c r="I58" s="124" t="s">
        <v>20</v>
      </c>
      <c r="J58" s="69" t="s">
        <v>230</v>
      </c>
    </row>
    <row r="59" spans="1:10" x14ac:dyDescent="0.25">
      <c r="A59" s="595"/>
      <c r="B59" s="160" t="s">
        <v>800</v>
      </c>
      <c r="C59" s="159"/>
      <c r="D59" s="158"/>
      <c r="E59" s="157">
        <v>1</v>
      </c>
      <c r="F59" s="156">
        <v>4</v>
      </c>
      <c r="G59" s="155">
        <f t="shared" si="2"/>
        <v>76</v>
      </c>
      <c r="H59" s="154">
        <f t="shared" si="3"/>
        <v>63</v>
      </c>
      <c r="I59" s="128" t="s">
        <v>20</v>
      </c>
      <c r="J59" s="70" t="s">
        <v>230</v>
      </c>
    </row>
    <row r="60" spans="1:10" x14ac:dyDescent="0.25">
      <c r="A60" s="595"/>
      <c r="B60" s="160" t="s">
        <v>799</v>
      </c>
      <c r="C60" s="159"/>
      <c r="D60" s="158"/>
      <c r="E60" s="157">
        <v>1</v>
      </c>
      <c r="F60" s="156">
        <v>4</v>
      </c>
      <c r="G60" s="155">
        <f t="shared" si="2"/>
        <v>76</v>
      </c>
      <c r="H60" s="154">
        <f t="shared" si="3"/>
        <v>63</v>
      </c>
      <c r="I60" s="128" t="s">
        <v>20</v>
      </c>
      <c r="J60" s="70" t="s">
        <v>230</v>
      </c>
    </row>
    <row r="61" spans="1:10" x14ac:dyDescent="0.25">
      <c r="A61" s="595"/>
      <c r="B61" s="160" t="s">
        <v>798</v>
      </c>
      <c r="C61" s="159"/>
      <c r="D61" s="158"/>
      <c r="E61" s="157">
        <v>1</v>
      </c>
      <c r="F61" s="156">
        <v>4</v>
      </c>
      <c r="G61" s="155">
        <f t="shared" si="2"/>
        <v>76</v>
      </c>
      <c r="H61" s="154">
        <f t="shared" si="3"/>
        <v>63</v>
      </c>
      <c r="I61" s="128" t="s">
        <v>19</v>
      </c>
      <c r="J61" s="70" t="s">
        <v>230</v>
      </c>
    </row>
    <row r="62" spans="1:10" x14ac:dyDescent="0.25">
      <c r="A62" s="595"/>
      <c r="B62" s="160" t="s">
        <v>797</v>
      </c>
      <c r="C62" s="159"/>
      <c r="D62" s="158"/>
      <c r="E62" s="157">
        <v>1</v>
      </c>
      <c r="F62" s="156">
        <v>3</v>
      </c>
      <c r="G62" s="155">
        <f t="shared" si="2"/>
        <v>57</v>
      </c>
      <c r="H62" s="154">
        <f t="shared" si="3"/>
        <v>48</v>
      </c>
      <c r="I62" s="169" t="s">
        <v>19</v>
      </c>
      <c r="J62" s="73" t="s">
        <v>230</v>
      </c>
    </row>
    <row r="63" spans="1:10" x14ac:dyDescent="0.25">
      <c r="A63" s="595"/>
      <c r="B63" s="160" t="s">
        <v>796</v>
      </c>
      <c r="C63" s="159"/>
      <c r="D63" s="158"/>
      <c r="E63" s="157">
        <v>1</v>
      </c>
      <c r="F63" s="156">
        <v>2</v>
      </c>
      <c r="G63" s="155">
        <f t="shared" si="2"/>
        <v>38</v>
      </c>
      <c r="H63" s="154">
        <f t="shared" si="3"/>
        <v>32</v>
      </c>
      <c r="I63" s="128" t="s">
        <v>315</v>
      </c>
      <c r="J63" s="70" t="s">
        <v>230</v>
      </c>
    </row>
    <row r="64" spans="1:10" ht="15.75" thickBot="1" x14ac:dyDescent="0.3">
      <c r="A64" s="596"/>
      <c r="B64" s="153" t="s">
        <v>795</v>
      </c>
      <c r="C64" s="152"/>
      <c r="D64" s="168"/>
      <c r="E64" s="151">
        <v>1</v>
      </c>
      <c r="F64" s="150">
        <v>2</v>
      </c>
      <c r="G64" s="149">
        <f t="shared" si="2"/>
        <v>38</v>
      </c>
      <c r="H64" s="148">
        <f t="shared" si="3"/>
        <v>32</v>
      </c>
      <c r="I64" s="138" t="s">
        <v>315</v>
      </c>
      <c r="J64" s="71" t="s">
        <v>230</v>
      </c>
    </row>
    <row r="65" spans="1:10" x14ac:dyDescent="0.25">
      <c r="A65" s="594" t="s">
        <v>184</v>
      </c>
      <c r="B65" s="167" t="s">
        <v>794</v>
      </c>
      <c r="C65" s="166"/>
      <c r="D65" s="165"/>
      <c r="E65" s="164">
        <v>1</v>
      </c>
      <c r="F65" s="163">
        <v>14</v>
      </c>
      <c r="G65" s="162">
        <f t="shared" si="2"/>
        <v>266</v>
      </c>
      <c r="H65" s="161">
        <f t="shared" si="3"/>
        <v>222</v>
      </c>
      <c r="I65" s="124" t="s">
        <v>19</v>
      </c>
      <c r="J65" s="69" t="s">
        <v>230</v>
      </c>
    </row>
    <row r="66" spans="1:10" x14ac:dyDescent="0.25">
      <c r="A66" s="595"/>
      <c r="B66" s="160" t="s">
        <v>793</v>
      </c>
      <c r="C66" s="159"/>
      <c r="D66" s="158"/>
      <c r="E66" s="157">
        <v>1</v>
      </c>
      <c r="F66" s="156">
        <v>10</v>
      </c>
      <c r="G66" s="155">
        <f t="shared" si="2"/>
        <v>190</v>
      </c>
      <c r="H66" s="154">
        <f t="shared" si="3"/>
        <v>158</v>
      </c>
      <c r="I66" s="128" t="s">
        <v>20</v>
      </c>
      <c r="J66" s="70" t="s">
        <v>230</v>
      </c>
    </row>
    <row r="67" spans="1:10" x14ac:dyDescent="0.25">
      <c r="A67" s="595"/>
      <c r="B67" s="160" t="s">
        <v>790</v>
      </c>
      <c r="C67" s="159"/>
      <c r="D67" s="158"/>
      <c r="E67" s="157">
        <v>1</v>
      </c>
      <c r="F67" s="156">
        <v>8</v>
      </c>
      <c r="G67" s="155">
        <f t="shared" si="2"/>
        <v>152</v>
      </c>
      <c r="H67" s="154">
        <f t="shared" si="3"/>
        <v>127</v>
      </c>
      <c r="I67" s="128" t="s">
        <v>19</v>
      </c>
      <c r="J67" s="70" t="s">
        <v>230</v>
      </c>
    </row>
    <row r="68" spans="1:10" ht="15.75" thickBot="1" x14ac:dyDescent="0.3">
      <c r="A68" s="596"/>
      <c r="B68" s="153" t="s">
        <v>792</v>
      </c>
      <c r="C68" s="152"/>
      <c r="D68" s="168"/>
      <c r="E68" s="151">
        <v>1</v>
      </c>
      <c r="F68" s="150">
        <v>4</v>
      </c>
      <c r="G68" s="149">
        <f>$E$86*F68</f>
        <v>76</v>
      </c>
      <c r="H68" s="148">
        <f>ROUND(G68*$C$86/60,)</f>
        <v>63</v>
      </c>
      <c r="I68" s="138" t="s">
        <v>20</v>
      </c>
      <c r="J68" s="71" t="s">
        <v>230</v>
      </c>
    </row>
    <row r="69" spans="1:10" x14ac:dyDescent="0.25">
      <c r="A69" s="594" t="s">
        <v>196</v>
      </c>
      <c r="B69" s="167" t="s">
        <v>791</v>
      </c>
      <c r="C69" s="166"/>
      <c r="D69" s="165"/>
      <c r="E69" s="164">
        <v>1</v>
      </c>
      <c r="F69" s="163">
        <v>10</v>
      </c>
      <c r="G69" s="162">
        <f>$E$86*F69</f>
        <v>190</v>
      </c>
      <c r="H69" s="161">
        <f>ROUND(G69*$C$86/60,)</f>
        <v>158</v>
      </c>
      <c r="I69" s="124" t="s">
        <v>20</v>
      </c>
      <c r="J69" s="74" t="s">
        <v>230</v>
      </c>
    </row>
    <row r="70" spans="1:10" x14ac:dyDescent="0.25">
      <c r="A70" s="597"/>
      <c r="B70" s="160" t="s">
        <v>790</v>
      </c>
      <c r="C70" s="159"/>
      <c r="D70" s="158"/>
      <c r="E70" s="157">
        <v>1</v>
      </c>
      <c r="F70" s="156">
        <v>3</v>
      </c>
      <c r="G70" s="155">
        <f>$E$86*F70</f>
        <v>57</v>
      </c>
      <c r="H70" s="154">
        <f>ROUND(G70*$C$86/60,)</f>
        <v>48</v>
      </c>
      <c r="I70" s="128" t="s">
        <v>20</v>
      </c>
      <c r="J70" s="70" t="s">
        <v>230</v>
      </c>
    </row>
    <row r="71" spans="1:10" ht="15.75" thickBot="1" x14ac:dyDescent="0.3">
      <c r="A71" s="596"/>
      <c r="B71" s="153" t="s">
        <v>789</v>
      </c>
      <c r="C71" s="152"/>
      <c r="D71" s="152"/>
      <c r="E71" s="151">
        <v>1</v>
      </c>
      <c r="F71" s="150">
        <v>3</v>
      </c>
      <c r="G71" s="149">
        <f>$E$86*F71</f>
        <v>57</v>
      </c>
      <c r="H71" s="148">
        <f>ROUND(G71*$C$86/60,)</f>
        <v>48</v>
      </c>
      <c r="I71" s="138" t="s">
        <v>315</v>
      </c>
      <c r="J71" s="71" t="s">
        <v>230</v>
      </c>
    </row>
    <row r="86" spans="3:5" x14ac:dyDescent="0.25">
      <c r="C86">
        <v>50</v>
      </c>
      <c r="E86">
        <v>19</v>
      </c>
    </row>
  </sheetData>
  <mergeCells count="10">
    <mergeCell ref="A51:A57"/>
    <mergeCell ref="A58:A64"/>
    <mergeCell ref="A65:A68"/>
    <mergeCell ref="A69:A71"/>
    <mergeCell ref="A4:A11"/>
    <mergeCell ref="A12:A20"/>
    <mergeCell ref="A21:A27"/>
    <mergeCell ref="A28:A35"/>
    <mergeCell ref="A36:A42"/>
    <mergeCell ref="A43:A50"/>
  </mergeCells>
  <dataValidations count="2">
    <dataValidation type="list" allowBlank="1" showInputMessage="1" showErrorMessage="1" sqref="J1:J1048576" xr:uid="{00000000-0002-0000-1D00-000000000000}">
      <formula1>Ambientes</formula1>
    </dataValidation>
    <dataValidation type="list" allowBlank="1" showInputMessage="1" showErrorMessage="1" sqref="I1:I1048576" xr:uid="{00000000-0002-0000-1D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9">
    <tabColor theme="6" tint="-0.249977111117893"/>
  </sheetPr>
  <dimension ref="A1:J46"/>
  <sheetViews>
    <sheetView topLeftCell="A25" workbookViewId="0">
      <selection activeCell="F37" sqref="F37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1075</v>
      </c>
      <c r="B2" s="513"/>
      <c r="C2" s="513"/>
      <c r="D2" s="37" t="s">
        <v>237</v>
      </c>
      <c r="E2" s="38"/>
      <c r="F2" s="38">
        <v>38</v>
      </c>
      <c r="G2" s="38"/>
      <c r="H2" s="38"/>
      <c r="I2" s="36" t="e">
        <f>SUMIF(I5:I36,"="&amp;J2,#REF!)</f>
        <v>#REF!</v>
      </c>
      <c r="J2" t="s">
        <v>315</v>
      </c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1043</v>
      </c>
      <c r="B5" s="190" t="s">
        <v>249</v>
      </c>
      <c r="C5" s="191" t="s">
        <v>250</v>
      </c>
      <c r="D5" s="192" t="s">
        <v>60</v>
      </c>
      <c r="E5" s="193">
        <v>1</v>
      </c>
      <c r="F5" s="192">
        <v>4</v>
      </c>
      <c r="G5" s="194">
        <f t="shared" ref="G5:G32" si="0">F5*$F$2</f>
        <v>152</v>
      </c>
      <c r="H5" s="195">
        <f t="shared" ref="H5:H39" si="1">(G5)*$C$46/60</f>
        <v>126.66666666666667</v>
      </c>
      <c r="I5" s="196" t="s">
        <v>14</v>
      </c>
      <c r="J5" s="197" t="s">
        <v>230</v>
      </c>
    </row>
    <row r="6" spans="1:10" x14ac:dyDescent="0.25">
      <c r="A6" s="504"/>
      <c r="B6" s="190" t="s">
        <v>1031</v>
      </c>
      <c r="C6" s="191" t="s">
        <v>1032</v>
      </c>
      <c r="D6" s="192" t="s">
        <v>54</v>
      </c>
      <c r="E6" s="193">
        <v>1</v>
      </c>
      <c r="F6" s="192">
        <v>2</v>
      </c>
      <c r="G6" s="194">
        <f t="shared" si="0"/>
        <v>76</v>
      </c>
      <c r="H6" s="195">
        <f t="shared" si="1"/>
        <v>63.333333333333336</v>
      </c>
      <c r="I6" s="196" t="s">
        <v>12</v>
      </c>
      <c r="J6" s="197" t="s">
        <v>575</v>
      </c>
    </row>
    <row r="7" spans="1:10" x14ac:dyDescent="0.25">
      <c r="A7" s="504"/>
      <c r="B7" s="190" t="s">
        <v>1037</v>
      </c>
      <c r="C7" s="191" t="s">
        <v>1038</v>
      </c>
      <c r="D7" s="192" t="s">
        <v>60</v>
      </c>
      <c r="E7" s="193">
        <v>1</v>
      </c>
      <c r="F7" s="192">
        <v>2</v>
      </c>
      <c r="G7" s="194">
        <f t="shared" si="0"/>
        <v>76</v>
      </c>
      <c r="H7" s="195">
        <f t="shared" si="1"/>
        <v>63.333333333333336</v>
      </c>
      <c r="I7" s="196" t="s">
        <v>21</v>
      </c>
      <c r="J7" s="197" t="s">
        <v>230</v>
      </c>
    </row>
    <row r="8" spans="1:10" x14ac:dyDescent="0.25">
      <c r="A8" s="504"/>
      <c r="B8" s="190" t="s">
        <v>1041</v>
      </c>
      <c r="C8" s="191" t="s">
        <v>258</v>
      </c>
      <c r="D8" s="192" t="s">
        <v>60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5</v>
      </c>
      <c r="J8" s="197" t="s">
        <v>230</v>
      </c>
    </row>
    <row r="9" spans="1:10" x14ac:dyDescent="0.25">
      <c r="A9" s="504"/>
      <c r="B9" s="190" t="s">
        <v>6</v>
      </c>
      <c r="C9" s="191" t="s">
        <v>259</v>
      </c>
      <c r="D9" s="192" t="s">
        <v>60</v>
      </c>
      <c r="E9" s="193">
        <v>1</v>
      </c>
      <c r="F9" s="192">
        <v>2</v>
      </c>
      <c r="G9" s="194">
        <f t="shared" si="0"/>
        <v>76</v>
      </c>
      <c r="H9" s="195">
        <f t="shared" si="1"/>
        <v>63.333333333333336</v>
      </c>
      <c r="I9" s="196" t="s">
        <v>6</v>
      </c>
      <c r="J9" s="197" t="s">
        <v>230</v>
      </c>
    </row>
    <row r="10" spans="1:10" x14ac:dyDescent="0.25">
      <c r="A10" s="504"/>
      <c r="B10" s="199" t="s">
        <v>1046</v>
      </c>
      <c r="C10" s="200" t="s">
        <v>1047</v>
      </c>
      <c r="D10" s="201" t="s">
        <v>60</v>
      </c>
      <c r="E10" s="202">
        <v>1</v>
      </c>
      <c r="F10" s="201">
        <v>2</v>
      </c>
      <c r="G10" s="203">
        <f t="shared" si="0"/>
        <v>76</v>
      </c>
      <c r="H10" s="204">
        <f t="shared" si="1"/>
        <v>63.333333333333336</v>
      </c>
      <c r="I10" s="205" t="s">
        <v>9</v>
      </c>
      <c r="J10" s="206" t="s">
        <v>230</v>
      </c>
    </row>
    <row r="11" spans="1:10" x14ac:dyDescent="0.25">
      <c r="A11" s="504"/>
      <c r="B11" s="40" t="s">
        <v>1244</v>
      </c>
      <c r="C11" s="48" t="s">
        <v>1051</v>
      </c>
      <c r="D11" s="42" t="s">
        <v>60</v>
      </c>
      <c r="E11" s="42">
        <v>1</v>
      </c>
      <c r="F11" s="42">
        <v>2</v>
      </c>
      <c r="G11" s="44">
        <f t="shared" si="0"/>
        <v>76</v>
      </c>
      <c r="H11" s="45">
        <f t="shared" si="1"/>
        <v>63.333333333333336</v>
      </c>
      <c r="I11" s="47" t="s">
        <v>19</v>
      </c>
      <c r="J11" s="46" t="s">
        <v>230</v>
      </c>
    </row>
    <row r="12" spans="1:10" x14ac:dyDescent="0.25">
      <c r="A12" s="504"/>
      <c r="B12" s="40" t="s">
        <v>1052</v>
      </c>
      <c r="C12" s="48" t="s">
        <v>1053</v>
      </c>
      <c r="D12" s="42" t="s">
        <v>60</v>
      </c>
      <c r="E12" s="42">
        <v>1</v>
      </c>
      <c r="F12" s="42">
        <v>2</v>
      </c>
      <c r="G12" s="44">
        <f t="shared" si="0"/>
        <v>76</v>
      </c>
      <c r="H12" s="45">
        <f t="shared" si="1"/>
        <v>63.333333333333336</v>
      </c>
      <c r="I12" s="47" t="s">
        <v>19</v>
      </c>
      <c r="J12" s="46" t="s">
        <v>230</v>
      </c>
    </row>
    <row r="13" spans="1:10" x14ac:dyDescent="0.25">
      <c r="A13" s="504"/>
      <c r="B13" s="40" t="s">
        <v>1054</v>
      </c>
      <c r="C13" s="48" t="s">
        <v>269</v>
      </c>
      <c r="D13" s="42" t="s">
        <v>54</v>
      </c>
      <c r="E13" s="42">
        <v>2</v>
      </c>
      <c r="F13" s="42">
        <v>2</v>
      </c>
      <c r="G13" s="44">
        <f t="shared" si="0"/>
        <v>76</v>
      </c>
      <c r="H13" s="45">
        <f t="shared" si="1"/>
        <v>63.333333333333336</v>
      </c>
      <c r="I13" s="47" t="s">
        <v>19</v>
      </c>
      <c r="J13" s="46" t="s">
        <v>232</v>
      </c>
    </row>
    <row r="14" spans="1:10" x14ac:dyDescent="0.25">
      <c r="A14" s="504"/>
      <c r="B14" s="40" t="s">
        <v>1055</v>
      </c>
      <c r="C14" s="48" t="s">
        <v>1056</v>
      </c>
      <c r="D14" s="42" t="s">
        <v>54</v>
      </c>
      <c r="E14" s="42">
        <v>2</v>
      </c>
      <c r="F14" s="42">
        <v>4</v>
      </c>
      <c r="G14" s="44">
        <f t="shared" si="0"/>
        <v>152</v>
      </c>
      <c r="H14" s="45">
        <f t="shared" si="1"/>
        <v>126.66666666666667</v>
      </c>
      <c r="I14" s="47" t="s">
        <v>19</v>
      </c>
      <c r="J14" s="46" t="s">
        <v>231</v>
      </c>
    </row>
    <row r="15" spans="1:10" ht="15" customHeight="1" x14ac:dyDescent="0.25">
      <c r="A15" s="504" t="s">
        <v>274</v>
      </c>
      <c r="B15" s="190" t="s">
        <v>249</v>
      </c>
      <c r="C15" s="198" t="s">
        <v>250</v>
      </c>
      <c r="D15" s="192" t="s">
        <v>60</v>
      </c>
      <c r="E15" s="192">
        <v>1</v>
      </c>
      <c r="F15" s="192">
        <v>4</v>
      </c>
      <c r="G15" s="194">
        <f t="shared" si="0"/>
        <v>152</v>
      </c>
      <c r="H15" s="195">
        <f t="shared" si="1"/>
        <v>126.66666666666667</v>
      </c>
      <c r="I15" s="196" t="s">
        <v>14</v>
      </c>
      <c r="J15" s="197" t="s">
        <v>230</v>
      </c>
    </row>
    <row r="16" spans="1:10" x14ac:dyDescent="0.25">
      <c r="A16" s="504"/>
      <c r="B16" s="190" t="s">
        <v>1033</v>
      </c>
      <c r="C16" s="198" t="s">
        <v>1034</v>
      </c>
      <c r="D16" s="192" t="s">
        <v>54</v>
      </c>
      <c r="E16" s="192">
        <v>1</v>
      </c>
      <c r="F16" s="192">
        <v>2</v>
      </c>
      <c r="G16" s="194">
        <f t="shared" si="0"/>
        <v>76</v>
      </c>
      <c r="H16" s="195">
        <f t="shared" si="1"/>
        <v>63.333333333333336</v>
      </c>
      <c r="I16" s="196" t="s">
        <v>13</v>
      </c>
      <c r="J16" s="197" t="s">
        <v>575</v>
      </c>
    </row>
    <row r="17" spans="1:10" x14ac:dyDescent="0.25">
      <c r="A17" s="504"/>
      <c r="B17" s="190" t="s">
        <v>1037</v>
      </c>
      <c r="C17" s="198" t="s">
        <v>1038</v>
      </c>
      <c r="D17" s="192" t="s">
        <v>60</v>
      </c>
      <c r="E17" s="192">
        <v>1</v>
      </c>
      <c r="F17" s="192">
        <v>2</v>
      </c>
      <c r="G17" s="194">
        <f t="shared" si="0"/>
        <v>76</v>
      </c>
      <c r="H17" s="195">
        <f t="shared" si="1"/>
        <v>63.333333333333336</v>
      </c>
      <c r="I17" s="196" t="s">
        <v>21</v>
      </c>
      <c r="J17" s="197" t="s">
        <v>230</v>
      </c>
    </row>
    <row r="18" spans="1:10" x14ac:dyDescent="0.25">
      <c r="A18" s="504"/>
      <c r="B18" s="190" t="s">
        <v>7</v>
      </c>
      <c r="C18" s="198" t="s">
        <v>1042</v>
      </c>
      <c r="D18" s="192" t="s">
        <v>60</v>
      </c>
      <c r="E18" s="192">
        <v>1</v>
      </c>
      <c r="F18" s="192">
        <v>2</v>
      </c>
      <c r="G18" s="194">
        <f t="shared" si="0"/>
        <v>76</v>
      </c>
      <c r="H18" s="195">
        <f t="shared" si="1"/>
        <v>63.333333333333336</v>
      </c>
      <c r="I18" s="196" t="s">
        <v>7</v>
      </c>
      <c r="J18" s="197" t="s">
        <v>230</v>
      </c>
    </row>
    <row r="19" spans="1:10" x14ac:dyDescent="0.25">
      <c r="A19" s="504"/>
      <c r="B19" s="199" t="s">
        <v>1046</v>
      </c>
      <c r="C19" s="207" t="s">
        <v>1047</v>
      </c>
      <c r="D19" s="201" t="s">
        <v>60</v>
      </c>
      <c r="E19" s="201">
        <v>1</v>
      </c>
      <c r="F19" s="201">
        <v>2</v>
      </c>
      <c r="G19" s="203">
        <f t="shared" si="0"/>
        <v>76</v>
      </c>
      <c r="H19" s="204">
        <f t="shared" si="1"/>
        <v>63.333333333333336</v>
      </c>
      <c r="I19" s="205" t="s">
        <v>11</v>
      </c>
      <c r="J19" s="206" t="s">
        <v>230</v>
      </c>
    </row>
    <row r="20" spans="1:10" x14ac:dyDescent="0.25">
      <c r="A20" s="504"/>
      <c r="B20" s="40" t="s">
        <v>1058</v>
      </c>
      <c r="C20" s="41" t="s">
        <v>276</v>
      </c>
      <c r="D20" s="42" t="s">
        <v>54</v>
      </c>
      <c r="E20" s="43">
        <v>2</v>
      </c>
      <c r="F20" s="42">
        <v>4</v>
      </c>
      <c r="G20" s="44">
        <f t="shared" si="0"/>
        <v>152</v>
      </c>
      <c r="H20" s="45">
        <f t="shared" si="1"/>
        <v>126.66666666666667</v>
      </c>
      <c r="I20" s="47" t="s">
        <v>19</v>
      </c>
      <c r="J20" s="46" t="s">
        <v>230</v>
      </c>
    </row>
    <row r="21" spans="1:10" x14ac:dyDescent="0.25">
      <c r="A21" s="504"/>
      <c r="B21" s="40" t="s">
        <v>1059</v>
      </c>
      <c r="C21" s="48" t="s">
        <v>1060</v>
      </c>
      <c r="D21" s="42" t="s">
        <v>60</v>
      </c>
      <c r="E21" s="42">
        <v>1</v>
      </c>
      <c r="F21" s="42">
        <v>2</v>
      </c>
      <c r="G21" s="44">
        <f t="shared" si="0"/>
        <v>76</v>
      </c>
      <c r="H21" s="45">
        <f t="shared" si="1"/>
        <v>63.333333333333336</v>
      </c>
      <c r="I21" s="47" t="s">
        <v>19</v>
      </c>
      <c r="J21" s="46" t="s">
        <v>230</v>
      </c>
    </row>
    <row r="22" spans="1:10" x14ac:dyDescent="0.25">
      <c r="A22" s="504"/>
      <c r="B22" s="40" t="s">
        <v>499</v>
      </c>
      <c r="C22" s="48" t="s">
        <v>1057</v>
      </c>
      <c r="D22" s="42" t="s">
        <v>54</v>
      </c>
      <c r="E22" s="42">
        <v>1</v>
      </c>
      <c r="F22" s="42">
        <v>2</v>
      </c>
      <c r="G22" s="44">
        <f t="shared" si="0"/>
        <v>76</v>
      </c>
      <c r="H22" s="45">
        <f t="shared" si="1"/>
        <v>63.333333333333336</v>
      </c>
      <c r="I22" s="47" t="s">
        <v>19</v>
      </c>
      <c r="J22" s="46" t="s">
        <v>232</v>
      </c>
    </row>
    <row r="23" spans="1:10" x14ac:dyDescent="0.25">
      <c r="A23" s="504"/>
      <c r="B23" s="40" t="s">
        <v>759</v>
      </c>
      <c r="C23" s="48" t="s">
        <v>279</v>
      </c>
      <c r="D23" s="42" t="s">
        <v>54</v>
      </c>
      <c r="E23" s="42">
        <v>2</v>
      </c>
      <c r="F23" s="42">
        <v>4</v>
      </c>
      <c r="G23" s="44">
        <f t="shared" si="0"/>
        <v>152</v>
      </c>
      <c r="H23" s="45">
        <f t="shared" si="1"/>
        <v>126.66666666666667</v>
      </c>
      <c r="I23" s="47" t="s">
        <v>19</v>
      </c>
      <c r="J23" s="46" t="s">
        <v>232</v>
      </c>
    </row>
    <row r="24" spans="1:10" x14ac:dyDescent="0.25">
      <c r="A24" s="504"/>
      <c r="B24" s="40" t="s">
        <v>1063</v>
      </c>
      <c r="C24" s="48" t="s">
        <v>283</v>
      </c>
      <c r="D24" s="42" t="s">
        <v>54</v>
      </c>
      <c r="E24" s="42">
        <v>2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19</v>
      </c>
      <c r="J24" s="46" t="s">
        <v>232</v>
      </c>
    </row>
    <row r="25" spans="1:10" x14ac:dyDescent="0.25">
      <c r="A25" s="504"/>
      <c r="B25" s="190" t="s">
        <v>9</v>
      </c>
      <c r="C25" s="191" t="s">
        <v>261</v>
      </c>
      <c r="D25" s="192" t="s">
        <v>60</v>
      </c>
      <c r="E25" s="193">
        <v>1</v>
      </c>
      <c r="F25" s="192">
        <v>2</v>
      </c>
      <c r="G25" s="194">
        <f t="shared" si="0"/>
        <v>76</v>
      </c>
      <c r="H25" s="195">
        <f t="shared" si="1"/>
        <v>63.333333333333336</v>
      </c>
      <c r="I25" s="196" t="s">
        <v>9</v>
      </c>
      <c r="J25" s="197" t="s">
        <v>230</v>
      </c>
    </row>
    <row r="26" spans="1:10" x14ac:dyDescent="0.25">
      <c r="A26" s="504"/>
      <c r="B26" s="190" t="s">
        <v>15</v>
      </c>
      <c r="C26" s="191" t="s">
        <v>256</v>
      </c>
      <c r="D26" s="192" t="s">
        <v>54</v>
      </c>
      <c r="E26" s="193">
        <v>1</v>
      </c>
      <c r="F26" s="192">
        <v>2</v>
      </c>
      <c r="G26" s="194">
        <f t="shared" si="0"/>
        <v>76</v>
      </c>
      <c r="H26" s="195">
        <f t="shared" si="1"/>
        <v>63.333333333333336</v>
      </c>
      <c r="I26" s="196" t="s">
        <v>15</v>
      </c>
      <c r="J26" s="197" t="s">
        <v>230</v>
      </c>
    </row>
    <row r="27" spans="1:10" x14ac:dyDescent="0.25">
      <c r="A27" s="504"/>
      <c r="B27" s="190" t="s">
        <v>1037</v>
      </c>
      <c r="C27" s="191" t="s">
        <v>1038</v>
      </c>
      <c r="D27" s="192" t="s">
        <v>60</v>
      </c>
      <c r="E27" s="193">
        <v>1</v>
      </c>
      <c r="F27" s="192">
        <v>2</v>
      </c>
      <c r="G27" s="194">
        <f t="shared" si="0"/>
        <v>76</v>
      </c>
      <c r="H27" s="195">
        <f t="shared" si="1"/>
        <v>63.333333333333336</v>
      </c>
      <c r="I27" s="196" t="s">
        <v>21</v>
      </c>
      <c r="J27" s="197" t="s">
        <v>230</v>
      </c>
    </row>
    <row r="28" spans="1:10" x14ac:dyDescent="0.25">
      <c r="A28" s="504"/>
      <c r="B28" s="190" t="s">
        <v>1041</v>
      </c>
      <c r="C28" s="198" t="s">
        <v>258</v>
      </c>
      <c r="D28" s="192" t="s">
        <v>60</v>
      </c>
      <c r="E28" s="192">
        <v>1</v>
      </c>
      <c r="F28" s="192">
        <v>2</v>
      </c>
      <c r="G28" s="194">
        <f t="shared" si="0"/>
        <v>76</v>
      </c>
      <c r="H28" s="195">
        <f t="shared" si="1"/>
        <v>63.333333333333336</v>
      </c>
      <c r="I28" s="196" t="s">
        <v>5</v>
      </c>
      <c r="J28" s="197" t="s">
        <v>230</v>
      </c>
    </row>
    <row r="29" spans="1:10" x14ac:dyDescent="0.25">
      <c r="A29" s="504"/>
      <c r="B29" s="190" t="s">
        <v>6</v>
      </c>
      <c r="C29" s="198" t="s">
        <v>259</v>
      </c>
      <c r="D29" s="192" t="s">
        <v>60</v>
      </c>
      <c r="E29" s="192">
        <v>1</v>
      </c>
      <c r="F29" s="192">
        <v>2</v>
      </c>
      <c r="G29" s="194">
        <f t="shared" si="0"/>
        <v>76</v>
      </c>
      <c r="H29" s="195">
        <f t="shared" si="1"/>
        <v>63.333333333333336</v>
      </c>
      <c r="I29" s="196" t="s">
        <v>6</v>
      </c>
      <c r="J29" s="197" t="s">
        <v>230</v>
      </c>
    </row>
    <row r="30" spans="1:10" x14ac:dyDescent="0.25">
      <c r="A30" s="504"/>
      <c r="B30" s="190" t="s">
        <v>7</v>
      </c>
      <c r="C30" s="198" t="s">
        <v>1042</v>
      </c>
      <c r="D30" s="192" t="s">
        <v>60</v>
      </c>
      <c r="E30" s="192">
        <v>1</v>
      </c>
      <c r="F30" s="192">
        <v>2</v>
      </c>
      <c r="G30" s="194">
        <f t="shared" si="0"/>
        <v>76</v>
      </c>
      <c r="H30" s="195">
        <f t="shared" si="1"/>
        <v>63.333333333333336</v>
      </c>
      <c r="I30" s="196" t="s">
        <v>7</v>
      </c>
      <c r="J30" s="197" t="s">
        <v>230</v>
      </c>
    </row>
    <row r="31" spans="1:10" x14ac:dyDescent="0.25">
      <c r="A31" s="504"/>
      <c r="B31" s="40" t="s">
        <v>1065</v>
      </c>
      <c r="C31" s="41" t="s">
        <v>288</v>
      </c>
      <c r="D31" s="42" t="s">
        <v>54</v>
      </c>
      <c r="E31" s="43">
        <v>2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19</v>
      </c>
      <c r="J31" s="46" t="s">
        <v>230</v>
      </c>
    </row>
    <row r="32" spans="1:10" x14ac:dyDescent="0.25">
      <c r="A32" s="504"/>
      <c r="B32" s="40" t="s">
        <v>1066</v>
      </c>
      <c r="C32" s="48" t="s">
        <v>1067</v>
      </c>
      <c r="D32" s="42" t="s">
        <v>54</v>
      </c>
      <c r="E32" s="42">
        <v>2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19</v>
      </c>
      <c r="J32" s="46" t="s">
        <v>231</v>
      </c>
    </row>
    <row r="33" spans="1:10" x14ac:dyDescent="0.25">
      <c r="A33" s="504"/>
      <c r="B33" s="40" t="s">
        <v>1068</v>
      </c>
      <c r="C33" s="48" t="s">
        <v>294</v>
      </c>
      <c r="D33" s="42" t="s">
        <v>60</v>
      </c>
      <c r="E33" s="42">
        <v>1</v>
      </c>
      <c r="F33" s="42">
        <v>2</v>
      </c>
      <c r="G33" s="44">
        <f t="shared" ref="G33:G39" si="2">F33*$F$2</f>
        <v>76</v>
      </c>
      <c r="H33" s="45">
        <f t="shared" si="1"/>
        <v>63.333333333333336</v>
      </c>
      <c r="I33" s="47" t="s">
        <v>19</v>
      </c>
      <c r="J33" s="46" t="s">
        <v>230</v>
      </c>
    </row>
    <row r="34" spans="1:10" x14ac:dyDescent="0.25">
      <c r="A34" s="504"/>
      <c r="B34" s="40" t="s">
        <v>1069</v>
      </c>
      <c r="C34" s="48" t="s">
        <v>290</v>
      </c>
      <c r="D34" s="42" t="s">
        <v>60</v>
      </c>
      <c r="E34" s="42">
        <v>1</v>
      </c>
      <c r="F34" s="42">
        <v>2</v>
      </c>
      <c r="G34" s="44">
        <f t="shared" si="2"/>
        <v>76</v>
      </c>
      <c r="H34" s="45">
        <f t="shared" si="1"/>
        <v>63.333333333333336</v>
      </c>
      <c r="I34" s="47" t="s">
        <v>19</v>
      </c>
      <c r="J34" s="46" t="s">
        <v>230</v>
      </c>
    </row>
    <row r="35" spans="1:10" x14ac:dyDescent="0.25">
      <c r="A35" s="504"/>
      <c r="B35" s="40" t="s">
        <v>1061</v>
      </c>
      <c r="C35" s="48" t="s">
        <v>1062</v>
      </c>
      <c r="D35" s="42" t="s">
        <v>60</v>
      </c>
      <c r="E35" s="42">
        <v>1</v>
      </c>
      <c r="F35" s="42">
        <v>2</v>
      </c>
      <c r="G35" s="44">
        <f t="shared" si="2"/>
        <v>76</v>
      </c>
      <c r="H35" s="45">
        <f t="shared" si="1"/>
        <v>63.333333333333336</v>
      </c>
      <c r="I35" s="47" t="s">
        <v>315</v>
      </c>
      <c r="J35" s="46" t="s">
        <v>230</v>
      </c>
    </row>
    <row r="36" spans="1:10" ht="15.75" thickBot="1" x14ac:dyDescent="0.3">
      <c r="A36" s="504"/>
      <c r="B36" s="40" t="s">
        <v>529</v>
      </c>
      <c r="C36" s="48" t="s">
        <v>296</v>
      </c>
      <c r="D36" s="42" t="s">
        <v>54</v>
      </c>
      <c r="E36" s="42">
        <v>1</v>
      </c>
      <c r="F36" s="42">
        <v>4</v>
      </c>
      <c r="G36" s="44">
        <f t="shared" si="2"/>
        <v>152</v>
      </c>
      <c r="H36" s="45">
        <f t="shared" si="1"/>
        <v>126.66666666666667</v>
      </c>
      <c r="I36" s="47" t="s">
        <v>19</v>
      </c>
      <c r="J36" s="46" t="s">
        <v>231</v>
      </c>
    </row>
    <row r="37" spans="1:10" ht="15.75" thickBot="1" x14ac:dyDescent="0.3">
      <c r="A37" s="506" t="s">
        <v>297</v>
      </c>
      <c r="B37" s="507"/>
      <c r="C37" s="42" t="s">
        <v>298</v>
      </c>
      <c r="D37" s="42" t="s">
        <v>60</v>
      </c>
      <c r="E37" s="42">
        <v>1</v>
      </c>
      <c r="F37" s="42">
        <v>2</v>
      </c>
      <c r="G37" s="44">
        <f t="shared" si="2"/>
        <v>76</v>
      </c>
      <c r="H37" s="45">
        <f t="shared" si="1"/>
        <v>63.333333333333336</v>
      </c>
      <c r="I37" s="47" t="s">
        <v>16</v>
      </c>
      <c r="J37" s="46" t="s">
        <v>230</v>
      </c>
    </row>
    <row r="38" spans="1:10" ht="15.75" thickBot="1" x14ac:dyDescent="0.3">
      <c r="A38" s="598" t="s">
        <v>1070</v>
      </c>
      <c r="B38" s="599"/>
      <c r="C38" s="42" t="s">
        <v>1071</v>
      </c>
      <c r="D38" s="42" t="s">
        <v>60</v>
      </c>
      <c r="E38" s="42">
        <v>1</v>
      </c>
      <c r="F38" s="42">
        <v>2</v>
      </c>
      <c r="G38" s="44">
        <f t="shared" si="2"/>
        <v>76</v>
      </c>
      <c r="H38" s="45">
        <f t="shared" si="1"/>
        <v>63.333333333333336</v>
      </c>
      <c r="I38" s="47"/>
      <c r="J38" s="46"/>
    </row>
    <row r="39" spans="1:10" ht="15.75" thickBot="1" x14ac:dyDescent="0.3">
      <c r="A39" s="506" t="s">
        <v>300</v>
      </c>
      <c r="B39" s="507"/>
      <c r="C39" s="42" t="s">
        <v>301</v>
      </c>
      <c r="D39" s="42" t="s">
        <v>60</v>
      </c>
      <c r="E39" s="42">
        <v>1</v>
      </c>
      <c r="F39" s="42">
        <v>2</v>
      </c>
      <c r="G39" s="44">
        <f t="shared" si="2"/>
        <v>76</v>
      </c>
      <c r="H39" s="45">
        <f t="shared" si="1"/>
        <v>63.333333333333336</v>
      </c>
      <c r="I39" s="47" t="s">
        <v>17</v>
      </c>
      <c r="J39" s="46" t="s">
        <v>230</v>
      </c>
    </row>
    <row r="40" spans="1:10" ht="16.5" thickBot="1" x14ac:dyDescent="0.3">
      <c r="A40" s="508" t="s">
        <v>302</v>
      </c>
      <c r="B40" s="509"/>
      <c r="C40" s="509"/>
      <c r="D40" s="509"/>
      <c r="E40" s="510"/>
      <c r="F40" s="53">
        <f>SUM(F5:F36)*F2</f>
        <v>2888</v>
      </c>
      <c r="G40" s="53">
        <f>SUM(G5:G39)</f>
        <v>3116</v>
      </c>
      <c r="H40" s="54">
        <f>SUM(H5:H36)</f>
        <v>2406.6666666666665</v>
      </c>
      <c r="I40" s="36"/>
    </row>
    <row r="41" spans="1:10" ht="16.5" thickBot="1" x14ac:dyDescent="0.3">
      <c r="A41" s="508" t="s">
        <v>303</v>
      </c>
      <c r="B41" s="509"/>
      <c r="C41" s="509"/>
      <c r="D41" s="509"/>
      <c r="E41" s="510"/>
      <c r="F41" s="55">
        <f>(F40*$C$46)/60</f>
        <v>2406.6666666666665</v>
      </c>
      <c r="G41" s="53" t="s">
        <v>304</v>
      </c>
      <c r="H41" s="55" t="e">
        <f>SUM(F41+#REF!+#REF!)</f>
        <v>#REF!</v>
      </c>
      <c r="I41" s="36"/>
    </row>
    <row r="42" spans="1:10" ht="16.5" thickBot="1" x14ac:dyDescent="0.3">
      <c r="A42" s="508" t="s">
        <v>305</v>
      </c>
      <c r="B42" s="509"/>
      <c r="C42" s="509"/>
      <c r="D42" s="509"/>
      <c r="E42" s="509"/>
      <c r="F42" s="509"/>
      <c r="G42" s="510"/>
      <c r="H42" s="56" t="e">
        <f>H41</f>
        <v>#REF!</v>
      </c>
      <c r="I42" s="57"/>
    </row>
    <row r="43" spans="1:10" ht="15.75" thickBot="1" x14ac:dyDescent="0.3">
      <c r="A43" s="506" t="s">
        <v>306</v>
      </c>
      <c r="B43" s="511"/>
      <c r="C43" s="511"/>
      <c r="D43" s="511"/>
      <c r="E43" s="511"/>
      <c r="F43" s="511"/>
      <c r="G43" s="512"/>
      <c r="H43" s="58">
        <v>150</v>
      </c>
      <c r="I43" s="59"/>
    </row>
    <row r="44" spans="1:10" ht="15.75" thickBot="1" x14ac:dyDescent="0.3">
      <c r="A44" s="506" t="s">
        <v>1072</v>
      </c>
      <c r="B44" s="511"/>
      <c r="C44" s="511"/>
      <c r="D44" s="511"/>
      <c r="E44" s="511"/>
      <c r="F44" s="511"/>
      <c r="G44" s="512"/>
      <c r="H44" s="58">
        <v>80</v>
      </c>
      <c r="I44" s="59"/>
    </row>
    <row r="45" spans="1:10" ht="16.5" thickBot="1" x14ac:dyDescent="0.3">
      <c r="A45" s="508" t="s">
        <v>308</v>
      </c>
      <c r="B45" s="509"/>
      <c r="C45" s="509"/>
      <c r="D45" s="509"/>
      <c r="E45" s="509"/>
      <c r="F45" s="509"/>
      <c r="G45" s="510"/>
      <c r="H45" s="55" t="e">
        <f>ROUNDDOWN(SUM(H42:H44,H37:H39),0)</f>
        <v>#REF!</v>
      </c>
      <c r="I45" s="36"/>
    </row>
    <row r="46" spans="1:10" ht="15.75" x14ac:dyDescent="0.25">
      <c r="A46" s="505" t="s">
        <v>309</v>
      </c>
      <c r="B46" s="505"/>
      <c r="C46" s="38">
        <v>50</v>
      </c>
      <c r="D46" s="60" t="s">
        <v>310</v>
      </c>
      <c r="E46" s="60"/>
      <c r="F46" s="60"/>
      <c r="G46" s="60"/>
      <c r="H46" s="60"/>
      <c r="I46" s="36"/>
    </row>
  </sheetData>
  <mergeCells count="18">
    <mergeCell ref="A2:C2"/>
    <mergeCell ref="B3:B4"/>
    <mergeCell ref="C3:C4"/>
    <mergeCell ref="I3:I4"/>
    <mergeCell ref="J3:J4"/>
    <mergeCell ref="A5:A14"/>
    <mergeCell ref="A46:B46"/>
    <mergeCell ref="A15:A24"/>
    <mergeCell ref="A25:A36"/>
    <mergeCell ref="A37:B37"/>
    <mergeCell ref="A38:B38"/>
    <mergeCell ref="A39:B39"/>
    <mergeCell ref="A40:E40"/>
    <mergeCell ref="A41:E41"/>
    <mergeCell ref="A42:G42"/>
    <mergeCell ref="A43:G43"/>
    <mergeCell ref="A44:G44"/>
    <mergeCell ref="A45:G45"/>
  </mergeCells>
  <dataValidations count="2">
    <dataValidation type="list" allowBlank="1" showInputMessage="1" showErrorMessage="1" sqref="J5:J39" xr:uid="{00000000-0002-0000-1E00-000000000000}">
      <formula1>Ambientes</formula1>
    </dataValidation>
    <dataValidation type="list" allowBlank="1" showInputMessage="1" showErrorMessage="1" sqref="I5:I39" xr:uid="{00000000-0002-0000-1E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43">
    <tabColor theme="6" tint="-0.249977111117893"/>
  </sheetPr>
  <dimension ref="A1:J90"/>
  <sheetViews>
    <sheetView topLeftCell="A7" workbookViewId="0">
      <selection activeCell="B28" sqref="B28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6" max="6" width="9.570312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1075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1043</v>
      </c>
      <c r="B5" s="190" t="s">
        <v>249</v>
      </c>
      <c r="C5" s="191" t="s">
        <v>250</v>
      </c>
      <c r="D5" s="192" t="s">
        <v>60</v>
      </c>
      <c r="E5" s="193">
        <v>1</v>
      </c>
      <c r="F5" s="192">
        <v>4</v>
      </c>
      <c r="G5" s="194">
        <f t="shared" ref="G5:G46" si="0">F5*$F$2</f>
        <v>152</v>
      </c>
      <c r="H5" s="195">
        <f>(G5)*$C$85/60</f>
        <v>126.66666666666667</v>
      </c>
      <c r="I5" s="196" t="s">
        <v>14</v>
      </c>
      <c r="J5" s="197" t="s">
        <v>230</v>
      </c>
    </row>
    <row r="6" spans="1:10" x14ac:dyDescent="0.25">
      <c r="A6" s="504"/>
      <c r="B6" s="190" t="s">
        <v>12</v>
      </c>
      <c r="C6" s="191" t="s">
        <v>253</v>
      </c>
      <c r="D6" s="192" t="s">
        <v>54</v>
      </c>
      <c r="E6" s="193">
        <v>1</v>
      </c>
      <c r="F6" s="192">
        <v>2</v>
      </c>
      <c r="G6" s="194">
        <f t="shared" si="0"/>
        <v>76</v>
      </c>
      <c r="H6" s="195">
        <f>(G6)*$C$85/60</f>
        <v>63.333333333333336</v>
      </c>
      <c r="I6" s="196" t="s">
        <v>12</v>
      </c>
      <c r="J6" s="197" t="s">
        <v>230</v>
      </c>
    </row>
    <row r="7" spans="1:10" x14ac:dyDescent="0.25">
      <c r="A7" s="504"/>
      <c r="B7" s="190" t="s">
        <v>1031</v>
      </c>
      <c r="C7" s="191" t="s">
        <v>1032</v>
      </c>
      <c r="D7" s="192" t="s">
        <v>54</v>
      </c>
      <c r="E7" s="193">
        <v>1</v>
      </c>
      <c r="F7" s="192">
        <v>2</v>
      </c>
      <c r="G7" s="194">
        <f t="shared" si="0"/>
        <v>76</v>
      </c>
      <c r="H7" s="195">
        <f t="shared" ref="H7:H38" si="1">(G7)*$C$85/60</f>
        <v>63.333333333333336</v>
      </c>
      <c r="I7" s="196" t="s">
        <v>13</v>
      </c>
      <c r="J7" s="197" t="s">
        <v>575</v>
      </c>
    </row>
    <row r="8" spans="1:10" x14ac:dyDescent="0.25">
      <c r="A8" s="504"/>
      <c r="B8" s="190" t="s">
        <v>1033</v>
      </c>
      <c r="C8" s="191" t="s">
        <v>1034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575</v>
      </c>
    </row>
    <row r="9" spans="1:10" x14ac:dyDescent="0.25">
      <c r="A9" s="504"/>
      <c r="B9" s="190" t="s">
        <v>15</v>
      </c>
      <c r="C9" s="191" t="s">
        <v>256</v>
      </c>
      <c r="D9" s="192" t="s">
        <v>54</v>
      </c>
      <c r="E9" s="193">
        <v>1</v>
      </c>
      <c r="F9" s="192">
        <v>2</v>
      </c>
      <c r="G9" s="194">
        <f t="shared" si="0"/>
        <v>76</v>
      </c>
      <c r="H9" s="195">
        <f t="shared" si="1"/>
        <v>63.333333333333336</v>
      </c>
      <c r="I9" s="196" t="s">
        <v>15</v>
      </c>
      <c r="J9" s="197" t="s">
        <v>230</v>
      </c>
    </row>
    <row r="10" spans="1:10" x14ac:dyDescent="0.25">
      <c r="A10" s="504"/>
      <c r="B10" s="190" t="s">
        <v>1035</v>
      </c>
      <c r="C10" s="191" t="s">
        <v>1036</v>
      </c>
      <c r="D10" s="192" t="s">
        <v>60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21</v>
      </c>
      <c r="J10" s="197" t="s">
        <v>230</v>
      </c>
    </row>
    <row r="11" spans="1:10" x14ac:dyDescent="0.25">
      <c r="A11" s="504"/>
      <c r="B11" s="190" t="s">
        <v>1037</v>
      </c>
      <c r="C11" s="191" t="s">
        <v>1038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0" x14ac:dyDescent="0.25">
      <c r="A12" s="504"/>
      <c r="B12" s="190" t="s">
        <v>1039</v>
      </c>
      <c r="C12" s="191" t="s">
        <v>1040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7</v>
      </c>
      <c r="J12" s="197" t="s">
        <v>230</v>
      </c>
    </row>
    <row r="13" spans="1:10" x14ac:dyDescent="0.25">
      <c r="A13" s="504"/>
      <c r="B13" s="190" t="s">
        <v>1041</v>
      </c>
      <c r="C13" s="191" t="s">
        <v>258</v>
      </c>
      <c r="D13" s="192" t="s">
        <v>60</v>
      </c>
      <c r="E13" s="193">
        <v>1</v>
      </c>
      <c r="F13" s="192">
        <v>0</v>
      </c>
      <c r="G13" s="194">
        <f t="shared" si="0"/>
        <v>0</v>
      </c>
      <c r="H13" s="195">
        <f t="shared" si="1"/>
        <v>0</v>
      </c>
      <c r="I13" s="196" t="s">
        <v>5</v>
      </c>
      <c r="J13" s="197" t="s">
        <v>230</v>
      </c>
    </row>
    <row r="14" spans="1:10" x14ac:dyDescent="0.25">
      <c r="A14" s="504"/>
      <c r="B14" s="190" t="s">
        <v>6</v>
      </c>
      <c r="C14" s="191" t="s">
        <v>259</v>
      </c>
      <c r="D14" s="192" t="s">
        <v>60</v>
      </c>
      <c r="E14" s="193">
        <v>1</v>
      </c>
      <c r="F14" s="192">
        <v>2</v>
      </c>
      <c r="G14" s="194">
        <f t="shared" si="0"/>
        <v>76</v>
      </c>
      <c r="H14" s="195">
        <f t="shared" si="1"/>
        <v>63.333333333333336</v>
      </c>
      <c r="I14" s="196" t="s">
        <v>6</v>
      </c>
      <c r="J14" s="197" t="s">
        <v>230</v>
      </c>
    </row>
    <row r="15" spans="1:10" x14ac:dyDescent="0.25">
      <c r="A15" s="504"/>
      <c r="B15" s="190" t="s">
        <v>7</v>
      </c>
      <c r="C15" s="191" t="s">
        <v>1042</v>
      </c>
      <c r="D15" s="192" t="s">
        <v>60</v>
      </c>
      <c r="E15" s="193">
        <v>1</v>
      </c>
      <c r="F15" s="192">
        <v>0</v>
      </c>
      <c r="G15" s="194">
        <f t="shared" si="0"/>
        <v>0</v>
      </c>
      <c r="H15" s="195">
        <f t="shared" si="1"/>
        <v>0</v>
      </c>
      <c r="I15" s="196" t="s">
        <v>7</v>
      </c>
      <c r="J15" s="197" t="s">
        <v>230</v>
      </c>
    </row>
    <row r="16" spans="1:10" x14ac:dyDescent="0.25">
      <c r="A16" s="504"/>
      <c r="B16" s="190" t="s">
        <v>9</v>
      </c>
      <c r="C16" s="191" t="s">
        <v>261</v>
      </c>
      <c r="D16" s="192" t="s">
        <v>60</v>
      </c>
      <c r="E16" s="193">
        <v>1</v>
      </c>
      <c r="F16" s="192">
        <v>0</v>
      </c>
      <c r="G16" s="194">
        <f t="shared" si="0"/>
        <v>0</v>
      </c>
      <c r="H16" s="195">
        <f t="shared" si="1"/>
        <v>0</v>
      </c>
      <c r="I16" s="196" t="s">
        <v>9</v>
      </c>
      <c r="J16" s="197" t="s">
        <v>230</v>
      </c>
    </row>
    <row r="17" spans="1:10" x14ac:dyDescent="0.25">
      <c r="A17" s="504"/>
      <c r="B17" s="190" t="s">
        <v>10</v>
      </c>
      <c r="C17" s="191" t="s">
        <v>262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10</v>
      </c>
      <c r="J17" s="197" t="s">
        <v>230</v>
      </c>
    </row>
    <row r="18" spans="1:10" x14ac:dyDescent="0.25">
      <c r="A18" s="504"/>
      <c r="B18" s="190" t="s">
        <v>8</v>
      </c>
      <c r="C18" s="191" t="s">
        <v>263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8</v>
      </c>
      <c r="J18" s="197" t="s">
        <v>230</v>
      </c>
    </row>
    <row r="19" spans="1:10" x14ac:dyDescent="0.25">
      <c r="A19" s="504"/>
      <c r="B19" s="190" t="s">
        <v>11</v>
      </c>
      <c r="C19" s="191" t="s">
        <v>264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11</v>
      </c>
      <c r="J19" s="197" t="s">
        <v>230</v>
      </c>
    </row>
    <row r="20" spans="1:10" x14ac:dyDescent="0.25">
      <c r="A20" s="504"/>
      <c r="B20" s="199" t="s">
        <v>1044</v>
      </c>
      <c r="C20" s="200" t="s">
        <v>1045</v>
      </c>
      <c r="D20" s="201" t="s">
        <v>60</v>
      </c>
      <c r="E20" s="202">
        <v>1</v>
      </c>
      <c r="F20" s="201">
        <v>0</v>
      </c>
      <c r="G20" s="203">
        <f t="shared" si="0"/>
        <v>0</v>
      </c>
      <c r="H20" s="204">
        <f t="shared" si="1"/>
        <v>0</v>
      </c>
      <c r="I20" s="205" t="s">
        <v>15</v>
      </c>
      <c r="J20" s="206" t="s">
        <v>230</v>
      </c>
    </row>
    <row r="21" spans="1:10" x14ac:dyDescent="0.25">
      <c r="A21" s="504"/>
      <c r="B21" s="199" t="s">
        <v>1046</v>
      </c>
      <c r="C21" s="200" t="s">
        <v>1047</v>
      </c>
      <c r="D21" s="201" t="s">
        <v>60</v>
      </c>
      <c r="E21" s="202">
        <v>1</v>
      </c>
      <c r="F21" s="201">
        <v>0</v>
      </c>
      <c r="G21" s="203">
        <f t="shared" si="0"/>
        <v>0</v>
      </c>
      <c r="H21" s="204">
        <f t="shared" si="1"/>
        <v>0</v>
      </c>
      <c r="I21" s="205" t="s">
        <v>9</v>
      </c>
      <c r="J21" s="206" t="s">
        <v>230</v>
      </c>
    </row>
    <row r="22" spans="1:10" x14ac:dyDescent="0.25">
      <c r="A22" s="504"/>
      <c r="B22" s="199" t="s">
        <v>1048</v>
      </c>
      <c r="C22" s="200" t="s">
        <v>1049</v>
      </c>
      <c r="D22" s="201" t="s">
        <v>60</v>
      </c>
      <c r="E22" s="202">
        <v>1</v>
      </c>
      <c r="F22" s="201">
        <v>2</v>
      </c>
      <c r="G22" s="203">
        <f t="shared" si="0"/>
        <v>76</v>
      </c>
      <c r="H22" s="204">
        <f t="shared" si="1"/>
        <v>63.333333333333336</v>
      </c>
      <c r="I22" s="205" t="s">
        <v>19</v>
      </c>
      <c r="J22" s="206" t="s">
        <v>230</v>
      </c>
    </row>
    <row r="23" spans="1:10" x14ac:dyDescent="0.25">
      <c r="A23" s="504"/>
      <c r="B23" s="199" t="s">
        <v>1050</v>
      </c>
      <c r="C23" s="200" t="s">
        <v>1051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13</v>
      </c>
      <c r="J23" s="206" t="s">
        <v>230</v>
      </c>
    </row>
    <row r="24" spans="1:10" x14ac:dyDescent="0.25">
      <c r="A24" s="504"/>
      <c r="B24" s="40" t="s">
        <v>1052</v>
      </c>
      <c r="C24" s="41" t="s">
        <v>1053</v>
      </c>
      <c r="D24" s="42" t="s">
        <v>60</v>
      </c>
      <c r="E24" s="43">
        <v>1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19</v>
      </c>
      <c r="J24" s="46" t="s">
        <v>230</v>
      </c>
    </row>
    <row r="25" spans="1:10" x14ac:dyDescent="0.25">
      <c r="A25" s="504"/>
      <c r="B25" s="40" t="s">
        <v>1054</v>
      </c>
      <c r="C25" s="48" t="s">
        <v>269</v>
      </c>
      <c r="D25" s="42" t="s">
        <v>54</v>
      </c>
      <c r="E25" s="42">
        <v>2</v>
      </c>
      <c r="F25" s="42">
        <v>2</v>
      </c>
      <c r="G25" s="44">
        <f t="shared" si="0"/>
        <v>76</v>
      </c>
      <c r="H25" s="45">
        <f t="shared" si="1"/>
        <v>63.333333333333336</v>
      </c>
      <c r="I25" s="47" t="s">
        <v>19</v>
      </c>
      <c r="J25" s="46" t="s">
        <v>232</v>
      </c>
    </row>
    <row r="26" spans="1:10" x14ac:dyDescent="0.25">
      <c r="A26" s="504"/>
      <c r="B26" s="40" t="s">
        <v>1055</v>
      </c>
      <c r="C26" s="48" t="s">
        <v>1056</v>
      </c>
      <c r="D26" s="42" t="s">
        <v>54</v>
      </c>
      <c r="E26" s="42">
        <v>2</v>
      </c>
      <c r="F26" s="42">
        <v>4</v>
      </c>
      <c r="G26" s="44">
        <f t="shared" si="0"/>
        <v>152</v>
      </c>
      <c r="H26" s="45">
        <f t="shared" si="1"/>
        <v>126.66666666666667</v>
      </c>
      <c r="I26" s="47" t="s">
        <v>19</v>
      </c>
      <c r="J26" s="46" t="s">
        <v>231</v>
      </c>
    </row>
    <row r="27" spans="1:10" x14ac:dyDescent="0.25">
      <c r="A27" s="504"/>
      <c r="B27" s="40" t="s">
        <v>499</v>
      </c>
      <c r="C27" s="48" t="s">
        <v>1057</v>
      </c>
      <c r="D27" s="42" t="s">
        <v>54</v>
      </c>
      <c r="E27" s="42">
        <v>1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19</v>
      </c>
      <c r="J27" s="46" t="s">
        <v>232</v>
      </c>
    </row>
    <row r="28" spans="1:10" ht="15" customHeight="1" x14ac:dyDescent="0.25">
      <c r="A28" s="504" t="s">
        <v>274</v>
      </c>
      <c r="B28" s="190" t="s">
        <v>249</v>
      </c>
      <c r="C28" s="198" t="s">
        <v>250</v>
      </c>
      <c r="D28" s="192" t="s">
        <v>60</v>
      </c>
      <c r="E28" s="192">
        <v>1</v>
      </c>
      <c r="F28" s="192">
        <v>4</v>
      </c>
      <c r="G28" s="194">
        <f t="shared" si="0"/>
        <v>152</v>
      </c>
      <c r="H28" s="195">
        <f t="shared" si="1"/>
        <v>126.66666666666667</v>
      </c>
      <c r="I28" s="196" t="s">
        <v>14</v>
      </c>
      <c r="J28" s="197" t="s">
        <v>230</v>
      </c>
    </row>
    <row r="29" spans="1:10" x14ac:dyDescent="0.25">
      <c r="A29" s="504"/>
      <c r="B29" s="190" t="s">
        <v>12</v>
      </c>
      <c r="C29" s="198" t="s">
        <v>253</v>
      </c>
      <c r="D29" s="192" t="s">
        <v>54</v>
      </c>
      <c r="E29" s="192">
        <v>1</v>
      </c>
      <c r="F29" s="192">
        <v>2</v>
      </c>
      <c r="G29" s="194">
        <f t="shared" si="0"/>
        <v>76</v>
      </c>
      <c r="H29" s="195">
        <f t="shared" si="1"/>
        <v>63.333333333333336</v>
      </c>
      <c r="I29" s="196" t="s">
        <v>12</v>
      </c>
      <c r="J29" s="197" t="s">
        <v>230</v>
      </c>
    </row>
    <row r="30" spans="1:10" x14ac:dyDescent="0.25">
      <c r="A30" s="504"/>
      <c r="B30" s="190" t="s">
        <v>1031</v>
      </c>
      <c r="C30" s="198" t="s">
        <v>1032</v>
      </c>
      <c r="D30" s="192" t="s">
        <v>54</v>
      </c>
      <c r="E30" s="192">
        <v>1</v>
      </c>
      <c r="F30" s="192">
        <v>0</v>
      </c>
      <c r="G30" s="194">
        <f t="shared" si="0"/>
        <v>0</v>
      </c>
      <c r="H30" s="195">
        <f t="shared" si="1"/>
        <v>0</v>
      </c>
      <c r="I30" s="196" t="s">
        <v>13</v>
      </c>
      <c r="J30" s="197" t="s">
        <v>575</v>
      </c>
    </row>
    <row r="31" spans="1:10" x14ac:dyDescent="0.25">
      <c r="A31" s="504"/>
      <c r="B31" s="190" t="s">
        <v>1033</v>
      </c>
      <c r="C31" s="198" t="s">
        <v>1034</v>
      </c>
      <c r="D31" s="192" t="s">
        <v>54</v>
      </c>
      <c r="E31" s="192">
        <v>1</v>
      </c>
      <c r="F31" s="192">
        <v>0</v>
      </c>
      <c r="G31" s="194">
        <f t="shared" si="0"/>
        <v>0</v>
      </c>
      <c r="H31" s="195">
        <f t="shared" si="1"/>
        <v>0</v>
      </c>
      <c r="I31" s="196" t="s">
        <v>13</v>
      </c>
      <c r="J31" s="197" t="s">
        <v>575</v>
      </c>
    </row>
    <row r="32" spans="1:10" x14ac:dyDescent="0.25">
      <c r="A32" s="504"/>
      <c r="B32" s="190" t="s">
        <v>15</v>
      </c>
      <c r="C32" s="198" t="s">
        <v>256</v>
      </c>
      <c r="D32" s="192" t="s">
        <v>54</v>
      </c>
      <c r="E32" s="192">
        <v>1</v>
      </c>
      <c r="F32" s="192">
        <v>0</v>
      </c>
      <c r="G32" s="194">
        <f t="shared" si="0"/>
        <v>0</v>
      </c>
      <c r="H32" s="195">
        <f t="shared" si="1"/>
        <v>0</v>
      </c>
      <c r="I32" s="196" t="s">
        <v>15</v>
      </c>
      <c r="J32" s="197" t="s">
        <v>230</v>
      </c>
    </row>
    <row r="33" spans="1:10" x14ac:dyDescent="0.25">
      <c r="A33" s="504"/>
      <c r="B33" s="190" t="s">
        <v>1035</v>
      </c>
      <c r="C33" s="198" t="s">
        <v>1036</v>
      </c>
      <c r="D33" s="192" t="s">
        <v>60</v>
      </c>
      <c r="E33" s="192">
        <v>1</v>
      </c>
      <c r="F33" s="192">
        <v>2</v>
      </c>
      <c r="G33" s="194">
        <f t="shared" si="0"/>
        <v>76</v>
      </c>
      <c r="H33" s="195">
        <f t="shared" si="1"/>
        <v>63.333333333333336</v>
      </c>
      <c r="I33" s="196" t="s">
        <v>21</v>
      </c>
      <c r="J33" s="197" t="s">
        <v>230</v>
      </c>
    </row>
    <row r="34" spans="1:10" x14ac:dyDescent="0.25">
      <c r="A34" s="504"/>
      <c r="B34" s="190" t="s">
        <v>1037</v>
      </c>
      <c r="C34" s="198" t="s">
        <v>1038</v>
      </c>
      <c r="D34" s="192" t="s">
        <v>60</v>
      </c>
      <c r="E34" s="192">
        <v>1</v>
      </c>
      <c r="F34" s="192">
        <v>2</v>
      </c>
      <c r="G34" s="194">
        <f t="shared" si="0"/>
        <v>76</v>
      </c>
      <c r="H34" s="195">
        <f t="shared" si="1"/>
        <v>63.333333333333336</v>
      </c>
      <c r="I34" s="196" t="s">
        <v>21</v>
      </c>
      <c r="J34" s="197" t="s">
        <v>230</v>
      </c>
    </row>
    <row r="35" spans="1:10" x14ac:dyDescent="0.25">
      <c r="A35" s="504"/>
      <c r="B35" s="190" t="s">
        <v>1039</v>
      </c>
      <c r="C35" s="198" t="s">
        <v>1040</v>
      </c>
      <c r="D35" s="192" t="s">
        <v>60</v>
      </c>
      <c r="E35" s="192">
        <v>1</v>
      </c>
      <c r="F35" s="192">
        <v>0</v>
      </c>
      <c r="G35" s="194">
        <f t="shared" si="0"/>
        <v>0</v>
      </c>
      <c r="H35" s="195">
        <f t="shared" si="1"/>
        <v>0</v>
      </c>
      <c r="I35" s="196" t="s">
        <v>7</v>
      </c>
      <c r="J35" s="197" t="s">
        <v>230</v>
      </c>
    </row>
    <row r="36" spans="1:10" x14ac:dyDescent="0.25">
      <c r="A36" s="504"/>
      <c r="B36" s="190" t="s">
        <v>1041</v>
      </c>
      <c r="C36" s="198" t="s">
        <v>258</v>
      </c>
      <c r="D36" s="192" t="s">
        <v>60</v>
      </c>
      <c r="E36" s="192">
        <v>1</v>
      </c>
      <c r="F36" s="192">
        <v>2</v>
      </c>
      <c r="G36" s="194">
        <f t="shared" si="0"/>
        <v>76</v>
      </c>
      <c r="H36" s="195">
        <f t="shared" si="1"/>
        <v>63.333333333333336</v>
      </c>
      <c r="I36" s="196" t="s">
        <v>5</v>
      </c>
      <c r="J36" s="197" t="s">
        <v>230</v>
      </c>
    </row>
    <row r="37" spans="1:10" x14ac:dyDescent="0.25">
      <c r="A37" s="504"/>
      <c r="B37" s="190" t="s">
        <v>6</v>
      </c>
      <c r="C37" s="198" t="s">
        <v>259</v>
      </c>
      <c r="D37" s="192" t="s">
        <v>60</v>
      </c>
      <c r="E37" s="192">
        <v>1</v>
      </c>
      <c r="F37" s="192">
        <v>2</v>
      </c>
      <c r="G37" s="194">
        <f t="shared" si="0"/>
        <v>76</v>
      </c>
      <c r="H37" s="195">
        <f t="shared" si="1"/>
        <v>63.333333333333336</v>
      </c>
      <c r="I37" s="196" t="s">
        <v>6</v>
      </c>
      <c r="J37" s="197" t="s">
        <v>230</v>
      </c>
    </row>
    <row r="38" spans="1:10" x14ac:dyDescent="0.25">
      <c r="A38" s="504"/>
      <c r="B38" s="190" t="s">
        <v>7</v>
      </c>
      <c r="C38" s="198" t="s">
        <v>1042</v>
      </c>
      <c r="D38" s="192" t="s">
        <v>60</v>
      </c>
      <c r="E38" s="192">
        <v>1</v>
      </c>
      <c r="F38" s="192">
        <v>2</v>
      </c>
      <c r="G38" s="194">
        <f t="shared" si="0"/>
        <v>76</v>
      </c>
      <c r="H38" s="195">
        <f t="shared" si="1"/>
        <v>63.333333333333336</v>
      </c>
      <c r="I38" s="196" t="s">
        <v>7</v>
      </c>
      <c r="J38" s="197" t="s">
        <v>230</v>
      </c>
    </row>
    <row r="39" spans="1:10" x14ac:dyDescent="0.25">
      <c r="A39" s="504"/>
      <c r="B39" s="190" t="s">
        <v>9</v>
      </c>
      <c r="C39" s="198" t="s">
        <v>261</v>
      </c>
      <c r="D39" s="192" t="s">
        <v>60</v>
      </c>
      <c r="E39" s="192">
        <v>1</v>
      </c>
      <c r="F39" s="192">
        <v>2</v>
      </c>
      <c r="G39" s="194">
        <f t="shared" si="0"/>
        <v>76</v>
      </c>
      <c r="H39" s="195">
        <f t="shared" ref="H39:H68" si="2">(G39)*$C$85/60</f>
        <v>63.333333333333336</v>
      </c>
      <c r="I39" s="196" t="s">
        <v>9</v>
      </c>
      <c r="J39" s="197" t="s">
        <v>230</v>
      </c>
    </row>
    <row r="40" spans="1:10" x14ac:dyDescent="0.25">
      <c r="A40" s="504"/>
      <c r="B40" s="190" t="s">
        <v>10</v>
      </c>
      <c r="C40" s="198" t="s">
        <v>262</v>
      </c>
      <c r="D40" s="192" t="s">
        <v>60</v>
      </c>
      <c r="E40" s="192">
        <v>1</v>
      </c>
      <c r="F40" s="192">
        <v>2</v>
      </c>
      <c r="G40" s="194">
        <f t="shared" si="0"/>
        <v>76</v>
      </c>
      <c r="H40" s="195">
        <f t="shared" si="2"/>
        <v>63.333333333333336</v>
      </c>
      <c r="I40" s="196" t="s">
        <v>10</v>
      </c>
      <c r="J40" s="197" t="s">
        <v>230</v>
      </c>
    </row>
    <row r="41" spans="1:10" x14ac:dyDescent="0.25">
      <c r="A41" s="504"/>
      <c r="B41" s="190" t="s">
        <v>8</v>
      </c>
      <c r="C41" s="198" t="s">
        <v>263</v>
      </c>
      <c r="D41" s="192" t="s">
        <v>60</v>
      </c>
      <c r="E41" s="192">
        <v>1</v>
      </c>
      <c r="F41" s="192">
        <v>2</v>
      </c>
      <c r="G41" s="194">
        <f t="shared" si="0"/>
        <v>76</v>
      </c>
      <c r="H41" s="195">
        <f t="shared" si="2"/>
        <v>63.333333333333336</v>
      </c>
      <c r="I41" s="196" t="s">
        <v>8</v>
      </c>
      <c r="J41" s="197" t="s">
        <v>230</v>
      </c>
    </row>
    <row r="42" spans="1:10" x14ac:dyDescent="0.25">
      <c r="A42" s="504"/>
      <c r="B42" s="190" t="s">
        <v>11</v>
      </c>
      <c r="C42" s="198" t="s">
        <v>264</v>
      </c>
      <c r="D42" s="192" t="s">
        <v>60</v>
      </c>
      <c r="E42" s="192">
        <v>1</v>
      </c>
      <c r="F42" s="192">
        <v>2</v>
      </c>
      <c r="G42" s="194">
        <f t="shared" si="0"/>
        <v>76</v>
      </c>
      <c r="H42" s="195">
        <f t="shared" si="2"/>
        <v>63.333333333333336</v>
      </c>
      <c r="I42" s="196" t="s">
        <v>11</v>
      </c>
      <c r="J42" s="197" t="s">
        <v>230</v>
      </c>
    </row>
    <row r="43" spans="1:10" x14ac:dyDescent="0.25">
      <c r="A43" s="504"/>
      <c r="B43" s="199" t="s">
        <v>1044</v>
      </c>
      <c r="C43" s="207" t="s">
        <v>1045</v>
      </c>
      <c r="D43" s="201" t="s">
        <v>60</v>
      </c>
      <c r="E43" s="201">
        <v>1</v>
      </c>
      <c r="F43" s="201">
        <v>0</v>
      </c>
      <c r="G43" s="203">
        <f t="shared" si="0"/>
        <v>0</v>
      </c>
      <c r="H43" s="204">
        <f t="shared" si="2"/>
        <v>0</v>
      </c>
      <c r="I43" s="205" t="s">
        <v>15</v>
      </c>
      <c r="J43" s="206" t="s">
        <v>230</v>
      </c>
    </row>
    <row r="44" spans="1:10" x14ac:dyDescent="0.25">
      <c r="A44" s="504"/>
      <c r="B44" s="199" t="s">
        <v>1046</v>
      </c>
      <c r="C44" s="207" t="s">
        <v>1047</v>
      </c>
      <c r="D44" s="201" t="s">
        <v>60</v>
      </c>
      <c r="E44" s="201">
        <v>1</v>
      </c>
      <c r="F44" s="201">
        <v>2</v>
      </c>
      <c r="G44" s="203">
        <f t="shared" si="0"/>
        <v>76</v>
      </c>
      <c r="H44" s="204">
        <f t="shared" si="2"/>
        <v>63.333333333333336</v>
      </c>
      <c r="I44" s="205" t="s">
        <v>9</v>
      </c>
      <c r="J44" s="206" t="s">
        <v>230</v>
      </c>
    </row>
    <row r="45" spans="1:10" x14ac:dyDescent="0.25">
      <c r="A45" s="504"/>
      <c r="B45" s="199" t="s">
        <v>1048</v>
      </c>
      <c r="C45" s="207" t="s">
        <v>1049</v>
      </c>
      <c r="D45" s="201" t="s">
        <v>60</v>
      </c>
      <c r="E45" s="201">
        <v>1</v>
      </c>
      <c r="F45" s="201">
        <v>0</v>
      </c>
      <c r="G45" s="203">
        <f t="shared" si="0"/>
        <v>0</v>
      </c>
      <c r="H45" s="204">
        <f t="shared" si="2"/>
        <v>0</v>
      </c>
      <c r="I45" s="205" t="s">
        <v>19</v>
      </c>
      <c r="J45" s="206" t="s">
        <v>230</v>
      </c>
    </row>
    <row r="46" spans="1:10" x14ac:dyDescent="0.25">
      <c r="A46" s="504"/>
      <c r="B46" s="199" t="s">
        <v>1050</v>
      </c>
      <c r="C46" s="207" t="s">
        <v>1051</v>
      </c>
      <c r="D46" s="201" t="s">
        <v>60</v>
      </c>
      <c r="E46" s="201">
        <v>1</v>
      </c>
      <c r="F46" s="201">
        <v>0</v>
      </c>
      <c r="G46" s="203">
        <f t="shared" si="0"/>
        <v>0</v>
      </c>
      <c r="H46" s="204">
        <f t="shared" si="2"/>
        <v>0</v>
      </c>
      <c r="I46" s="205" t="s">
        <v>13</v>
      </c>
      <c r="J46" s="206" t="s">
        <v>230</v>
      </c>
    </row>
    <row r="47" spans="1:10" x14ac:dyDescent="0.25">
      <c r="A47" s="504"/>
      <c r="B47" s="40" t="s">
        <v>1058</v>
      </c>
      <c r="C47" s="41" t="s">
        <v>276</v>
      </c>
      <c r="D47" s="42" t="s">
        <v>54</v>
      </c>
      <c r="E47" s="43">
        <v>2</v>
      </c>
      <c r="F47" s="42">
        <v>4</v>
      </c>
      <c r="G47" s="44">
        <f>F47*$F$2</f>
        <v>152</v>
      </c>
      <c r="H47" s="45">
        <f t="shared" si="2"/>
        <v>126.66666666666667</v>
      </c>
      <c r="I47" s="47" t="s">
        <v>19</v>
      </c>
      <c r="J47" s="46" t="s">
        <v>230</v>
      </c>
    </row>
    <row r="48" spans="1:10" x14ac:dyDescent="0.25">
      <c r="A48" s="504"/>
      <c r="B48" s="40" t="s">
        <v>1059</v>
      </c>
      <c r="C48" s="48" t="s">
        <v>1060</v>
      </c>
      <c r="D48" s="42" t="s">
        <v>60</v>
      </c>
      <c r="E48" s="42">
        <v>1</v>
      </c>
      <c r="F48" s="42">
        <v>2</v>
      </c>
      <c r="G48" s="44">
        <f t="shared" ref="G48:G78" si="3">F48*$F$2</f>
        <v>76</v>
      </c>
      <c r="H48" s="45">
        <f t="shared" si="2"/>
        <v>63.333333333333336</v>
      </c>
      <c r="I48" s="47" t="s">
        <v>19</v>
      </c>
      <c r="J48" s="46" t="s">
        <v>230</v>
      </c>
    </row>
    <row r="49" spans="1:10" x14ac:dyDescent="0.25">
      <c r="A49" s="504"/>
      <c r="B49" s="40" t="s">
        <v>759</v>
      </c>
      <c r="C49" s="48" t="s">
        <v>279</v>
      </c>
      <c r="D49" s="42" t="s">
        <v>54</v>
      </c>
      <c r="E49" s="42">
        <v>2</v>
      </c>
      <c r="F49" s="42">
        <v>4</v>
      </c>
      <c r="G49" s="44">
        <f t="shared" si="3"/>
        <v>152</v>
      </c>
      <c r="H49" s="45">
        <f t="shared" si="2"/>
        <v>126.66666666666667</v>
      </c>
      <c r="I49" s="47" t="s">
        <v>19</v>
      </c>
      <c r="J49" s="46" t="s">
        <v>232</v>
      </c>
    </row>
    <row r="50" spans="1:10" x14ac:dyDescent="0.25">
      <c r="A50" s="504"/>
      <c r="B50" s="40" t="s">
        <v>1061</v>
      </c>
      <c r="C50" s="48" t="s">
        <v>1062</v>
      </c>
      <c r="D50" s="42" t="s">
        <v>60</v>
      </c>
      <c r="E50" s="42">
        <v>1</v>
      </c>
      <c r="F50" s="42">
        <v>2</v>
      </c>
      <c r="G50" s="44">
        <f t="shared" si="3"/>
        <v>76</v>
      </c>
      <c r="H50" s="45">
        <f t="shared" si="2"/>
        <v>63.333333333333336</v>
      </c>
      <c r="I50" s="47" t="s">
        <v>315</v>
      </c>
      <c r="J50" s="46" t="s">
        <v>230</v>
      </c>
    </row>
    <row r="51" spans="1:10" x14ac:dyDescent="0.25">
      <c r="A51" s="504"/>
      <c r="B51" s="40" t="s">
        <v>1063</v>
      </c>
      <c r="C51" s="48" t="s">
        <v>283</v>
      </c>
      <c r="D51" s="42" t="s">
        <v>54</v>
      </c>
      <c r="E51" s="42">
        <v>2</v>
      </c>
      <c r="F51" s="42">
        <v>2</v>
      </c>
      <c r="G51" s="44">
        <f t="shared" si="3"/>
        <v>76</v>
      </c>
      <c r="H51" s="45">
        <f t="shared" si="2"/>
        <v>63.333333333333336</v>
      </c>
      <c r="I51" s="47" t="s">
        <v>19</v>
      </c>
      <c r="J51" s="46" t="s">
        <v>232</v>
      </c>
    </row>
    <row r="52" spans="1:10" ht="15" customHeight="1" x14ac:dyDescent="0.25">
      <c r="A52" s="504" t="s">
        <v>1064</v>
      </c>
      <c r="B52" s="190" t="s">
        <v>249</v>
      </c>
      <c r="C52" s="191" t="s">
        <v>250</v>
      </c>
      <c r="D52" s="192" t="s">
        <v>60</v>
      </c>
      <c r="E52" s="193">
        <v>1</v>
      </c>
      <c r="F52" s="192">
        <v>4</v>
      </c>
      <c r="G52" s="194">
        <f t="shared" si="3"/>
        <v>152</v>
      </c>
      <c r="H52" s="195">
        <f t="shared" si="2"/>
        <v>126.66666666666667</v>
      </c>
      <c r="I52" s="196" t="s">
        <v>14</v>
      </c>
      <c r="J52" s="197" t="s">
        <v>230</v>
      </c>
    </row>
    <row r="53" spans="1:10" x14ac:dyDescent="0.25">
      <c r="A53" s="504"/>
      <c r="B53" s="190" t="s">
        <v>12</v>
      </c>
      <c r="C53" s="191" t="s">
        <v>253</v>
      </c>
      <c r="D53" s="192" t="s">
        <v>54</v>
      </c>
      <c r="E53" s="193">
        <v>1</v>
      </c>
      <c r="F53" s="192">
        <v>2</v>
      </c>
      <c r="G53" s="194">
        <f t="shared" si="3"/>
        <v>76</v>
      </c>
      <c r="H53" s="195">
        <f t="shared" si="2"/>
        <v>63.333333333333336</v>
      </c>
      <c r="I53" s="196" t="s">
        <v>12</v>
      </c>
      <c r="J53" s="197" t="s">
        <v>230</v>
      </c>
    </row>
    <row r="54" spans="1:10" x14ac:dyDescent="0.25">
      <c r="A54" s="504"/>
      <c r="B54" s="190" t="s">
        <v>1031</v>
      </c>
      <c r="C54" s="191" t="s">
        <v>1032</v>
      </c>
      <c r="D54" s="192" t="s">
        <v>54</v>
      </c>
      <c r="E54" s="193">
        <v>1</v>
      </c>
      <c r="F54" s="192">
        <v>2</v>
      </c>
      <c r="G54" s="194">
        <f t="shared" si="3"/>
        <v>76</v>
      </c>
      <c r="H54" s="195">
        <f t="shared" si="2"/>
        <v>63.333333333333336</v>
      </c>
      <c r="I54" s="196" t="s">
        <v>13</v>
      </c>
      <c r="J54" s="197" t="s">
        <v>575</v>
      </c>
    </row>
    <row r="55" spans="1:10" x14ac:dyDescent="0.25">
      <c r="A55" s="504"/>
      <c r="B55" s="190" t="s">
        <v>1033</v>
      </c>
      <c r="C55" s="191" t="s">
        <v>1034</v>
      </c>
      <c r="D55" s="192" t="s">
        <v>54</v>
      </c>
      <c r="E55" s="193">
        <v>1</v>
      </c>
      <c r="F55" s="192">
        <v>0</v>
      </c>
      <c r="G55" s="194">
        <f t="shared" si="3"/>
        <v>0</v>
      </c>
      <c r="H55" s="195">
        <f t="shared" si="2"/>
        <v>0</v>
      </c>
      <c r="I55" s="196" t="s">
        <v>13</v>
      </c>
      <c r="J55" s="197" t="s">
        <v>575</v>
      </c>
    </row>
    <row r="56" spans="1:10" x14ac:dyDescent="0.25">
      <c r="A56" s="504"/>
      <c r="B56" s="190" t="s">
        <v>15</v>
      </c>
      <c r="C56" s="191" t="s">
        <v>256</v>
      </c>
      <c r="D56" s="192" t="s">
        <v>54</v>
      </c>
      <c r="E56" s="193">
        <v>1</v>
      </c>
      <c r="F56" s="192">
        <v>2</v>
      </c>
      <c r="G56" s="194">
        <f t="shared" si="3"/>
        <v>76</v>
      </c>
      <c r="H56" s="195">
        <f t="shared" si="2"/>
        <v>63.333333333333336</v>
      </c>
      <c r="I56" s="196" t="s">
        <v>15</v>
      </c>
      <c r="J56" s="197" t="s">
        <v>230</v>
      </c>
    </row>
    <row r="57" spans="1:10" x14ac:dyDescent="0.25">
      <c r="A57" s="504"/>
      <c r="B57" s="190" t="s">
        <v>1035</v>
      </c>
      <c r="C57" s="191" t="s">
        <v>1036</v>
      </c>
      <c r="D57" s="192" t="s">
        <v>60</v>
      </c>
      <c r="E57" s="193">
        <v>1</v>
      </c>
      <c r="F57" s="192">
        <v>2</v>
      </c>
      <c r="G57" s="194">
        <f t="shared" si="3"/>
        <v>76</v>
      </c>
      <c r="H57" s="195">
        <f t="shared" si="2"/>
        <v>63.333333333333336</v>
      </c>
      <c r="I57" s="196" t="s">
        <v>21</v>
      </c>
      <c r="J57" s="197" t="s">
        <v>230</v>
      </c>
    </row>
    <row r="58" spans="1:10" x14ac:dyDescent="0.25">
      <c r="A58" s="504"/>
      <c r="B58" s="190" t="s">
        <v>1037</v>
      </c>
      <c r="C58" s="191" t="s">
        <v>1038</v>
      </c>
      <c r="D58" s="192" t="s">
        <v>60</v>
      </c>
      <c r="E58" s="193">
        <v>1</v>
      </c>
      <c r="F58" s="192">
        <v>2</v>
      </c>
      <c r="G58" s="194">
        <f t="shared" si="3"/>
        <v>76</v>
      </c>
      <c r="H58" s="195">
        <f t="shared" si="2"/>
        <v>63.333333333333336</v>
      </c>
      <c r="I58" s="196" t="s">
        <v>21</v>
      </c>
      <c r="J58" s="197" t="s">
        <v>230</v>
      </c>
    </row>
    <row r="59" spans="1:10" x14ac:dyDescent="0.25">
      <c r="A59" s="504"/>
      <c r="B59" s="190" t="s">
        <v>1039</v>
      </c>
      <c r="C59" s="191" t="s">
        <v>1040</v>
      </c>
      <c r="D59" s="192" t="s">
        <v>60</v>
      </c>
      <c r="E59" s="193">
        <v>1</v>
      </c>
      <c r="F59" s="192">
        <v>0</v>
      </c>
      <c r="G59" s="194">
        <f t="shared" si="3"/>
        <v>0</v>
      </c>
      <c r="H59" s="195">
        <f t="shared" si="2"/>
        <v>0</v>
      </c>
      <c r="I59" s="196" t="s">
        <v>7</v>
      </c>
      <c r="J59" s="197" t="s">
        <v>230</v>
      </c>
    </row>
    <row r="60" spans="1:10" x14ac:dyDescent="0.25">
      <c r="A60" s="504"/>
      <c r="B60" s="190" t="s">
        <v>1041</v>
      </c>
      <c r="C60" s="191" t="s">
        <v>258</v>
      </c>
      <c r="D60" s="192" t="s">
        <v>60</v>
      </c>
      <c r="E60" s="193">
        <v>1</v>
      </c>
      <c r="F60" s="192">
        <v>2</v>
      </c>
      <c r="G60" s="194">
        <f t="shared" si="3"/>
        <v>76</v>
      </c>
      <c r="H60" s="195">
        <f t="shared" si="2"/>
        <v>63.333333333333336</v>
      </c>
      <c r="I60" s="196" t="s">
        <v>5</v>
      </c>
      <c r="J60" s="197" t="s">
        <v>230</v>
      </c>
    </row>
    <row r="61" spans="1:10" x14ac:dyDescent="0.25">
      <c r="A61" s="504"/>
      <c r="B61" s="190" t="s">
        <v>6</v>
      </c>
      <c r="C61" s="191" t="s">
        <v>259</v>
      </c>
      <c r="D61" s="192" t="s">
        <v>60</v>
      </c>
      <c r="E61" s="193">
        <v>1</v>
      </c>
      <c r="F61" s="192">
        <v>2</v>
      </c>
      <c r="G61" s="194">
        <f t="shared" si="3"/>
        <v>76</v>
      </c>
      <c r="H61" s="195">
        <f t="shared" si="2"/>
        <v>63.333333333333336</v>
      </c>
      <c r="I61" s="196" t="s">
        <v>6</v>
      </c>
      <c r="J61" s="197" t="s">
        <v>230</v>
      </c>
    </row>
    <row r="62" spans="1:10" x14ac:dyDescent="0.25">
      <c r="A62" s="504"/>
      <c r="B62" s="190" t="s">
        <v>7</v>
      </c>
      <c r="C62" s="191" t="s">
        <v>1042</v>
      </c>
      <c r="D62" s="192" t="s">
        <v>60</v>
      </c>
      <c r="E62" s="193">
        <v>1</v>
      </c>
      <c r="F62" s="192">
        <v>2</v>
      </c>
      <c r="G62" s="194">
        <f t="shared" si="3"/>
        <v>76</v>
      </c>
      <c r="H62" s="195">
        <f t="shared" si="2"/>
        <v>63.333333333333336</v>
      </c>
      <c r="I62" s="196" t="s">
        <v>7</v>
      </c>
      <c r="J62" s="197" t="s">
        <v>230</v>
      </c>
    </row>
    <row r="63" spans="1:10" x14ac:dyDescent="0.25">
      <c r="A63" s="504"/>
      <c r="B63" s="190" t="s">
        <v>9</v>
      </c>
      <c r="C63" s="191" t="s">
        <v>261</v>
      </c>
      <c r="D63" s="192" t="s">
        <v>60</v>
      </c>
      <c r="E63" s="193">
        <v>1</v>
      </c>
      <c r="F63" s="192">
        <v>2</v>
      </c>
      <c r="G63" s="194">
        <f t="shared" si="3"/>
        <v>76</v>
      </c>
      <c r="H63" s="195">
        <f t="shared" si="2"/>
        <v>63.333333333333336</v>
      </c>
      <c r="I63" s="196" t="s">
        <v>9</v>
      </c>
      <c r="J63" s="197" t="s">
        <v>230</v>
      </c>
    </row>
    <row r="64" spans="1:10" x14ac:dyDescent="0.25">
      <c r="A64" s="504"/>
      <c r="B64" s="190" t="s">
        <v>10</v>
      </c>
      <c r="C64" s="191" t="s">
        <v>262</v>
      </c>
      <c r="D64" s="192" t="s">
        <v>60</v>
      </c>
      <c r="E64" s="193">
        <v>1</v>
      </c>
      <c r="F64" s="192">
        <v>0</v>
      </c>
      <c r="G64" s="194">
        <f t="shared" si="3"/>
        <v>0</v>
      </c>
      <c r="H64" s="195">
        <f t="shared" si="2"/>
        <v>0</v>
      </c>
      <c r="I64" s="196" t="s">
        <v>10</v>
      </c>
      <c r="J64" s="197" t="s">
        <v>230</v>
      </c>
    </row>
    <row r="65" spans="1:10" x14ac:dyDescent="0.25">
      <c r="A65" s="504"/>
      <c r="B65" s="190" t="s">
        <v>8</v>
      </c>
      <c r="C65" s="191" t="s">
        <v>263</v>
      </c>
      <c r="D65" s="192" t="s">
        <v>60</v>
      </c>
      <c r="E65" s="193">
        <v>1</v>
      </c>
      <c r="F65" s="192">
        <v>2</v>
      </c>
      <c r="G65" s="194">
        <f t="shared" si="3"/>
        <v>76</v>
      </c>
      <c r="H65" s="195">
        <f t="shared" si="2"/>
        <v>63.333333333333336</v>
      </c>
      <c r="I65" s="196" t="s">
        <v>8</v>
      </c>
      <c r="J65" s="197" t="s">
        <v>230</v>
      </c>
    </row>
    <row r="66" spans="1:10" x14ac:dyDescent="0.25">
      <c r="A66" s="504"/>
      <c r="B66" s="190" t="s">
        <v>11</v>
      </c>
      <c r="C66" s="191" t="s">
        <v>264</v>
      </c>
      <c r="D66" s="192" t="s">
        <v>60</v>
      </c>
      <c r="E66" s="193">
        <v>1</v>
      </c>
      <c r="F66" s="192">
        <v>2</v>
      </c>
      <c r="G66" s="194">
        <f t="shared" si="3"/>
        <v>76</v>
      </c>
      <c r="H66" s="195">
        <f t="shared" si="2"/>
        <v>63.333333333333336</v>
      </c>
      <c r="I66" s="196" t="s">
        <v>11</v>
      </c>
      <c r="J66" s="197" t="s">
        <v>230</v>
      </c>
    </row>
    <row r="67" spans="1:10" x14ac:dyDescent="0.25">
      <c r="A67" s="504"/>
      <c r="B67" s="199" t="s">
        <v>1044</v>
      </c>
      <c r="C67" s="200" t="s">
        <v>1045</v>
      </c>
      <c r="D67" s="201" t="s">
        <v>60</v>
      </c>
      <c r="E67" s="202">
        <v>1</v>
      </c>
      <c r="F67" s="201">
        <v>2</v>
      </c>
      <c r="G67" s="203">
        <f t="shared" si="3"/>
        <v>76</v>
      </c>
      <c r="H67" s="204">
        <f t="shared" si="2"/>
        <v>63.333333333333336</v>
      </c>
      <c r="I67" s="205" t="s">
        <v>15</v>
      </c>
      <c r="J67" s="206" t="s">
        <v>230</v>
      </c>
    </row>
    <row r="68" spans="1:10" x14ac:dyDescent="0.25">
      <c r="A68" s="504"/>
      <c r="B68" s="199" t="s">
        <v>1046</v>
      </c>
      <c r="C68" s="200" t="s">
        <v>1047</v>
      </c>
      <c r="D68" s="201" t="s">
        <v>60</v>
      </c>
      <c r="E68" s="202">
        <v>1</v>
      </c>
      <c r="F68" s="201">
        <v>0</v>
      </c>
      <c r="G68" s="203">
        <f t="shared" si="3"/>
        <v>0</v>
      </c>
      <c r="H68" s="204">
        <f t="shared" si="2"/>
        <v>0</v>
      </c>
      <c r="I68" s="205" t="s">
        <v>9</v>
      </c>
      <c r="J68" s="206" t="s">
        <v>230</v>
      </c>
    </row>
    <row r="69" spans="1:10" x14ac:dyDescent="0.25">
      <c r="A69" s="504"/>
      <c r="B69" s="199" t="s">
        <v>1048</v>
      </c>
      <c r="C69" s="200" t="s">
        <v>1049</v>
      </c>
      <c r="D69" s="201" t="s">
        <v>60</v>
      </c>
      <c r="E69" s="202">
        <v>1</v>
      </c>
      <c r="F69" s="201">
        <v>0</v>
      </c>
      <c r="G69" s="203">
        <f t="shared" si="3"/>
        <v>0</v>
      </c>
      <c r="H69" s="204">
        <f t="shared" ref="H69:H78" si="4">(G69)*$C$85/60</f>
        <v>0</v>
      </c>
      <c r="I69" s="205" t="s">
        <v>19</v>
      </c>
      <c r="J69" s="206" t="s">
        <v>230</v>
      </c>
    </row>
    <row r="70" spans="1:10" x14ac:dyDescent="0.25">
      <c r="A70" s="504"/>
      <c r="B70" s="199" t="s">
        <v>1050</v>
      </c>
      <c r="C70" s="200" t="s">
        <v>1051</v>
      </c>
      <c r="D70" s="201" t="s">
        <v>60</v>
      </c>
      <c r="E70" s="202">
        <v>1</v>
      </c>
      <c r="F70" s="201">
        <v>0</v>
      </c>
      <c r="G70" s="203">
        <f t="shared" si="3"/>
        <v>0</v>
      </c>
      <c r="H70" s="204">
        <f t="shared" si="4"/>
        <v>0</v>
      </c>
      <c r="I70" s="205" t="s">
        <v>13</v>
      </c>
      <c r="J70" s="206" t="s">
        <v>230</v>
      </c>
    </row>
    <row r="71" spans="1:10" x14ac:dyDescent="0.25">
      <c r="A71" s="504"/>
      <c r="B71" s="40" t="s">
        <v>1065</v>
      </c>
      <c r="C71" s="41" t="s">
        <v>288</v>
      </c>
      <c r="D71" s="42" t="s">
        <v>54</v>
      </c>
      <c r="E71" s="43">
        <v>2</v>
      </c>
      <c r="F71" s="42">
        <v>2</v>
      </c>
      <c r="G71" s="44">
        <f t="shared" si="3"/>
        <v>76</v>
      </c>
      <c r="H71" s="45">
        <f t="shared" si="4"/>
        <v>63.333333333333336</v>
      </c>
      <c r="I71" s="47" t="s">
        <v>19</v>
      </c>
      <c r="J71" s="46" t="s">
        <v>230</v>
      </c>
    </row>
    <row r="72" spans="1:10" x14ac:dyDescent="0.25">
      <c r="A72" s="504"/>
      <c r="B72" s="40" t="s">
        <v>1066</v>
      </c>
      <c r="C72" s="48" t="s">
        <v>1067</v>
      </c>
      <c r="D72" s="42" t="s">
        <v>54</v>
      </c>
      <c r="E72" s="42">
        <v>2</v>
      </c>
      <c r="F72" s="42">
        <v>2</v>
      </c>
      <c r="G72" s="44">
        <f t="shared" si="3"/>
        <v>76</v>
      </c>
      <c r="H72" s="45">
        <f t="shared" si="4"/>
        <v>63.333333333333336</v>
      </c>
      <c r="I72" s="47" t="s">
        <v>19</v>
      </c>
      <c r="J72" s="46" t="s">
        <v>231</v>
      </c>
    </row>
    <row r="73" spans="1:10" x14ac:dyDescent="0.25">
      <c r="A73" s="504"/>
      <c r="B73" s="40" t="s">
        <v>1068</v>
      </c>
      <c r="C73" s="48" t="s">
        <v>294</v>
      </c>
      <c r="D73" s="42" t="s">
        <v>60</v>
      </c>
      <c r="E73" s="42">
        <v>1</v>
      </c>
      <c r="F73" s="42">
        <v>2</v>
      </c>
      <c r="G73" s="44">
        <f t="shared" si="3"/>
        <v>76</v>
      </c>
      <c r="H73" s="45">
        <f t="shared" si="4"/>
        <v>63.333333333333336</v>
      </c>
      <c r="I73" s="47" t="s">
        <v>19</v>
      </c>
      <c r="J73" s="46" t="s">
        <v>230</v>
      </c>
    </row>
    <row r="74" spans="1:10" x14ac:dyDescent="0.25">
      <c r="A74" s="504"/>
      <c r="B74" s="40" t="s">
        <v>1069</v>
      </c>
      <c r="C74" s="48" t="s">
        <v>290</v>
      </c>
      <c r="D74" s="42" t="s">
        <v>60</v>
      </c>
      <c r="E74" s="42">
        <v>1</v>
      </c>
      <c r="F74" s="42">
        <v>2</v>
      </c>
      <c r="G74" s="44">
        <f t="shared" si="3"/>
        <v>76</v>
      </c>
      <c r="H74" s="45">
        <f t="shared" si="4"/>
        <v>63.333333333333336</v>
      </c>
      <c r="I74" s="47" t="s">
        <v>19</v>
      </c>
      <c r="J74" s="46" t="s">
        <v>230</v>
      </c>
    </row>
    <row r="75" spans="1:10" ht="15.75" thickBot="1" x14ac:dyDescent="0.3">
      <c r="A75" s="504"/>
      <c r="B75" s="40" t="s">
        <v>529</v>
      </c>
      <c r="C75" s="48" t="s">
        <v>296</v>
      </c>
      <c r="D75" s="42" t="s">
        <v>54</v>
      </c>
      <c r="E75" s="42">
        <v>2</v>
      </c>
      <c r="F75" s="42">
        <v>2</v>
      </c>
      <c r="G75" s="44">
        <f t="shared" si="3"/>
        <v>76</v>
      </c>
      <c r="H75" s="45">
        <f t="shared" si="4"/>
        <v>63.333333333333336</v>
      </c>
      <c r="I75" s="47" t="s">
        <v>19</v>
      </c>
      <c r="J75" s="46" t="s">
        <v>231</v>
      </c>
    </row>
    <row r="76" spans="1:10" ht="15.75" thickBot="1" x14ac:dyDescent="0.3">
      <c r="A76" s="506" t="s">
        <v>297</v>
      </c>
      <c r="B76" s="507"/>
      <c r="C76" s="42" t="s">
        <v>298</v>
      </c>
      <c r="D76" s="42" t="s">
        <v>60</v>
      </c>
      <c r="E76" s="42">
        <v>1</v>
      </c>
      <c r="F76" s="42">
        <v>2</v>
      </c>
      <c r="G76" s="44">
        <f t="shared" si="3"/>
        <v>76</v>
      </c>
      <c r="H76" s="45">
        <f t="shared" si="4"/>
        <v>63.333333333333336</v>
      </c>
      <c r="I76" s="47" t="s">
        <v>16</v>
      </c>
      <c r="J76" s="46" t="s">
        <v>230</v>
      </c>
    </row>
    <row r="77" spans="1:10" ht="15.75" thickBot="1" x14ac:dyDescent="0.3">
      <c r="A77" s="598" t="s">
        <v>1070</v>
      </c>
      <c r="B77" s="599"/>
      <c r="C77" s="42" t="s">
        <v>1071</v>
      </c>
      <c r="D77" s="42" t="s">
        <v>60</v>
      </c>
      <c r="E77" s="42">
        <v>1</v>
      </c>
      <c r="F77" s="42">
        <v>2</v>
      </c>
      <c r="G77" s="44">
        <f t="shared" si="3"/>
        <v>76</v>
      </c>
      <c r="H77" s="45">
        <f t="shared" si="4"/>
        <v>63.333333333333336</v>
      </c>
      <c r="I77" s="47"/>
      <c r="J77" s="46"/>
    </row>
    <row r="78" spans="1:10" ht="15.75" thickBot="1" x14ac:dyDescent="0.3">
      <c r="A78" s="506" t="s">
        <v>300</v>
      </c>
      <c r="B78" s="507"/>
      <c r="C78" s="42" t="s">
        <v>301</v>
      </c>
      <c r="D78" s="42" t="s">
        <v>60</v>
      </c>
      <c r="E78" s="42">
        <v>1</v>
      </c>
      <c r="F78" s="42">
        <v>2</v>
      </c>
      <c r="G78" s="44">
        <f t="shared" si="3"/>
        <v>76</v>
      </c>
      <c r="H78" s="45">
        <f t="shared" si="4"/>
        <v>63.333333333333336</v>
      </c>
      <c r="I78" s="47" t="s">
        <v>17</v>
      </c>
      <c r="J78" s="46" t="s">
        <v>230</v>
      </c>
    </row>
    <row r="79" spans="1:10" ht="16.5" thickBot="1" x14ac:dyDescent="0.3">
      <c r="A79" s="508" t="s">
        <v>302</v>
      </c>
      <c r="B79" s="509"/>
      <c r="C79" s="509"/>
      <c r="D79" s="509"/>
      <c r="E79" s="510"/>
      <c r="F79" s="53">
        <f>SUM(F5:F75)*F2</f>
        <v>4180</v>
      </c>
      <c r="G79" s="53">
        <f>SUM(G5:G78)</f>
        <v>4408</v>
      </c>
      <c r="H79" s="54"/>
      <c r="I79" s="36"/>
    </row>
    <row r="80" spans="1:10" ht="16.5" thickBot="1" x14ac:dyDescent="0.3">
      <c r="A80" s="508" t="s">
        <v>303</v>
      </c>
      <c r="B80" s="509"/>
      <c r="C80" s="509"/>
      <c r="D80" s="509"/>
      <c r="E80" s="510"/>
      <c r="F80" s="55">
        <f>(F79*$C$85)/60</f>
        <v>3483.3333333333335</v>
      </c>
      <c r="G80" s="53" t="s">
        <v>304</v>
      </c>
      <c r="H80" s="55" t="e">
        <f>SUM(F80+#REF!+#REF!)</f>
        <v>#REF!</v>
      </c>
      <c r="I80" s="36"/>
    </row>
    <row r="81" spans="1:9" ht="16.5" thickBot="1" x14ac:dyDescent="0.3">
      <c r="A81" s="508" t="s">
        <v>305</v>
      </c>
      <c r="B81" s="509"/>
      <c r="C81" s="509"/>
      <c r="D81" s="509"/>
      <c r="E81" s="509"/>
      <c r="F81" s="509"/>
      <c r="G81" s="510"/>
      <c r="H81" s="56" t="e">
        <f>H80</f>
        <v>#REF!</v>
      </c>
      <c r="I81" s="57"/>
    </row>
    <row r="82" spans="1:9" ht="15.75" thickBot="1" x14ac:dyDescent="0.3">
      <c r="A82" s="506" t="s">
        <v>306</v>
      </c>
      <c r="B82" s="511"/>
      <c r="C82" s="511"/>
      <c r="D82" s="511"/>
      <c r="E82" s="511"/>
      <c r="F82" s="511"/>
      <c r="G82" s="512"/>
      <c r="H82" s="58">
        <v>150</v>
      </c>
      <c r="I82" s="59"/>
    </row>
    <row r="83" spans="1:9" ht="15.75" thickBot="1" x14ac:dyDescent="0.3">
      <c r="A83" s="506" t="s">
        <v>1072</v>
      </c>
      <c r="B83" s="511"/>
      <c r="C83" s="511"/>
      <c r="D83" s="511"/>
      <c r="E83" s="511"/>
      <c r="F83" s="511"/>
      <c r="G83" s="512"/>
      <c r="H83" s="58">
        <v>80</v>
      </c>
      <c r="I83" s="59"/>
    </row>
    <row r="84" spans="1:9" ht="16.5" thickBot="1" x14ac:dyDescent="0.3">
      <c r="A84" s="508" t="s">
        <v>308</v>
      </c>
      <c r="B84" s="509"/>
      <c r="C84" s="509"/>
      <c r="D84" s="509"/>
      <c r="E84" s="509"/>
      <c r="F84" s="509"/>
      <c r="G84" s="510"/>
      <c r="H84" s="55" t="e">
        <f>ROUNDDOWN(SUM(H81:H83,H76:H78),0)</f>
        <v>#REF!</v>
      </c>
      <c r="I84" s="36"/>
    </row>
    <row r="85" spans="1:9" ht="15.75" x14ac:dyDescent="0.25">
      <c r="A85" s="505" t="s">
        <v>309</v>
      </c>
      <c r="B85" s="505"/>
      <c r="C85" s="38">
        <v>50</v>
      </c>
      <c r="D85" s="60" t="s">
        <v>310</v>
      </c>
      <c r="E85" s="60"/>
      <c r="F85" s="60"/>
      <c r="G85" s="60"/>
      <c r="H85" s="60"/>
      <c r="I85" s="36"/>
    </row>
    <row r="86" spans="1:9" x14ac:dyDescent="0.25">
      <c r="F86" s="219">
        <f>SUMPRODUCT(H5:H75,E5:E75)/F80</f>
        <v>1.2000000000000002</v>
      </c>
    </row>
    <row r="90" spans="1:9" x14ac:dyDescent="0.25">
      <c r="F90">
        <f>3200*1.075</f>
        <v>3440</v>
      </c>
    </row>
  </sheetData>
  <mergeCells count="18">
    <mergeCell ref="A5:A27"/>
    <mergeCell ref="A85:B85"/>
    <mergeCell ref="A28:A51"/>
    <mergeCell ref="A52:A75"/>
    <mergeCell ref="A76:B76"/>
    <mergeCell ref="A77:B77"/>
    <mergeCell ref="A78:B78"/>
    <mergeCell ref="A79:E79"/>
    <mergeCell ref="A80:E80"/>
    <mergeCell ref="A81:G81"/>
    <mergeCell ref="A82:G82"/>
    <mergeCell ref="A83:G83"/>
    <mergeCell ref="A84:G84"/>
    <mergeCell ref="A2:C2"/>
    <mergeCell ref="B3:B4"/>
    <mergeCell ref="C3:C4"/>
    <mergeCell ref="I3:I4"/>
    <mergeCell ref="J3:J4"/>
  </mergeCells>
  <dataValidations count="2">
    <dataValidation type="list" allowBlank="1" showInputMessage="1" showErrorMessage="1" sqref="J5:J78" xr:uid="{00000000-0002-0000-1F00-000000000000}">
      <formula1>Ambientes</formula1>
    </dataValidation>
    <dataValidation type="list" allowBlank="1" showInputMessage="1" showErrorMessage="1" sqref="I5:I78" xr:uid="{00000000-0002-0000-1F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26">
    <tabColor theme="6" tint="-0.249977111117893"/>
  </sheetPr>
  <dimension ref="A1:J86"/>
  <sheetViews>
    <sheetView topLeftCell="A4" workbookViewId="0">
      <selection activeCell="J34" sqref="J34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6" max="6" width="9.570312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1075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1043</v>
      </c>
      <c r="B5" s="190" t="s">
        <v>249</v>
      </c>
      <c r="C5" s="191" t="s">
        <v>250</v>
      </c>
      <c r="D5" s="192" t="s">
        <v>60</v>
      </c>
      <c r="E5" s="193">
        <v>1</v>
      </c>
      <c r="F5" s="192">
        <v>4</v>
      </c>
      <c r="G5" s="194">
        <f t="shared" ref="G5:G27" si="0">F5*$F$2</f>
        <v>152</v>
      </c>
      <c r="H5" s="195">
        <f t="shared" ref="H5:H36" si="1">(G5)*$C$85/60</f>
        <v>126.66666666666667</v>
      </c>
      <c r="I5" s="196" t="s">
        <v>14</v>
      </c>
      <c r="J5" s="197" t="s">
        <v>230</v>
      </c>
    </row>
    <row r="6" spans="1:10" x14ac:dyDescent="0.25">
      <c r="A6" s="504"/>
      <c r="B6" s="190" t="s">
        <v>12</v>
      </c>
      <c r="C6" s="191" t="s">
        <v>253</v>
      </c>
      <c r="D6" s="192" t="s">
        <v>54</v>
      </c>
      <c r="E6" s="193">
        <v>1</v>
      </c>
      <c r="F6" s="192">
        <v>0</v>
      </c>
      <c r="G6" s="194">
        <f t="shared" si="0"/>
        <v>0</v>
      </c>
      <c r="H6" s="195">
        <f t="shared" si="1"/>
        <v>0</v>
      </c>
      <c r="I6" s="196" t="s">
        <v>12</v>
      </c>
      <c r="J6" s="197" t="s">
        <v>230</v>
      </c>
    </row>
    <row r="7" spans="1:10" x14ac:dyDescent="0.25">
      <c r="A7" s="504"/>
      <c r="B7" s="190" t="s">
        <v>1031</v>
      </c>
      <c r="C7" s="191" t="s">
        <v>1032</v>
      </c>
      <c r="D7" s="192" t="s">
        <v>54</v>
      </c>
      <c r="E7" s="193">
        <v>1</v>
      </c>
      <c r="F7" s="192">
        <v>2</v>
      </c>
      <c r="G7" s="194">
        <f t="shared" si="0"/>
        <v>76</v>
      </c>
      <c r="H7" s="195">
        <f t="shared" si="1"/>
        <v>63.333333333333336</v>
      </c>
      <c r="I7" s="196" t="s">
        <v>12</v>
      </c>
      <c r="J7" s="197" t="s">
        <v>575</v>
      </c>
    </row>
    <row r="8" spans="1:10" x14ac:dyDescent="0.25">
      <c r="A8" s="504"/>
      <c r="B8" s="190" t="s">
        <v>1033</v>
      </c>
      <c r="C8" s="191" t="s">
        <v>1034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575</v>
      </c>
    </row>
    <row r="9" spans="1:10" x14ac:dyDescent="0.25">
      <c r="A9" s="504"/>
      <c r="B9" s="190" t="s">
        <v>15</v>
      </c>
      <c r="C9" s="191" t="s">
        <v>256</v>
      </c>
      <c r="D9" s="192" t="s">
        <v>54</v>
      </c>
      <c r="E9" s="193">
        <v>1</v>
      </c>
      <c r="F9" s="192">
        <v>2</v>
      </c>
      <c r="G9" s="194">
        <f t="shared" si="0"/>
        <v>76</v>
      </c>
      <c r="H9" s="195">
        <f t="shared" si="1"/>
        <v>63.333333333333336</v>
      </c>
      <c r="I9" s="196" t="s">
        <v>15</v>
      </c>
      <c r="J9" s="197" t="s">
        <v>230</v>
      </c>
    </row>
    <row r="10" spans="1:10" x14ac:dyDescent="0.25">
      <c r="A10" s="504"/>
      <c r="B10" s="190" t="s">
        <v>1035</v>
      </c>
      <c r="C10" s="191" t="s">
        <v>1036</v>
      </c>
      <c r="D10" s="192" t="s">
        <v>60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21</v>
      </c>
      <c r="J10" s="197" t="s">
        <v>230</v>
      </c>
    </row>
    <row r="11" spans="1:10" x14ac:dyDescent="0.25">
      <c r="A11" s="504"/>
      <c r="B11" s="190" t="s">
        <v>1037</v>
      </c>
      <c r="C11" s="191" t="s">
        <v>1038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0" x14ac:dyDescent="0.25">
      <c r="A12" s="504"/>
      <c r="B12" s="190" t="s">
        <v>1039</v>
      </c>
      <c r="C12" s="191" t="s">
        <v>1040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7</v>
      </c>
      <c r="J12" s="197" t="s">
        <v>230</v>
      </c>
    </row>
    <row r="13" spans="1:10" x14ac:dyDescent="0.25">
      <c r="A13" s="504"/>
      <c r="B13" s="190" t="s">
        <v>1041</v>
      </c>
      <c r="C13" s="191" t="s">
        <v>258</v>
      </c>
      <c r="D13" s="192" t="s">
        <v>60</v>
      </c>
      <c r="E13" s="193">
        <v>1</v>
      </c>
      <c r="F13" s="192">
        <v>0</v>
      </c>
      <c r="G13" s="194">
        <f t="shared" si="0"/>
        <v>0</v>
      </c>
      <c r="H13" s="195">
        <f t="shared" si="1"/>
        <v>0</v>
      </c>
      <c r="I13" s="196" t="s">
        <v>5</v>
      </c>
      <c r="J13" s="197" t="s">
        <v>230</v>
      </c>
    </row>
    <row r="14" spans="1:10" x14ac:dyDescent="0.25">
      <c r="A14" s="504"/>
      <c r="B14" s="190" t="s">
        <v>6</v>
      </c>
      <c r="C14" s="191" t="s">
        <v>259</v>
      </c>
      <c r="D14" s="192" t="s">
        <v>60</v>
      </c>
      <c r="E14" s="193">
        <v>1</v>
      </c>
      <c r="F14" s="192">
        <v>2</v>
      </c>
      <c r="G14" s="194">
        <f t="shared" si="0"/>
        <v>76</v>
      </c>
      <c r="H14" s="195">
        <f t="shared" si="1"/>
        <v>63.333333333333336</v>
      </c>
      <c r="I14" s="196" t="s">
        <v>6</v>
      </c>
      <c r="J14" s="197" t="s">
        <v>230</v>
      </c>
    </row>
    <row r="15" spans="1:10" x14ac:dyDescent="0.25">
      <c r="A15" s="504"/>
      <c r="B15" s="190" t="s">
        <v>7</v>
      </c>
      <c r="C15" s="191" t="s">
        <v>1042</v>
      </c>
      <c r="D15" s="192" t="s">
        <v>60</v>
      </c>
      <c r="E15" s="193">
        <v>1</v>
      </c>
      <c r="F15" s="192">
        <v>2</v>
      </c>
      <c r="G15" s="194">
        <f t="shared" si="0"/>
        <v>76</v>
      </c>
      <c r="H15" s="195">
        <f t="shared" si="1"/>
        <v>63.333333333333336</v>
      </c>
      <c r="I15" s="196" t="s">
        <v>7</v>
      </c>
      <c r="J15" s="197" t="s">
        <v>230</v>
      </c>
    </row>
    <row r="16" spans="1:10" x14ac:dyDescent="0.25">
      <c r="A16" s="504"/>
      <c r="B16" s="190" t="s">
        <v>9</v>
      </c>
      <c r="C16" s="191" t="s">
        <v>261</v>
      </c>
      <c r="D16" s="192" t="s">
        <v>60</v>
      </c>
      <c r="E16" s="193">
        <v>1</v>
      </c>
      <c r="F16" s="192">
        <v>0</v>
      </c>
      <c r="G16" s="194">
        <f t="shared" si="0"/>
        <v>0</v>
      </c>
      <c r="H16" s="195">
        <f t="shared" si="1"/>
        <v>0</v>
      </c>
      <c r="I16" s="196" t="s">
        <v>9</v>
      </c>
      <c r="J16" s="197" t="s">
        <v>230</v>
      </c>
    </row>
    <row r="17" spans="1:10" x14ac:dyDescent="0.25">
      <c r="A17" s="504"/>
      <c r="B17" s="190" t="s">
        <v>10</v>
      </c>
      <c r="C17" s="191" t="s">
        <v>262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10</v>
      </c>
      <c r="J17" s="197" t="s">
        <v>230</v>
      </c>
    </row>
    <row r="18" spans="1:10" x14ac:dyDescent="0.25">
      <c r="A18" s="504"/>
      <c r="B18" s="190" t="s">
        <v>8</v>
      </c>
      <c r="C18" s="191" t="s">
        <v>263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8</v>
      </c>
      <c r="J18" s="197" t="s">
        <v>230</v>
      </c>
    </row>
    <row r="19" spans="1:10" x14ac:dyDescent="0.25">
      <c r="A19" s="504"/>
      <c r="B19" s="190" t="s">
        <v>11</v>
      </c>
      <c r="C19" s="191" t="s">
        <v>264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11</v>
      </c>
      <c r="J19" s="197" t="s">
        <v>230</v>
      </c>
    </row>
    <row r="20" spans="1:10" x14ac:dyDescent="0.25">
      <c r="A20" s="504"/>
      <c r="B20" s="199" t="s">
        <v>1044</v>
      </c>
      <c r="C20" s="200" t="s">
        <v>1045</v>
      </c>
      <c r="D20" s="201" t="s">
        <v>60</v>
      </c>
      <c r="E20" s="202">
        <v>1</v>
      </c>
      <c r="F20" s="201">
        <v>0</v>
      </c>
      <c r="G20" s="203">
        <f t="shared" si="0"/>
        <v>0</v>
      </c>
      <c r="H20" s="204">
        <f t="shared" si="1"/>
        <v>0</v>
      </c>
      <c r="I20" s="205" t="s">
        <v>15</v>
      </c>
      <c r="J20" s="206" t="s">
        <v>230</v>
      </c>
    </row>
    <row r="21" spans="1:10" x14ac:dyDescent="0.25">
      <c r="A21" s="504"/>
      <c r="B21" s="199" t="s">
        <v>1046</v>
      </c>
      <c r="C21" s="200" t="s">
        <v>1047</v>
      </c>
      <c r="D21" s="201" t="s">
        <v>60</v>
      </c>
      <c r="E21" s="202">
        <v>1</v>
      </c>
      <c r="F21" s="201">
        <v>4</v>
      </c>
      <c r="G21" s="203">
        <f t="shared" si="0"/>
        <v>152</v>
      </c>
      <c r="H21" s="204">
        <f t="shared" si="1"/>
        <v>126.66666666666667</v>
      </c>
      <c r="I21" s="205" t="s">
        <v>9</v>
      </c>
      <c r="J21" s="206" t="s">
        <v>230</v>
      </c>
    </row>
    <row r="22" spans="1:10" x14ac:dyDescent="0.25">
      <c r="A22" s="504"/>
      <c r="B22" s="199" t="s">
        <v>1048</v>
      </c>
      <c r="C22" s="200" t="s">
        <v>1049</v>
      </c>
      <c r="D22" s="201" t="s">
        <v>60</v>
      </c>
      <c r="E22" s="202">
        <v>1</v>
      </c>
      <c r="F22" s="201">
        <v>2</v>
      </c>
      <c r="G22" s="203">
        <f t="shared" si="0"/>
        <v>76</v>
      </c>
      <c r="H22" s="204">
        <f t="shared" si="1"/>
        <v>63.333333333333336</v>
      </c>
      <c r="I22" s="205" t="s">
        <v>19</v>
      </c>
      <c r="J22" s="206" t="s">
        <v>230</v>
      </c>
    </row>
    <row r="23" spans="1:10" x14ac:dyDescent="0.25">
      <c r="A23" s="504"/>
      <c r="B23" s="199" t="s">
        <v>1050</v>
      </c>
      <c r="C23" s="200" t="s">
        <v>1051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13</v>
      </c>
      <c r="J23" s="206" t="s">
        <v>230</v>
      </c>
    </row>
    <row r="24" spans="1:10" x14ac:dyDescent="0.25">
      <c r="A24" s="504"/>
      <c r="B24" s="40" t="s">
        <v>1052</v>
      </c>
      <c r="C24" s="41" t="s">
        <v>1053</v>
      </c>
      <c r="D24" s="42" t="s">
        <v>60</v>
      </c>
      <c r="E24" s="43">
        <v>1</v>
      </c>
      <c r="F24" s="42">
        <v>2</v>
      </c>
      <c r="G24" s="44">
        <f t="shared" si="0"/>
        <v>76</v>
      </c>
      <c r="H24" s="45">
        <f t="shared" si="1"/>
        <v>63.333333333333336</v>
      </c>
      <c r="I24" s="47" t="s">
        <v>19</v>
      </c>
      <c r="J24" s="46" t="s">
        <v>230</v>
      </c>
    </row>
    <row r="25" spans="1:10" x14ac:dyDescent="0.25">
      <c r="A25" s="504"/>
      <c r="B25" s="40" t="s">
        <v>1054</v>
      </c>
      <c r="C25" s="48" t="s">
        <v>269</v>
      </c>
      <c r="D25" s="42" t="s">
        <v>54</v>
      </c>
      <c r="E25" s="42">
        <v>2</v>
      </c>
      <c r="F25" s="42">
        <v>2</v>
      </c>
      <c r="G25" s="44">
        <f t="shared" si="0"/>
        <v>76</v>
      </c>
      <c r="H25" s="45">
        <f t="shared" si="1"/>
        <v>63.333333333333336</v>
      </c>
      <c r="I25" s="47" t="s">
        <v>19</v>
      </c>
      <c r="J25" s="46" t="s">
        <v>232</v>
      </c>
    </row>
    <row r="26" spans="1:10" x14ac:dyDescent="0.25">
      <c r="A26" s="504"/>
      <c r="B26" s="40" t="s">
        <v>1055</v>
      </c>
      <c r="C26" s="48" t="s">
        <v>1056</v>
      </c>
      <c r="D26" s="42" t="s">
        <v>54</v>
      </c>
      <c r="E26" s="42">
        <v>2</v>
      </c>
      <c r="F26" s="42">
        <v>4</v>
      </c>
      <c r="G26" s="44">
        <f t="shared" si="0"/>
        <v>152</v>
      </c>
      <c r="H26" s="45">
        <f t="shared" si="1"/>
        <v>126.66666666666667</v>
      </c>
      <c r="I26" s="47" t="s">
        <v>19</v>
      </c>
      <c r="J26" s="46" t="s">
        <v>231</v>
      </c>
    </row>
    <row r="27" spans="1:10" x14ac:dyDescent="0.25">
      <c r="A27" s="504"/>
      <c r="B27" s="40" t="s">
        <v>499</v>
      </c>
      <c r="C27" s="48" t="s">
        <v>1057</v>
      </c>
      <c r="D27" s="42" t="s">
        <v>54</v>
      </c>
      <c r="E27" s="42">
        <v>1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19</v>
      </c>
      <c r="J27" s="46" t="s">
        <v>232</v>
      </c>
    </row>
    <row r="28" spans="1:10" ht="15" customHeight="1" x14ac:dyDescent="0.25">
      <c r="A28" s="504" t="s">
        <v>274</v>
      </c>
      <c r="B28" s="190" t="s">
        <v>249</v>
      </c>
      <c r="C28" s="198" t="s">
        <v>250</v>
      </c>
      <c r="D28" s="192" t="s">
        <v>60</v>
      </c>
      <c r="E28" s="192">
        <v>1</v>
      </c>
      <c r="F28" s="192">
        <v>4</v>
      </c>
      <c r="G28" s="194">
        <f t="shared" ref="G28:G46" si="2">F28*$F$2</f>
        <v>152</v>
      </c>
      <c r="H28" s="195">
        <f t="shared" si="1"/>
        <v>126.66666666666667</v>
      </c>
      <c r="I28" s="196" t="s">
        <v>14</v>
      </c>
      <c r="J28" s="197" t="s">
        <v>230</v>
      </c>
    </row>
    <row r="29" spans="1:10" x14ac:dyDescent="0.25">
      <c r="A29" s="504"/>
      <c r="B29" s="190" t="s">
        <v>12</v>
      </c>
      <c r="C29" s="198" t="s">
        <v>253</v>
      </c>
      <c r="D29" s="192" t="s">
        <v>54</v>
      </c>
      <c r="E29" s="192">
        <v>1</v>
      </c>
      <c r="F29" s="192">
        <v>2</v>
      </c>
      <c r="G29" s="194">
        <f t="shared" si="2"/>
        <v>76</v>
      </c>
      <c r="H29" s="195">
        <f t="shared" si="1"/>
        <v>63.333333333333336</v>
      </c>
      <c r="I29" s="196" t="s">
        <v>12</v>
      </c>
      <c r="J29" s="197" t="s">
        <v>230</v>
      </c>
    </row>
    <row r="30" spans="1:10" x14ac:dyDescent="0.25">
      <c r="A30" s="504"/>
      <c r="B30" s="190" t="s">
        <v>1031</v>
      </c>
      <c r="C30" s="198" t="s">
        <v>1032</v>
      </c>
      <c r="D30" s="192" t="s">
        <v>54</v>
      </c>
      <c r="E30" s="192">
        <v>1</v>
      </c>
      <c r="F30" s="192">
        <v>0</v>
      </c>
      <c r="G30" s="194">
        <f t="shared" si="2"/>
        <v>0</v>
      </c>
      <c r="H30" s="195">
        <f t="shared" si="1"/>
        <v>0</v>
      </c>
      <c r="I30" s="196" t="s">
        <v>13</v>
      </c>
      <c r="J30" s="197" t="s">
        <v>575</v>
      </c>
    </row>
    <row r="31" spans="1:10" x14ac:dyDescent="0.25">
      <c r="A31" s="504"/>
      <c r="B31" s="190" t="s">
        <v>1033</v>
      </c>
      <c r="C31" s="198" t="s">
        <v>1034</v>
      </c>
      <c r="D31" s="192" t="s">
        <v>54</v>
      </c>
      <c r="E31" s="192">
        <v>1</v>
      </c>
      <c r="F31" s="192">
        <v>0</v>
      </c>
      <c r="G31" s="194">
        <f t="shared" si="2"/>
        <v>0</v>
      </c>
      <c r="H31" s="195">
        <f t="shared" si="1"/>
        <v>0</v>
      </c>
      <c r="I31" s="196" t="s">
        <v>13</v>
      </c>
      <c r="J31" s="197" t="s">
        <v>575</v>
      </c>
    </row>
    <row r="32" spans="1:10" x14ac:dyDescent="0.25">
      <c r="A32" s="504"/>
      <c r="B32" s="190" t="s">
        <v>15</v>
      </c>
      <c r="C32" s="198" t="s">
        <v>256</v>
      </c>
      <c r="D32" s="192" t="s">
        <v>54</v>
      </c>
      <c r="E32" s="192">
        <v>1</v>
      </c>
      <c r="F32" s="192">
        <v>0</v>
      </c>
      <c r="G32" s="194">
        <f t="shared" si="2"/>
        <v>0</v>
      </c>
      <c r="H32" s="195">
        <f t="shared" si="1"/>
        <v>0</v>
      </c>
      <c r="I32" s="196" t="s">
        <v>15</v>
      </c>
      <c r="J32" s="197" t="s">
        <v>230</v>
      </c>
    </row>
    <row r="33" spans="1:10" x14ac:dyDescent="0.25">
      <c r="A33" s="504"/>
      <c r="B33" s="190" t="s">
        <v>1035</v>
      </c>
      <c r="C33" s="198" t="s">
        <v>1036</v>
      </c>
      <c r="D33" s="192" t="s">
        <v>60</v>
      </c>
      <c r="E33" s="192">
        <v>1</v>
      </c>
      <c r="F33" s="192">
        <v>2</v>
      </c>
      <c r="G33" s="194">
        <f t="shared" si="2"/>
        <v>76</v>
      </c>
      <c r="H33" s="195">
        <f t="shared" si="1"/>
        <v>63.333333333333336</v>
      </c>
      <c r="I33" s="196" t="s">
        <v>21</v>
      </c>
      <c r="J33" s="197" t="s">
        <v>230</v>
      </c>
    </row>
    <row r="34" spans="1:10" x14ac:dyDescent="0.25">
      <c r="A34" s="504"/>
      <c r="B34" s="190" t="s">
        <v>1037</v>
      </c>
      <c r="C34" s="198" t="s">
        <v>1038</v>
      </c>
      <c r="D34" s="192" t="s">
        <v>60</v>
      </c>
      <c r="E34" s="192">
        <v>1</v>
      </c>
      <c r="F34" s="192">
        <v>2</v>
      </c>
      <c r="G34" s="194">
        <f t="shared" si="2"/>
        <v>76</v>
      </c>
      <c r="H34" s="195">
        <f t="shared" si="1"/>
        <v>63.333333333333336</v>
      </c>
      <c r="I34" s="196" t="s">
        <v>21</v>
      </c>
      <c r="J34" s="197" t="s">
        <v>230</v>
      </c>
    </row>
    <row r="35" spans="1:10" x14ac:dyDescent="0.25">
      <c r="A35" s="504"/>
      <c r="B35" s="190" t="s">
        <v>1039</v>
      </c>
      <c r="C35" s="198" t="s">
        <v>1040</v>
      </c>
      <c r="D35" s="192" t="s">
        <v>60</v>
      </c>
      <c r="E35" s="192">
        <v>1</v>
      </c>
      <c r="F35" s="192">
        <v>0</v>
      </c>
      <c r="G35" s="194">
        <f t="shared" si="2"/>
        <v>0</v>
      </c>
      <c r="H35" s="195">
        <f t="shared" si="1"/>
        <v>0</v>
      </c>
      <c r="I35" s="196" t="s">
        <v>7</v>
      </c>
      <c r="J35" s="197" t="s">
        <v>230</v>
      </c>
    </row>
    <row r="36" spans="1:10" x14ac:dyDescent="0.25">
      <c r="A36" s="504"/>
      <c r="B36" s="190" t="s">
        <v>1041</v>
      </c>
      <c r="C36" s="198" t="s">
        <v>258</v>
      </c>
      <c r="D36" s="192" t="s">
        <v>60</v>
      </c>
      <c r="E36" s="192">
        <v>1</v>
      </c>
      <c r="F36" s="192">
        <v>2</v>
      </c>
      <c r="G36" s="194">
        <f t="shared" si="2"/>
        <v>76</v>
      </c>
      <c r="H36" s="195">
        <f t="shared" si="1"/>
        <v>63.333333333333336</v>
      </c>
      <c r="I36" s="196" t="s">
        <v>5</v>
      </c>
      <c r="J36" s="197" t="s">
        <v>230</v>
      </c>
    </row>
    <row r="37" spans="1:10" x14ac:dyDescent="0.25">
      <c r="A37" s="504"/>
      <c r="B37" s="190" t="s">
        <v>6</v>
      </c>
      <c r="C37" s="198" t="s">
        <v>259</v>
      </c>
      <c r="D37" s="192" t="s">
        <v>60</v>
      </c>
      <c r="E37" s="192">
        <v>1</v>
      </c>
      <c r="F37" s="192">
        <v>2</v>
      </c>
      <c r="G37" s="194">
        <f t="shared" si="2"/>
        <v>76</v>
      </c>
      <c r="H37" s="195">
        <f t="shared" ref="H37:H68" si="3">(G37)*$C$85/60</f>
        <v>63.333333333333336</v>
      </c>
      <c r="I37" s="196" t="s">
        <v>6</v>
      </c>
      <c r="J37" s="197" t="s">
        <v>230</v>
      </c>
    </row>
    <row r="38" spans="1:10" x14ac:dyDescent="0.25">
      <c r="A38" s="504"/>
      <c r="B38" s="190" t="s">
        <v>7</v>
      </c>
      <c r="C38" s="198" t="s">
        <v>1042</v>
      </c>
      <c r="D38" s="192" t="s">
        <v>60</v>
      </c>
      <c r="E38" s="192">
        <v>1</v>
      </c>
      <c r="F38" s="192">
        <v>2</v>
      </c>
      <c r="G38" s="194">
        <f t="shared" si="2"/>
        <v>76</v>
      </c>
      <c r="H38" s="195">
        <f t="shared" si="3"/>
        <v>63.333333333333336</v>
      </c>
      <c r="I38" s="196" t="s">
        <v>7</v>
      </c>
      <c r="J38" s="197" t="s">
        <v>230</v>
      </c>
    </row>
    <row r="39" spans="1:10" x14ac:dyDescent="0.25">
      <c r="A39" s="504"/>
      <c r="B39" s="190" t="s">
        <v>9</v>
      </c>
      <c r="C39" s="198" t="s">
        <v>261</v>
      </c>
      <c r="D39" s="192" t="s">
        <v>60</v>
      </c>
      <c r="E39" s="192">
        <v>1</v>
      </c>
      <c r="F39" s="192">
        <v>2</v>
      </c>
      <c r="G39" s="194">
        <f t="shared" si="2"/>
        <v>76</v>
      </c>
      <c r="H39" s="195">
        <f t="shared" si="3"/>
        <v>63.333333333333336</v>
      </c>
      <c r="I39" s="196" t="s">
        <v>9</v>
      </c>
      <c r="J39" s="197" t="s">
        <v>230</v>
      </c>
    </row>
    <row r="40" spans="1:10" x14ac:dyDescent="0.25">
      <c r="A40" s="504"/>
      <c r="B40" s="190" t="s">
        <v>10</v>
      </c>
      <c r="C40" s="198" t="s">
        <v>262</v>
      </c>
      <c r="D40" s="192" t="s">
        <v>60</v>
      </c>
      <c r="E40" s="192">
        <v>1</v>
      </c>
      <c r="F40" s="192">
        <v>2</v>
      </c>
      <c r="G40" s="194">
        <f t="shared" si="2"/>
        <v>76</v>
      </c>
      <c r="H40" s="195">
        <f t="shared" si="3"/>
        <v>63.333333333333336</v>
      </c>
      <c r="I40" s="196" t="s">
        <v>10</v>
      </c>
      <c r="J40" s="197" t="s">
        <v>230</v>
      </c>
    </row>
    <row r="41" spans="1:10" x14ac:dyDescent="0.25">
      <c r="A41" s="504"/>
      <c r="B41" s="190" t="s">
        <v>8</v>
      </c>
      <c r="C41" s="198" t="s">
        <v>263</v>
      </c>
      <c r="D41" s="192" t="s">
        <v>60</v>
      </c>
      <c r="E41" s="192">
        <v>1</v>
      </c>
      <c r="F41" s="192">
        <v>2</v>
      </c>
      <c r="G41" s="194">
        <f t="shared" si="2"/>
        <v>76</v>
      </c>
      <c r="H41" s="195">
        <f t="shared" si="3"/>
        <v>63.333333333333336</v>
      </c>
      <c r="I41" s="196" t="s">
        <v>8</v>
      </c>
      <c r="J41" s="197" t="s">
        <v>230</v>
      </c>
    </row>
    <row r="42" spans="1:10" x14ac:dyDescent="0.25">
      <c r="A42" s="504"/>
      <c r="B42" s="190" t="s">
        <v>11</v>
      </c>
      <c r="C42" s="198" t="s">
        <v>264</v>
      </c>
      <c r="D42" s="192" t="s">
        <v>60</v>
      </c>
      <c r="E42" s="192">
        <v>1</v>
      </c>
      <c r="F42" s="192">
        <v>2</v>
      </c>
      <c r="G42" s="194">
        <f t="shared" si="2"/>
        <v>76</v>
      </c>
      <c r="H42" s="195">
        <f t="shared" si="3"/>
        <v>63.333333333333336</v>
      </c>
      <c r="I42" s="196" t="s">
        <v>11</v>
      </c>
      <c r="J42" s="197" t="s">
        <v>230</v>
      </c>
    </row>
    <row r="43" spans="1:10" x14ac:dyDescent="0.25">
      <c r="A43" s="504"/>
      <c r="B43" s="199" t="s">
        <v>1044</v>
      </c>
      <c r="C43" s="207" t="s">
        <v>1045</v>
      </c>
      <c r="D43" s="201" t="s">
        <v>60</v>
      </c>
      <c r="E43" s="201">
        <v>1</v>
      </c>
      <c r="F43" s="201">
        <v>0</v>
      </c>
      <c r="G43" s="203">
        <f t="shared" si="2"/>
        <v>0</v>
      </c>
      <c r="H43" s="204">
        <f t="shared" si="3"/>
        <v>0</v>
      </c>
      <c r="I43" s="205" t="s">
        <v>15</v>
      </c>
      <c r="J43" s="206" t="s">
        <v>230</v>
      </c>
    </row>
    <row r="44" spans="1:10" x14ac:dyDescent="0.25">
      <c r="A44" s="504"/>
      <c r="B44" s="199" t="s">
        <v>1046</v>
      </c>
      <c r="C44" s="207" t="s">
        <v>1047</v>
      </c>
      <c r="D44" s="201" t="s">
        <v>60</v>
      </c>
      <c r="E44" s="201">
        <v>1</v>
      </c>
      <c r="F44" s="201">
        <v>0</v>
      </c>
      <c r="G44" s="203">
        <f t="shared" si="2"/>
        <v>0</v>
      </c>
      <c r="H44" s="204">
        <f t="shared" si="3"/>
        <v>0</v>
      </c>
      <c r="I44" s="205" t="s">
        <v>9</v>
      </c>
      <c r="J44" s="206" t="s">
        <v>230</v>
      </c>
    </row>
    <row r="45" spans="1:10" x14ac:dyDescent="0.25">
      <c r="A45" s="504"/>
      <c r="B45" s="199" t="s">
        <v>1048</v>
      </c>
      <c r="C45" s="207" t="s">
        <v>1049</v>
      </c>
      <c r="D45" s="201" t="s">
        <v>60</v>
      </c>
      <c r="E45" s="201">
        <v>1</v>
      </c>
      <c r="F45" s="201">
        <v>0</v>
      </c>
      <c r="G45" s="203">
        <f t="shared" si="2"/>
        <v>0</v>
      </c>
      <c r="H45" s="204">
        <f t="shared" si="3"/>
        <v>0</v>
      </c>
      <c r="I45" s="205" t="s">
        <v>19</v>
      </c>
      <c r="J45" s="206" t="s">
        <v>230</v>
      </c>
    </row>
    <row r="46" spans="1:10" x14ac:dyDescent="0.25">
      <c r="A46" s="504"/>
      <c r="B46" s="199" t="s">
        <v>1050</v>
      </c>
      <c r="C46" s="207" t="s">
        <v>1051</v>
      </c>
      <c r="D46" s="201" t="s">
        <v>60</v>
      </c>
      <c r="E46" s="201">
        <v>1</v>
      </c>
      <c r="F46" s="201">
        <v>2</v>
      </c>
      <c r="G46" s="203">
        <f t="shared" si="2"/>
        <v>76</v>
      </c>
      <c r="H46" s="204">
        <f t="shared" si="3"/>
        <v>63.333333333333336</v>
      </c>
      <c r="I46" s="205" t="s">
        <v>13</v>
      </c>
      <c r="J46" s="206" t="s">
        <v>230</v>
      </c>
    </row>
    <row r="47" spans="1:10" x14ac:dyDescent="0.25">
      <c r="A47" s="504"/>
      <c r="B47" s="40" t="s">
        <v>1058</v>
      </c>
      <c r="C47" s="41" t="s">
        <v>276</v>
      </c>
      <c r="D47" s="42" t="s">
        <v>54</v>
      </c>
      <c r="E47" s="43">
        <v>2</v>
      </c>
      <c r="F47" s="42">
        <v>4</v>
      </c>
      <c r="G47" s="44">
        <f>F47*$F$2</f>
        <v>152</v>
      </c>
      <c r="H47" s="45">
        <f t="shared" si="3"/>
        <v>126.66666666666667</v>
      </c>
      <c r="I47" s="47" t="s">
        <v>19</v>
      </c>
      <c r="J47" s="46" t="s">
        <v>230</v>
      </c>
    </row>
    <row r="48" spans="1:10" x14ac:dyDescent="0.25">
      <c r="A48" s="504"/>
      <c r="B48" s="40" t="s">
        <v>1059</v>
      </c>
      <c r="C48" s="48" t="s">
        <v>1060</v>
      </c>
      <c r="D48" s="42" t="s">
        <v>60</v>
      </c>
      <c r="E48" s="42">
        <v>1</v>
      </c>
      <c r="F48" s="42">
        <v>2</v>
      </c>
      <c r="G48" s="44">
        <f t="shared" ref="G48:G70" si="4">F48*$F$2</f>
        <v>76</v>
      </c>
      <c r="H48" s="45">
        <f t="shared" si="3"/>
        <v>63.333333333333336</v>
      </c>
      <c r="I48" s="47" t="s">
        <v>19</v>
      </c>
      <c r="J48" s="46" t="s">
        <v>230</v>
      </c>
    </row>
    <row r="49" spans="1:10" x14ac:dyDescent="0.25">
      <c r="A49" s="504"/>
      <c r="B49" s="40" t="s">
        <v>759</v>
      </c>
      <c r="C49" s="48" t="s">
        <v>279</v>
      </c>
      <c r="D49" s="42" t="s">
        <v>54</v>
      </c>
      <c r="E49" s="42">
        <v>2</v>
      </c>
      <c r="F49" s="42">
        <v>4</v>
      </c>
      <c r="G49" s="44">
        <f t="shared" si="4"/>
        <v>152</v>
      </c>
      <c r="H49" s="45">
        <f t="shared" si="3"/>
        <v>126.66666666666667</v>
      </c>
      <c r="I49" s="47" t="s">
        <v>19</v>
      </c>
      <c r="J49" s="46" t="s">
        <v>232</v>
      </c>
    </row>
    <row r="50" spans="1:10" x14ac:dyDescent="0.25">
      <c r="A50" s="504"/>
      <c r="B50" s="40" t="s">
        <v>1061</v>
      </c>
      <c r="C50" s="48" t="s">
        <v>1062</v>
      </c>
      <c r="D50" s="42" t="s">
        <v>60</v>
      </c>
      <c r="E50" s="42">
        <v>1</v>
      </c>
      <c r="F50" s="42">
        <v>2</v>
      </c>
      <c r="G50" s="44">
        <f t="shared" si="4"/>
        <v>76</v>
      </c>
      <c r="H50" s="45">
        <f t="shared" si="3"/>
        <v>63.333333333333336</v>
      </c>
      <c r="I50" s="47" t="s">
        <v>315</v>
      </c>
      <c r="J50" s="46" t="s">
        <v>230</v>
      </c>
    </row>
    <row r="51" spans="1:10" x14ac:dyDescent="0.25">
      <c r="A51" s="504"/>
      <c r="B51" s="40" t="s">
        <v>1063</v>
      </c>
      <c r="C51" s="48" t="s">
        <v>283</v>
      </c>
      <c r="D51" s="42" t="s">
        <v>54</v>
      </c>
      <c r="E51" s="42">
        <v>2</v>
      </c>
      <c r="F51" s="42">
        <v>2</v>
      </c>
      <c r="G51" s="44">
        <f t="shared" si="4"/>
        <v>76</v>
      </c>
      <c r="H51" s="45">
        <f t="shared" si="3"/>
        <v>63.333333333333336</v>
      </c>
      <c r="I51" s="47" t="s">
        <v>19</v>
      </c>
      <c r="J51" s="46" t="s">
        <v>232</v>
      </c>
    </row>
    <row r="52" spans="1:10" ht="15" customHeight="1" x14ac:dyDescent="0.25">
      <c r="A52" s="504" t="s">
        <v>1064</v>
      </c>
      <c r="B52" s="190" t="s">
        <v>249</v>
      </c>
      <c r="C52" s="191" t="s">
        <v>250</v>
      </c>
      <c r="D52" s="192" t="s">
        <v>60</v>
      </c>
      <c r="E52" s="193">
        <v>1</v>
      </c>
      <c r="F52" s="192">
        <v>4</v>
      </c>
      <c r="G52" s="194">
        <f t="shared" si="4"/>
        <v>152</v>
      </c>
      <c r="H52" s="195">
        <f t="shared" si="3"/>
        <v>126.66666666666667</v>
      </c>
      <c r="I52" s="196" t="s">
        <v>14</v>
      </c>
      <c r="J52" s="197" t="s">
        <v>230</v>
      </c>
    </row>
    <row r="53" spans="1:10" x14ac:dyDescent="0.25">
      <c r="A53" s="504"/>
      <c r="B53" s="190" t="s">
        <v>12</v>
      </c>
      <c r="C53" s="191" t="s">
        <v>253</v>
      </c>
      <c r="D53" s="192" t="s">
        <v>54</v>
      </c>
      <c r="E53" s="193">
        <v>1</v>
      </c>
      <c r="F53" s="192">
        <v>2</v>
      </c>
      <c r="G53" s="194">
        <f t="shared" si="4"/>
        <v>76</v>
      </c>
      <c r="H53" s="195">
        <f t="shared" si="3"/>
        <v>63.333333333333336</v>
      </c>
      <c r="I53" s="196" t="s">
        <v>12</v>
      </c>
      <c r="J53" s="197" t="s">
        <v>230</v>
      </c>
    </row>
    <row r="54" spans="1:10" x14ac:dyDescent="0.25">
      <c r="A54" s="504"/>
      <c r="B54" s="190" t="s">
        <v>1031</v>
      </c>
      <c r="C54" s="191" t="s">
        <v>1032</v>
      </c>
      <c r="D54" s="192" t="s">
        <v>54</v>
      </c>
      <c r="E54" s="193">
        <v>1</v>
      </c>
      <c r="F54" s="192">
        <v>2</v>
      </c>
      <c r="G54" s="194">
        <f t="shared" si="4"/>
        <v>76</v>
      </c>
      <c r="H54" s="195">
        <f t="shared" si="3"/>
        <v>63.333333333333336</v>
      </c>
      <c r="I54" s="196" t="s">
        <v>13</v>
      </c>
      <c r="J54" s="197" t="s">
        <v>575</v>
      </c>
    </row>
    <row r="55" spans="1:10" x14ac:dyDescent="0.25">
      <c r="A55" s="504"/>
      <c r="B55" s="190" t="s">
        <v>1033</v>
      </c>
      <c r="C55" s="191" t="s">
        <v>1034</v>
      </c>
      <c r="D55" s="192" t="s">
        <v>54</v>
      </c>
      <c r="E55" s="193">
        <v>1</v>
      </c>
      <c r="F55" s="192">
        <v>0</v>
      </c>
      <c r="G55" s="194">
        <f t="shared" si="4"/>
        <v>0</v>
      </c>
      <c r="H55" s="195">
        <f t="shared" si="3"/>
        <v>0</v>
      </c>
      <c r="I55" s="196" t="s">
        <v>13</v>
      </c>
      <c r="J55" s="197" t="s">
        <v>575</v>
      </c>
    </row>
    <row r="56" spans="1:10" x14ac:dyDescent="0.25">
      <c r="A56" s="504"/>
      <c r="B56" s="190" t="s">
        <v>15</v>
      </c>
      <c r="C56" s="191" t="s">
        <v>256</v>
      </c>
      <c r="D56" s="192" t="s">
        <v>54</v>
      </c>
      <c r="E56" s="193">
        <v>1</v>
      </c>
      <c r="F56" s="192">
        <v>0</v>
      </c>
      <c r="G56" s="194">
        <f t="shared" si="4"/>
        <v>0</v>
      </c>
      <c r="H56" s="195">
        <f t="shared" si="3"/>
        <v>0</v>
      </c>
      <c r="I56" s="196" t="s">
        <v>15</v>
      </c>
      <c r="J56" s="197" t="s">
        <v>230</v>
      </c>
    </row>
    <row r="57" spans="1:10" x14ac:dyDescent="0.25">
      <c r="A57" s="504"/>
      <c r="B57" s="190" t="s">
        <v>1035</v>
      </c>
      <c r="C57" s="191" t="s">
        <v>1036</v>
      </c>
      <c r="D57" s="192" t="s">
        <v>60</v>
      </c>
      <c r="E57" s="193">
        <v>1</v>
      </c>
      <c r="F57" s="192">
        <v>2</v>
      </c>
      <c r="G57" s="194">
        <f t="shared" si="4"/>
        <v>76</v>
      </c>
      <c r="H57" s="195">
        <f t="shared" si="3"/>
        <v>63.333333333333336</v>
      </c>
      <c r="I57" s="196" t="s">
        <v>21</v>
      </c>
      <c r="J57" s="197" t="s">
        <v>230</v>
      </c>
    </row>
    <row r="58" spans="1:10" x14ac:dyDescent="0.25">
      <c r="A58" s="504"/>
      <c r="B58" s="190" t="s">
        <v>1037</v>
      </c>
      <c r="C58" s="191" t="s">
        <v>1038</v>
      </c>
      <c r="D58" s="192" t="s">
        <v>60</v>
      </c>
      <c r="E58" s="193">
        <v>1</v>
      </c>
      <c r="F58" s="192">
        <v>2</v>
      </c>
      <c r="G58" s="194">
        <f t="shared" si="4"/>
        <v>76</v>
      </c>
      <c r="H58" s="195">
        <f t="shared" si="3"/>
        <v>63.333333333333336</v>
      </c>
      <c r="I58" s="196" t="s">
        <v>21</v>
      </c>
      <c r="J58" s="197" t="s">
        <v>230</v>
      </c>
    </row>
    <row r="59" spans="1:10" x14ac:dyDescent="0.25">
      <c r="A59" s="504"/>
      <c r="B59" s="190" t="s">
        <v>1039</v>
      </c>
      <c r="C59" s="191" t="s">
        <v>1040</v>
      </c>
      <c r="D59" s="192" t="s">
        <v>60</v>
      </c>
      <c r="E59" s="193">
        <v>1</v>
      </c>
      <c r="F59" s="192">
        <v>0</v>
      </c>
      <c r="G59" s="194">
        <f t="shared" si="4"/>
        <v>0</v>
      </c>
      <c r="H59" s="195">
        <f t="shared" si="3"/>
        <v>0</v>
      </c>
      <c r="I59" s="196" t="s">
        <v>7</v>
      </c>
      <c r="J59" s="197" t="s">
        <v>230</v>
      </c>
    </row>
    <row r="60" spans="1:10" x14ac:dyDescent="0.25">
      <c r="A60" s="504"/>
      <c r="B60" s="190" t="s">
        <v>1041</v>
      </c>
      <c r="C60" s="191" t="s">
        <v>258</v>
      </c>
      <c r="D60" s="192" t="s">
        <v>60</v>
      </c>
      <c r="E60" s="193">
        <v>1</v>
      </c>
      <c r="F60" s="192">
        <v>2</v>
      </c>
      <c r="G60" s="194">
        <f t="shared" si="4"/>
        <v>76</v>
      </c>
      <c r="H60" s="195">
        <f t="shared" si="3"/>
        <v>63.333333333333336</v>
      </c>
      <c r="I60" s="196" t="s">
        <v>5</v>
      </c>
      <c r="J60" s="197" t="s">
        <v>230</v>
      </c>
    </row>
    <row r="61" spans="1:10" x14ac:dyDescent="0.25">
      <c r="A61" s="504"/>
      <c r="B61" s="190" t="s">
        <v>6</v>
      </c>
      <c r="C61" s="191" t="s">
        <v>259</v>
      </c>
      <c r="D61" s="192" t="s">
        <v>60</v>
      </c>
      <c r="E61" s="193">
        <v>1</v>
      </c>
      <c r="F61" s="192">
        <v>2</v>
      </c>
      <c r="G61" s="194">
        <f t="shared" si="4"/>
        <v>76</v>
      </c>
      <c r="H61" s="195">
        <f t="shared" si="3"/>
        <v>63.333333333333336</v>
      </c>
      <c r="I61" s="196" t="s">
        <v>6</v>
      </c>
      <c r="J61" s="197" t="s">
        <v>230</v>
      </c>
    </row>
    <row r="62" spans="1:10" x14ac:dyDescent="0.25">
      <c r="A62" s="504"/>
      <c r="B62" s="190" t="s">
        <v>7</v>
      </c>
      <c r="C62" s="191" t="s">
        <v>1042</v>
      </c>
      <c r="D62" s="192" t="s">
        <v>60</v>
      </c>
      <c r="E62" s="193">
        <v>1</v>
      </c>
      <c r="F62" s="192">
        <v>2</v>
      </c>
      <c r="G62" s="194">
        <f t="shared" si="4"/>
        <v>76</v>
      </c>
      <c r="H62" s="195">
        <f t="shared" si="3"/>
        <v>63.333333333333336</v>
      </c>
      <c r="I62" s="196" t="s">
        <v>7</v>
      </c>
      <c r="J62" s="197" t="s">
        <v>230</v>
      </c>
    </row>
    <row r="63" spans="1:10" x14ac:dyDescent="0.25">
      <c r="A63" s="504"/>
      <c r="B63" s="190" t="s">
        <v>9</v>
      </c>
      <c r="C63" s="191" t="s">
        <v>261</v>
      </c>
      <c r="D63" s="192" t="s">
        <v>60</v>
      </c>
      <c r="E63" s="193">
        <v>1</v>
      </c>
      <c r="F63" s="192">
        <v>2</v>
      </c>
      <c r="G63" s="194">
        <f t="shared" si="4"/>
        <v>76</v>
      </c>
      <c r="H63" s="195">
        <f t="shared" si="3"/>
        <v>63.333333333333336</v>
      </c>
      <c r="I63" s="196" t="s">
        <v>9</v>
      </c>
      <c r="J63" s="197" t="s">
        <v>230</v>
      </c>
    </row>
    <row r="64" spans="1:10" x14ac:dyDescent="0.25">
      <c r="A64" s="504"/>
      <c r="B64" s="190" t="s">
        <v>10</v>
      </c>
      <c r="C64" s="191" t="s">
        <v>262</v>
      </c>
      <c r="D64" s="192" t="s">
        <v>60</v>
      </c>
      <c r="E64" s="193">
        <v>1</v>
      </c>
      <c r="F64" s="192">
        <v>2</v>
      </c>
      <c r="G64" s="194">
        <f t="shared" si="4"/>
        <v>76</v>
      </c>
      <c r="H64" s="195">
        <f t="shared" si="3"/>
        <v>63.333333333333336</v>
      </c>
      <c r="I64" s="196" t="s">
        <v>10</v>
      </c>
      <c r="J64" s="197" t="s">
        <v>230</v>
      </c>
    </row>
    <row r="65" spans="1:10" x14ac:dyDescent="0.25">
      <c r="A65" s="504"/>
      <c r="B65" s="190" t="s">
        <v>8</v>
      </c>
      <c r="C65" s="191" t="s">
        <v>263</v>
      </c>
      <c r="D65" s="192" t="s">
        <v>60</v>
      </c>
      <c r="E65" s="193">
        <v>1</v>
      </c>
      <c r="F65" s="192">
        <v>2</v>
      </c>
      <c r="G65" s="194">
        <f t="shared" si="4"/>
        <v>76</v>
      </c>
      <c r="H65" s="195">
        <f t="shared" si="3"/>
        <v>63.333333333333336</v>
      </c>
      <c r="I65" s="196" t="s">
        <v>8</v>
      </c>
      <c r="J65" s="197" t="s">
        <v>230</v>
      </c>
    </row>
    <row r="66" spans="1:10" x14ac:dyDescent="0.25">
      <c r="A66" s="504"/>
      <c r="B66" s="190" t="s">
        <v>11</v>
      </c>
      <c r="C66" s="191" t="s">
        <v>264</v>
      </c>
      <c r="D66" s="192" t="s">
        <v>60</v>
      </c>
      <c r="E66" s="193">
        <v>1</v>
      </c>
      <c r="F66" s="192">
        <v>2</v>
      </c>
      <c r="G66" s="194">
        <f t="shared" si="4"/>
        <v>76</v>
      </c>
      <c r="H66" s="195">
        <f t="shared" si="3"/>
        <v>63.333333333333336</v>
      </c>
      <c r="I66" s="196" t="s">
        <v>11</v>
      </c>
      <c r="J66" s="197" t="s">
        <v>230</v>
      </c>
    </row>
    <row r="67" spans="1:10" x14ac:dyDescent="0.25">
      <c r="A67" s="504"/>
      <c r="B67" s="199" t="s">
        <v>1044</v>
      </c>
      <c r="C67" s="200" t="s">
        <v>1045</v>
      </c>
      <c r="D67" s="201" t="s">
        <v>60</v>
      </c>
      <c r="E67" s="202">
        <v>1</v>
      </c>
      <c r="F67" s="201">
        <v>2</v>
      </c>
      <c r="G67" s="203">
        <f t="shared" si="4"/>
        <v>76</v>
      </c>
      <c r="H67" s="204">
        <f t="shared" si="3"/>
        <v>63.333333333333336</v>
      </c>
      <c r="I67" s="205" t="s">
        <v>15</v>
      </c>
      <c r="J67" s="206" t="s">
        <v>230</v>
      </c>
    </row>
    <row r="68" spans="1:10" x14ac:dyDescent="0.25">
      <c r="A68" s="504"/>
      <c r="B68" s="199" t="s">
        <v>1046</v>
      </c>
      <c r="C68" s="200" t="s">
        <v>1047</v>
      </c>
      <c r="D68" s="201" t="s">
        <v>60</v>
      </c>
      <c r="E68" s="202">
        <v>1</v>
      </c>
      <c r="F68" s="201">
        <v>0</v>
      </c>
      <c r="G68" s="203">
        <f t="shared" si="4"/>
        <v>0</v>
      </c>
      <c r="H68" s="204">
        <f t="shared" si="3"/>
        <v>0</v>
      </c>
      <c r="I68" s="205" t="s">
        <v>9</v>
      </c>
      <c r="J68" s="206" t="s">
        <v>230</v>
      </c>
    </row>
    <row r="69" spans="1:10" x14ac:dyDescent="0.25">
      <c r="A69" s="504"/>
      <c r="B69" s="199" t="s">
        <v>1048</v>
      </c>
      <c r="C69" s="200" t="s">
        <v>1049</v>
      </c>
      <c r="D69" s="201" t="s">
        <v>60</v>
      </c>
      <c r="E69" s="202">
        <v>1</v>
      </c>
      <c r="F69" s="201">
        <v>0</v>
      </c>
      <c r="G69" s="203">
        <f t="shared" si="4"/>
        <v>0</v>
      </c>
      <c r="H69" s="204">
        <f t="shared" ref="H69:H78" si="5">(G69)*$C$85/60</f>
        <v>0</v>
      </c>
      <c r="I69" s="205" t="s">
        <v>19</v>
      </c>
      <c r="J69" s="206" t="s">
        <v>230</v>
      </c>
    </row>
    <row r="70" spans="1:10" x14ac:dyDescent="0.25">
      <c r="A70" s="504"/>
      <c r="B70" s="199" t="s">
        <v>1050</v>
      </c>
      <c r="C70" s="200" t="s">
        <v>1051</v>
      </c>
      <c r="D70" s="201" t="s">
        <v>60</v>
      </c>
      <c r="E70" s="202">
        <v>1</v>
      </c>
      <c r="F70" s="201">
        <v>0</v>
      </c>
      <c r="G70" s="203">
        <f t="shared" si="4"/>
        <v>0</v>
      </c>
      <c r="H70" s="204">
        <f t="shared" si="5"/>
        <v>0</v>
      </c>
      <c r="I70" s="205" t="s">
        <v>13</v>
      </c>
      <c r="J70" s="206" t="s">
        <v>230</v>
      </c>
    </row>
    <row r="71" spans="1:10" x14ac:dyDescent="0.25">
      <c r="A71" s="504"/>
      <c r="B71" s="40" t="s">
        <v>1065</v>
      </c>
      <c r="C71" s="41" t="s">
        <v>288</v>
      </c>
      <c r="D71" s="42" t="s">
        <v>54</v>
      </c>
      <c r="E71" s="43">
        <v>2</v>
      </c>
      <c r="F71" s="42">
        <v>3</v>
      </c>
      <c r="G71" s="44">
        <f t="shared" ref="G71:G78" si="6">F71*$F$2</f>
        <v>114</v>
      </c>
      <c r="H71" s="45">
        <f t="shared" si="5"/>
        <v>95</v>
      </c>
      <c r="I71" s="47" t="s">
        <v>19</v>
      </c>
      <c r="J71" s="46" t="s">
        <v>230</v>
      </c>
    </row>
    <row r="72" spans="1:10" x14ac:dyDescent="0.25">
      <c r="A72" s="504"/>
      <c r="B72" s="40" t="s">
        <v>1066</v>
      </c>
      <c r="C72" s="48" t="s">
        <v>1067</v>
      </c>
      <c r="D72" s="42" t="s">
        <v>54</v>
      </c>
      <c r="E72" s="42">
        <v>2</v>
      </c>
      <c r="F72" s="42">
        <v>2</v>
      </c>
      <c r="G72" s="44">
        <f t="shared" si="6"/>
        <v>76</v>
      </c>
      <c r="H72" s="45">
        <f t="shared" si="5"/>
        <v>63.333333333333336</v>
      </c>
      <c r="I72" s="47" t="s">
        <v>19</v>
      </c>
      <c r="J72" s="46" t="s">
        <v>231</v>
      </c>
    </row>
    <row r="73" spans="1:10" x14ac:dyDescent="0.25">
      <c r="A73" s="504"/>
      <c r="B73" s="40" t="s">
        <v>1068</v>
      </c>
      <c r="C73" s="48" t="s">
        <v>294</v>
      </c>
      <c r="D73" s="42" t="s">
        <v>60</v>
      </c>
      <c r="E73" s="42">
        <v>1</v>
      </c>
      <c r="F73" s="42">
        <v>2</v>
      </c>
      <c r="G73" s="44">
        <f t="shared" si="6"/>
        <v>76</v>
      </c>
      <c r="H73" s="45">
        <f t="shared" si="5"/>
        <v>63.333333333333336</v>
      </c>
      <c r="I73" s="47" t="s">
        <v>19</v>
      </c>
      <c r="J73" s="46" t="s">
        <v>230</v>
      </c>
    </row>
    <row r="74" spans="1:10" x14ac:dyDescent="0.25">
      <c r="A74" s="504"/>
      <c r="B74" s="40" t="s">
        <v>1069</v>
      </c>
      <c r="C74" s="48" t="s">
        <v>290</v>
      </c>
      <c r="D74" s="42" t="s">
        <v>60</v>
      </c>
      <c r="E74" s="42">
        <v>1</v>
      </c>
      <c r="F74" s="42">
        <v>3</v>
      </c>
      <c r="G74" s="44">
        <f t="shared" si="6"/>
        <v>114</v>
      </c>
      <c r="H74" s="45">
        <f t="shared" si="5"/>
        <v>95</v>
      </c>
      <c r="I74" s="47" t="s">
        <v>19</v>
      </c>
      <c r="J74" s="46" t="s">
        <v>230</v>
      </c>
    </row>
    <row r="75" spans="1:10" ht="15.75" thickBot="1" x14ac:dyDescent="0.3">
      <c r="A75" s="504"/>
      <c r="B75" s="40" t="s">
        <v>529</v>
      </c>
      <c r="C75" s="48" t="s">
        <v>296</v>
      </c>
      <c r="D75" s="42" t="s">
        <v>54</v>
      </c>
      <c r="E75" s="42">
        <v>2</v>
      </c>
      <c r="F75" s="42">
        <v>2</v>
      </c>
      <c r="G75" s="44">
        <f t="shared" si="6"/>
        <v>76</v>
      </c>
      <c r="H75" s="45">
        <f t="shared" si="5"/>
        <v>63.333333333333336</v>
      </c>
      <c r="I75" s="47" t="s">
        <v>19</v>
      </c>
      <c r="J75" s="46" t="s">
        <v>231</v>
      </c>
    </row>
    <row r="76" spans="1:10" ht="15.75" thickBot="1" x14ac:dyDescent="0.3">
      <c r="A76" s="506" t="s">
        <v>297</v>
      </c>
      <c r="B76" s="507"/>
      <c r="C76" s="42" t="s">
        <v>298</v>
      </c>
      <c r="D76" s="42" t="s">
        <v>60</v>
      </c>
      <c r="E76" s="42">
        <v>1</v>
      </c>
      <c r="F76" s="42">
        <v>2</v>
      </c>
      <c r="G76" s="44">
        <f t="shared" si="6"/>
        <v>76</v>
      </c>
      <c r="H76" s="45">
        <f t="shared" si="5"/>
        <v>63.333333333333336</v>
      </c>
      <c r="I76" s="47" t="s">
        <v>16</v>
      </c>
      <c r="J76" s="46" t="s">
        <v>230</v>
      </c>
    </row>
    <row r="77" spans="1:10" ht="15.75" thickBot="1" x14ac:dyDescent="0.3">
      <c r="A77" s="598" t="s">
        <v>1070</v>
      </c>
      <c r="B77" s="599"/>
      <c r="C77" s="42" t="s">
        <v>1071</v>
      </c>
      <c r="D77" s="42" t="s">
        <v>60</v>
      </c>
      <c r="E77" s="42">
        <v>1</v>
      </c>
      <c r="F77" s="42">
        <v>2</v>
      </c>
      <c r="G77" s="44">
        <f t="shared" si="6"/>
        <v>76</v>
      </c>
      <c r="H77" s="45">
        <f t="shared" si="5"/>
        <v>63.333333333333336</v>
      </c>
      <c r="I77" s="47"/>
      <c r="J77" s="46"/>
    </row>
    <row r="78" spans="1:10" ht="15.75" thickBot="1" x14ac:dyDescent="0.3">
      <c r="A78" s="506" t="s">
        <v>300</v>
      </c>
      <c r="B78" s="507"/>
      <c r="C78" s="42" t="s">
        <v>301</v>
      </c>
      <c r="D78" s="42" t="s">
        <v>60</v>
      </c>
      <c r="E78" s="42">
        <v>1</v>
      </c>
      <c r="F78" s="42">
        <v>2</v>
      </c>
      <c r="G78" s="44">
        <f t="shared" si="6"/>
        <v>76</v>
      </c>
      <c r="H78" s="45">
        <f t="shared" si="5"/>
        <v>63.333333333333336</v>
      </c>
      <c r="I78" s="47" t="s">
        <v>17</v>
      </c>
      <c r="J78" s="46" t="s">
        <v>230</v>
      </c>
    </row>
    <row r="79" spans="1:10" ht="16.5" thickBot="1" x14ac:dyDescent="0.3">
      <c r="A79" s="508" t="s">
        <v>302</v>
      </c>
      <c r="B79" s="509"/>
      <c r="C79" s="509"/>
      <c r="D79" s="509"/>
      <c r="E79" s="510"/>
      <c r="F79" s="53">
        <f>SUM(F5:F75)*F2</f>
        <v>4408</v>
      </c>
      <c r="G79" s="53">
        <f>SUM(G5:G78)</f>
        <v>4636</v>
      </c>
      <c r="H79" s="54"/>
      <c r="I79" s="36"/>
    </row>
    <row r="80" spans="1:10" ht="16.5" thickBot="1" x14ac:dyDescent="0.3">
      <c r="A80" s="508" t="s">
        <v>303</v>
      </c>
      <c r="B80" s="509"/>
      <c r="C80" s="509"/>
      <c r="D80" s="509"/>
      <c r="E80" s="510"/>
      <c r="F80" s="55">
        <f>(F79*$C$85)/60</f>
        <v>3673.3333333333335</v>
      </c>
      <c r="G80" s="53" t="s">
        <v>304</v>
      </c>
      <c r="H80" s="55" t="e">
        <f>SUM(F80+#REF!+#REF!)</f>
        <v>#REF!</v>
      </c>
      <c r="I80" s="36"/>
    </row>
    <row r="81" spans="1:9" ht="16.5" thickBot="1" x14ac:dyDescent="0.3">
      <c r="A81" s="508" t="s">
        <v>305</v>
      </c>
      <c r="B81" s="509"/>
      <c r="C81" s="509"/>
      <c r="D81" s="509"/>
      <c r="E81" s="509"/>
      <c r="F81" s="509"/>
      <c r="G81" s="510"/>
      <c r="H81" s="56" t="e">
        <f>H80</f>
        <v>#REF!</v>
      </c>
      <c r="I81" s="57"/>
    </row>
    <row r="82" spans="1:9" ht="15.75" thickBot="1" x14ac:dyDescent="0.3">
      <c r="A82" s="506" t="s">
        <v>306</v>
      </c>
      <c r="B82" s="511"/>
      <c r="C82" s="511"/>
      <c r="D82" s="511"/>
      <c r="E82" s="511"/>
      <c r="F82" s="511"/>
      <c r="G82" s="512"/>
      <c r="H82" s="58">
        <v>150</v>
      </c>
      <c r="I82" s="59"/>
    </row>
    <row r="83" spans="1:9" ht="15.75" thickBot="1" x14ac:dyDescent="0.3">
      <c r="A83" s="506" t="s">
        <v>1072</v>
      </c>
      <c r="B83" s="511"/>
      <c r="C83" s="511"/>
      <c r="D83" s="511"/>
      <c r="E83" s="511"/>
      <c r="F83" s="511"/>
      <c r="G83" s="512"/>
      <c r="H83" s="58">
        <v>80</v>
      </c>
      <c r="I83" s="59"/>
    </row>
    <row r="84" spans="1:9" ht="16.5" thickBot="1" x14ac:dyDescent="0.3">
      <c r="A84" s="508" t="s">
        <v>308</v>
      </c>
      <c r="B84" s="509"/>
      <c r="C84" s="509"/>
      <c r="D84" s="509"/>
      <c r="E84" s="509"/>
      <c r="F84" s="509"/>
      <c r="G84" s="510"/>
      <c r="H84" s="55" t="e">
        <f>ROUNDDOWN(SUM(H81:H83,H76:H78),0)</f>
        <v>#REF!</v>
      </c>
      <c r="I84" s="36"/>
    </row>
    <row r="85" spans="1:9" ht="15.75" x14ac:dyDescent="0.25">
      <c r="A85" s="505" t="s">
        <v>309</v>
      </c>
      <c r="B85" s="505"/>
      <c r="C85" s="38">
        <v>50</v>
      </c>
      <c r="D85" s="60" t="s">
        <v>310</v>
      </c>
      <c r="E85" s="60"/>
      <c r="F85" s="60"/>
      <c r="G85" s="60"/>
      <c r="H85" s="60"/>
      <c r="I85" s="36"/>
    </row>
    <row r="86" spans="1:9" x14ac:dyDescent="0.25">
      <c r="F86" s="219">
        <f>SUMPRODUCT(H5:H75,E5:E75)/F80</f>
        <v>1.198275862068966</v>
      </c>
    </row>
  </sheetData>
  <mergeCells count="18">
    <mergeCell ref="A81:G81"/>
    <mergeCell ref="A82:G82"/>
    <mergeCell ref="A83:G83"/>
    <mergeCell ref="A84:G84"/>
    <mergeCell ref="A85:B85"/>
    <mergeCell ref="A2:C2"/>
    <mergeCell ref="B3:B4"/>
    <mergeCell ref="C3:C4"/>
    <mergeCell ref="A77:B77"/>
    <mergeCell ref="A28:A51"/>
    <mergeCell ref="A52:A75"/>
    <mergeCell ref="A76:B76"/>
    <mergeCell ref="I3:I4"/>
    <mergeCell ref="J3:J4"/>
    <mergeCell ref="A5:A27"/>
    <mergeCell ref="A79:E79"/>
    <mergeCell ref="A80:E80"/>
    <mergeCell ref="A78:B78"/>
  </mergeCells>
  <dataValidations count="2">
    <dataValidation type="list" allowBlank="1" showInputMessage="1" showErrorMessage="1" sqref="I5:I78" xr:uid="{00000000-0002-0000-2000-000000000000}">
      <formula1>Áreas</formula1>
    </dataValidation>
    <dataValidation type="list" allowBlank="1" showInputMessage="1" showErrorMessage="1" sqref="J5:J78" xr:uid="{00000000-0002-0000-20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44">
    <tabColor theme="6" tint="-0.249977111117893"/>
  </sheetPr>
  <dimension ref="A1:S105"/>
  <sheetViews>
    <sheetView topLeftCell="A87" workbookViewId="0">
      <selection activeCell="F21" sqref="F21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9" max="9" width="14.42578125" bestFit="1" customWidth="1"/>
    <col min="10" max="10" width="35.140625" bestFit="1" customWidth="1"/>
  </cols>
  <sheetData>
    <row r="1" spans="1:19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9" ht="15.75" x14ac:dyDescent="0.25">
      <c r="A2" s="513" t="s">
        <v>1096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</row>
    <row r="3" spans="1:19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9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9" x14ac:dyDescent="0.25">
      <c r="A5" s="504" t="s">
        <v>1043</v>
      </c>
      <c r="B5" s="190" t="s">
        <v>1097</v>
      </c>
      <c r="C5" s="191" t="s">
        <v>250</v>
      </c>
      <c r="D5" s="192" t="s">
        <v>1098</v>
      </c>
      <c r="E5" s="193">
        <v>1</v>
      </c>
      <c r="F5" s="192">
        <v>4</v>
      </c>
      <c r="G5" s="194">
        <f t="shared" ref="G5:G57" si="0">F5*$F$2</f>
        <v>152</v>
      </c>
      <c r="H5" s="195">
        <f t="shared" ref="H5:H68" si="1">(G5)*$C$101/60</f>
        <v>126.66666666666667</v>
      </c>
      <c r="I5" s="196" t="s">
        <v>14</v>
      </c>
      <c r="J5" s="197" t="s">
        <v>230</v>
      </c>
    </row>
    <row r="6" spans="1:19" x14ac:dyDescent="0.25">
      <c r="A6" s="504"/>
      <c r="B6" s="190" t="s">
        <v>1099</v>
      </c>
      <c r="C6" s="191" t="s">
        <v>256</v>
      </c>
      <c r="D6" s="192" t="s">
        <v>54</v>
      </c>
      <c r="E6" s="193">
        <v>1</v>
      </c>
      <c r="F6" s="192">
        <v>2</v>
      </c>
      <c r="G6" s="194">
        <f t="shared" si="0"/>
        <v>76</v>
      </c>
      <c r="H6" s="195">
        <f t="shared" si="1"/>
        <v>63.333333333333336</v>
      </c>
      <c r="I6" s="196" t="s">
        <v>15</v>
      </c>
      <c r="J6" s="197" t="s">
        <v>230</v>
      </c>
    </row>
    <row r="7" spans="1:19" x14ac:dyDescent="0.25">
      <c r="A7" s="504"/>
      <c r="B7" s="190" t="s">
        <v>12</v>
      </c>
      <c r="C7" s="191" t="s">
        <v>253</v>
      </c>
      <c r="D7" s="192" t="s">
        <v>54</v>
      </c>
      <c r="E7" s="193">
        <v>1</v>
      </c>
      <c r="F7" s="192">
        <v>0</v>
      </c>
      <c r="G7" s="194">
        <f t="shared" si="0"/>
        <v>0</v>
      </c>
      <c r="H7" s="195">
        <f t="shared" si="1"/>
        <v>0</v>
      </c>
      <c r="I7" s="196" t="s">
        <v>12</v>
      </c>
      <c r="J7" s="197" t="s">
        <v>575</v>
      </c>
    </row>
    <row r="8" spans="1:19" x14ac:dyDescent="0.25">
      <c r="A8" s="504"/>
      <c r="B8" s="190" t="s">
        <v>1031</v>
      </c>
      <c r="C8" s="191" t="s">
        <v>1032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575</v>
      </c>
    </row>
    <row r="9" spans="1:19" x14ac:dyDescent="0.25">
      <c r="A9" s="504"/>
      <c r="B9" s="190" t="s">
        <v>1100</v>
      </c>
      <c r="C9" s="191" t="s">
        <v>1092</v>
      </c>
      <c r="D9" s="192" t="s">
        <v>54</v>
      </c>
      <c r="E9" s="193">
        <v>1</v>
      </c>
      <c r="F9" s="192">
        <v>0</v>
      </c>
      <c r="G9" s="194">
        <f t="shared" si="0"/>
        <v>0</v>
      </c>
      <c r="H9" s="195">
        <f t="shared" si="1"/>
        <v>0</v>
      </c>
      <c r="I9" s="196" t="s">
        <v>13</v>
      </c>
      <c r="J9" s="197" t="s">
        <v>575</v>
      </c>
    </row>
    <row r="10" spans="1:19" x14ac:dyDescent="0.25">
      <c r="A10" s="504"/>
      <c r="B10" s="190" t="s">
        <v>1033</v>
      </c>
      <c r="C10" s="191" t="s">
        <v>1034</v>
      </c>
      <c r="D10" s="192" t="s">
        <v>54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13</v>
      </c>
      <c r="J10" s="197" t="s">
        <v>230</v>
      </c>
    </row>
    <row r="11" spans="1:19" x14ac:dyDescent="0.25">
      <c r="A11" s="504"/>
      <c r="B11" s="190" t="s">
        <v>1035</v>
      </c>
      <c r="C11" s="191" t="s">
        <v>1036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9" x14ac:dyDescent="0.25">
      <c r="A12" s="504"/>
      <c r="B12" s="190" t="s">
        <v>1037</v>
      </c>
      <c r="C12" s="191" t="s">
        <v>1038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21</v>
      </c>
      <c r="J12" s="197" t="s">
        <v>230</v>
      </c>
    </row>
    <row r="13" spans="1:19" x14ac:dyDescent="0.25">
      <c r="A13" s="504"/>
      <c r="B13" s="190" t="s">
        <v>1101</v>
      </c>
      <c r="C13" s="191" t="s">
        <v>1080</v>
      </c>
      <c r="D13" s="192" t="s">
        <v>60</v>
      </c>
      <c r="E13" s="193">
        <v>1</v>
      </c>
      <c r="F13" s="192">
        <v>2</v>
      </c>
      <c r="G13" s="194">
        <f t="shared" si="0"/>
        <v>76</v>
      </c>
      <c r="H13" s="195">
        <f t="shared" si="1"/>
        <v>63.333333333333336</v>
      </c>
      <c r="I13" s="196" t="s">
        <v>5</v>
      </c>
      <c r="J13" s="197" t="s">
        <v>230</v>
      </c>
    </row>
    <row r="14" spans="1:19" x14ac:dyDescent="0.25">
      <c r="A14" s="504"/>
      <c r="B14" s="190" t="s">
        <v>1102</v>
      </c>
      <c r="C14" s="191" t="s">
        <v>258</v>
      </c>
      <c r="D14" s="192" t="s">
        <v>60</v>
      </c>
      <c r="E14" s="193">
        <v>1</v>
      </c>
      <c r="F14" s="192">
        <v>0</v>
      </c>
      <c r="G14" s="194">
        <f t="shared" si="0"/>
        <v>0</v>
      </c>
      <c r="H14" s="195">
        <f t="shared" si="1"/>
        <v>0</v>
      </c>
      <c r="I14" s="196" t="s">
        <v>5</v>
      </c>
      <c r="J14" s="197" t="s">
        <v>230</v>
      </c>
    </row>
    <row r="15" spans="1:19" ht="15" customHeight="1" x14ac:dyDescent="0.25">
      <c r="A15" s="504"/>
      <c r="B15" s="190" t="s">
        <v>6</v>
      </c>
      <c r="C15" s="191" t="s">
        <v>259</v>
      </c>
      <c r="D15" s="192" t="s">
        <v>60</v>
      </c>
      <c r="E15" s="193">
        <v>1</v>
      </c>
      <c r="F15" s="192">
        <v>2</v>
      </c>
      <c r="G15" s="194">
        <f t="shared" si="0"/>
        <v>76</v>
      </c>
      <c r="H15" s="195">
        <f t="shared" si="1"/>
        <v>63.333333333333336</v>
      </c>
      <c r="I15" s="196" t="s">
        <v>6</v>
      </c>
      <c r="J15" s="197" t="s">
        <v>230</v>
      </c>
      <c r="O15" s="216" t="s">
        <v>1097</v>
      </c>
      <c r="P15" s="208" t="s">
        <v>250</v>
      </c>
      <c r="Q15" s="208" t="s">
        <v>1098</v>
      </c>
      <c r="R15" s="208">
        <v>1</v>
      </c>
      <c r="S15" s="209">
        <v>4</v>
      </c>
    </row>
    <row r="16" spans="1:19" x14ac:dyDescent="0.25">
      <c r="A16" s="504"/>
      <c r="B16" s="190" t="s">
        <v>7</v>
      </c>
      <c r="C16" s="191" t="s">
        <v>1042</v>
      </c>
      <c r="D16" s="192" t="s">
        <v>60</v>
      </c>
      <c r="E16" s="193">
        <v>1</v>
      </c>
      <c r="F16" s="192">
        <v>2</v>
      </c>
      <c r="G16" s="194">
        <f t="shared" si="0"/>
        <v>76</v>
      </c>
      <c r="H16" s="195">
        <f t="shared" si="1"/>
        <v>63.333333333333336</v>
      </c>
      <c r="I16" s="196" t="s">
        <v>7</v>
      </c>
      <c r="J16" s="197" t="s">
        <v>230</v>
      </c>
      <c r="O16" s="217" t="s">
        <v>1099</v>
      </c>
      <c r="P16" s="210" t="s">
        <v>256</v>
      </c>
      <c r="Q16" s="208" t="s">
        <v>54</v>
      </c>
      <c r="R16" s="210">
        <v>1</v>
      </c>
      <c r="S16" s="211">
        <v>2</v>
      </c>
    </row>
    <row r="17" spans="1:19" x14ac:dyDescent="0.25">
      <c r="A17" s="504"/>
      <c r="B17" s="190" t="s">
        <v>9</v>
      </c>
      <c r="C17" s="191" t="s">
        <v>261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9</v>
      </c>
      <c r="J17" s="197" t="s">
        <v>230</v>
      </c>
      <c r="O17" s="216" t="s">
        <v>12</v>
      </c>
      <c r="P17" s="208" t="s">
        <v>253</v>
      </c>
      <c r="Q17" s="208" t="s">
        <v>54</v>
      </c>
      <c r="R17" s="208">
        <v>1</v>
      </c>
      <c r="S17" s="209">
        <v>0</v>
      </c>
    </row>
    <row r="18" spans="1:19" ht="15" customHeight="1" x14ac:dyDescent="0.25">
      <c r="A18" s="504"/>
      <c r="B18" s="190" t="s">
        <v>10</v>
      </c>
      <c r="C18" s="191" t="s">
        <v>262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10</v>
      </c>
      <c r="J18" s="197" t="s">
        <v>230</v>
      </c>
      <c r="O18" s="216" t="s">
        <v>1031</v>
      </c>
      <c r="P18" s="208" t="s">
        <v>1032</v>
      </c>
      <c r="Q18" s="208" t="s">
        <v>54</v>
      </c>
      <c r="R18" s="208">
        <v>1</v>
      </c>
      <c r="S18" s="209">
        <v>2</v>
      </c>
    </row>
    <row r="19" spans="1:19" ht="15" customHeight="1" x14ac:dyDescent="0.25">
      <c r="A19" s="504"/>
      <c r="B19" s="190" t="s">
        <v>8</v>
      </c>
      <c r="C19" s="191" t="s">
        <v>263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8</v>
      </c>
      <c r="J19" s="197" t="s">
        <v>230</v>
      </c>
      <c r="O19" s="216" t="s">
        <v>1100</v>
      </c>
      <c r="P19" s="212" t="s">
        <v>1092</v>
      </c>
      <c r="Q19" s="208" t="s">
        <v>54</v>
      </c>
      <c r="R19" s="212">
        <v>1</v>
      </c>
      <c r="S19" s="213">
        <v>0</v>
      </c>
    </row>
    <row r="20" spans="1:19" x14ac:dyDescent="0.25">
      <c r="A20" s="504"/>
      <c r="B20" s="190" t="s">
        <v>11</v>
      </c>
      <c r="C20" s="191" t="s">
        <v>264</v>
      </c>
      <c r="D20" s="192" t="s">
        <v>60</v>
      </c>
      <c r="E20" s="193">
        <v>1</v>
      </c>
      <c r="F20" s="192">
        <v>2</v>
      </c>
      <c r="G20" s="194">
        <f t="shared" si="0"/>
        <v>76</v>
      </c>
      <c r="H20" s="195">
        <f t="shared" si="1"/>
        <v>63.333333333333336</v>
      </c>
      <c r="I20" s="196" t="s">
        <v>11</v>
      </c>
      <c r="J20" s="197" t="s">
        <v>230</v>
      </c>
      <c r="O20" s="217" t="s">
        <v>1033</v>
      </c>
      <c r="P20" s="208" t="s">
        <v>1034</v>
      </c>
      <c r="Q20" s="208" t="s">
        <v>54</v>
      </c>
      <c r="R20" s="208">
        <v>1</v>
      </c>
      <c r="S20" s="209">
        <v>2</v>
      </c>
    </row>
    <row r="21" spans="1:19" x14ac:dyDescent="0.25">
      <c r="A21" s="504"/>
      <c r="B21" s="190" t="s">
        <v>1103</v>
      </c>
      <c r="C21" s="191" t="s">
        <v>1077</v>
      </c>
      <c r="D21" s="192" t="s">
        <v>60</v>
      </c>
      <c r="E21" s="193">
        <v>1</v>
      </c>
      <c r="F21" s="192">
        <v>0</v>
      </c>
      <c r="G21" s="194">
        <f t="shared" si="0"/>
        <v>0</v>
      </c>
      <c r="H21" s="195">
        <f t="shared" si="1"/>
        <v>0</v>
      </c>
      <c r="I21" s="196" t="s">
        <v>9</v>
      </c>
      <c r="J21" s="197" t="s">
        <v>230</v>
      </c>
      <c r="O21" s="215" t="s">
        <v>1035</v>
      </c>
      <c r="P21" s="208" t="s">
        <v>1036</v>
      </c>
      <c r="Q21" s="208" t="s">
        <v>60</v>
      </c>
      <c r="R21" s="208">
        <v>1</v>
      </c>
      <c r="S21" s="209">
        <v>2</v>
      </c>
    </row>
    <row r="22" spans="1:19" x14ac:dyDescent="0.25">
      <c r="A22" s="504"/>
      <c r="B22" s="199" t="s">
        <v>1044</v>
      </c>
      <c r="C22" s="200" t="s">
        <v>1045</v>
      </c>
      <c r="D22" s="201" t="s">
        <v>60</v>
      </c>
      <c r="E22" s="202">
        <v>1</v>
      </c>
      <c r="F22" s="201">
        <v>0</v>
      </c>
      <c r="G22" s="203">
        <f t="shared" si="0"/>
        <v>0</v>
      </c>
      <c r="H22" s="204">
        <f t="shared" si="1"/>
        <v>0</v>
      </c>
      <c r="I22" s="205" t="s">
        <v>15</v>
      </c>
      <c r="J22" s="206" t="s">
        <v>230</v>
      </c>
      <c r="O22" s="215" t="s">
        <v>1037</v>
      </c>
      <c r="P22" s="208" t="s">
        <v>1038</v>
      </c>
      <c r="Q22" s="208" t="s">
        <v>60</v>
      </c>
      <c r="R22" s="208">
        <v>1</v>
      </c>
      <c r="S22" s="209">
        <v>2</v>
      </c>
    </row>
    <row r="23" spans="1:19" x14ac:dyDescent="0.25">
      <c r="A23" s="504"/>
      <c r="B23" s="199" t="s">
        <v>1061</v>
      </c>
      <c r="C23" s="200" t="s">
        <v>596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315</v>
      </c>
      <c r="J23" s="206" t="s">
        <v>230</v>
      </c>
      <c r="O23" s="218" t="s">
        <v>1101</v>
      </c>
      <c r="P23" s="208" t="s">
        <v>1080</v>
      </c>
      <c r="Q23" s="208" t="s">
        <v>60</v>
      </c>
      <c r="R23" s="208">
        <v>1</v>
      </c>
      <c r="S23" s="209">
        <v>2</v>
      </c>
    </row>
    <row r="24" spans="1:19" x14ac:dyDescent="0.25">
      <c r="A24" s="504"/>
      <c r="B24" s="199" t="s">
        <v>1105</v>
      </c>
      <c r="C24" s="200" t="s">
        <v>1104</v>
      </c>
      <c r="D24" s="201" t="s">
        <v>60</v>
      </c>
      <c r="E24" s="202">
        <v>1</v>
      </c>
      <c r="F24" s="201">
        <v>2</v>
      </c>
      <c r="G24" s="203">
        <f t="shared" si="0"/>
        <v>76</v>
      </c>
      <c r="H24" s="204">
        <f t="shared" si="1"/>
        <v>63.333333333333336</v>
      </c>
      <c r="I24" s="205" t="s">
        <v>20</v>
      </c>
      <c r="J24" s="206" t="s">
        <v>230</v>
      </c>
      <c r="O24" s="215"/>
      <c r="P24" s="208"/>
      <c r="Q24" s="208"/>
      <c r="R24" s="208"/>
      <c r="S24" s="209"/>
    </row>
    <row r="25" spans="1:19" x14ac:dyDescent="0.25">
      <c r="A25" s="504"/>
      <c r="B25" s="199" t="s">
        <v>1106</v>
      </c>
      <c r="C25" s="200" t="s">
        <v>1107</v>
      </c>
      <c r="D25" s="201" t="s">
        <v>57</v>
      </c>
      <c r="E25" s="202">
        <v>2</v>
      </c>
      <c r="F25" s="201">
        <v>2</v>
      </c>
      <c r="G25" s="203">
        <f t="shared" si="0"/>
        <v>76</v>
      </c>
      <c r="H25" s="204">
        <f t="shared" si="1"/>
        <v>63.333333333333336</v>
      </c>
      <c r="I25" s="205" t="s">
        <v>20</v>
      </c>
      <c r="J25" s="206" t="s">
        <v>232</v>
      </c>
      <c r="O25" s="215"/>
      <c r="P25" s="208"/>
      <c r="Q25" s="208"/>
      <c r="R25" s="208"/>
      <c r="S25" s="209"/>
    </row>
    <row r="26" spans="1:19" x14ac:dyDescent="0.25">
      <c r="A26" s="504"/>
      <c r="B26" s="199" t="s">
        <v>6</v>
      </c>
      <c r="C26" s="200" t="s">
        <v>259</v>
      </c>
      <c r="D26" s="201" t="s">
        <v>60</v>
      </c>
      <c r="E26" s="202">
        <v>1</v>
      </c>
      <c r="F26" s="201">
        <v>0</v>
      </c>
      <c r="G26" s="203">
        <f t="shared" si="0"/>
        <v>0</v>
      </c>
      <c r="H26" s="204">
        <f t="shared" si="1"/>
        <v>0</v>
      </c>
      <c r="I26" s="205" t="s">
        <v>20</v>
      </c>
      <c r="J26" s="206" t="s">
        <v>230</v>
      </c>
      <c r="O26" s="215"/>
      <c r="P26" s="208"/>
      <c r="Q26" s="208"/>
      <c r="R26" s="208"/>
      <c r="S26" s="209"/>
    </row>
    <row r="27" spans="1:19" x14ac:dyDescent="0.25">
      <c r="A27" s="504"/>
      <c r="B27" s="199" t="s">
        <v>1108</v>
      </c>
      <c r="C27" s="200" t="s">
        <v>1109</v>
      </c>
      <c r="D27" s="201" t="s">
        <v>60</v>
      </c>
      <c r="E27" s="202">
        <v>1</v>
      </c>
      <c r="F27" s="201">
        <v>2</v>
      </c>
      <c r="G27" s="203">
        <f t="shared" si="0"/>
        <v>76</v>
      </c>
      <c r="H27" s="204">
        <f t="shared" si="1"/>
        <v>63.333333333333336</v>
      </c>
      <c r="I27" s="205" t="s">
        <v>20</v>
      </c>
      <c r="J27" s="206" t="s">
        <v>230</v>
      </c>
      <c r="O27" s="215"/>
      <c r="P27" s="208"/>
      <c r="Q27" s="208"/>
      <c r="R27" s="208"/>
      <c r="S27" s="209"/>
    </row>
    <row r="28" spans="1:19" x14ac:dyDescent="0.25">
      <c r="A28" s="504"/>
      <c r="B28" s="199" t="s">
        <v>1089</v>
      </c>
      <c r="C28" s="200" t="s">
        <v>296</v>
      </c>
      <c r="D28" s="201" t="s">
        <v>57</v>
      </c>
      <c r="E28" s="202">
        <v>2</v>
      </c>
      <c r="F28" s="201">
        <v>0</v>
      </c>
      <c r="G28" s="203">
        <f t="shared" si="0"/>
        <v>0</v>
      </c>
      <c r="H28" s="204">
        <f t="shared" si="1"/>
        <v>0</v>
      </c>
      <c r="I28" s="205" t="s">
        <v>20</v>
      </c>
      <c r="J28" s="206" t="s">
        <v>230</v>
      </c>
      <c r="O28" s="215"/>
      <c r="P28" s="208"/>
      <c r="Q28" s="208"/>
      <c r="R28" s="208"/>
      <c r="S28" s="209"/>
    </row>
    <row r="29" spans="1:19" x14ac:dyDescent="0.25">
      <c r="A29" s="504"/>
      <c r="B29" s="199" t="s">
        <v>1110</v>
      </c>
      <c r="C29" s="200" t="s">
        <v>1081</v>
      </c>
      <c r="D29" s="201" t="s">
        <v>60</v>
      </c>
      <c r="E29" s="202">
        <v>1</v>
      </c>
      <c r="F29" s="201">
        <v>2</v>
      </c>
      <c r="G29" s="203">
        <f t="shared" si="0"/>
        <v>76</v>
      </c>
      <c r="H29" s="204">
        <f t="shared" si="1"/>
        <v>63.333333333333336</v>
      </c>
      <c r="I29" s="205" t="s">
        <v>9</v>
      </c>
      <c r="J29" s="206" t="s">
        <v>230</v>
      </c>
      <c r="O29" s="215" t="s">
        <v>1102</v>
      </c>
      <c r="P29" s="208" t="s">
        <v>258</v>
      </c>
      <c r="Q29" s="208" t="s">
        <v>60</v>
      </c>
      <c r="R29" s="208">
        <v>1</v>
      </c>
      <c r="S29" s="209">
        <v>0</v>
      </c>
    </row>
    <row r="30" spans="1:19" x14ac:dyDescent="0.25">
      <c r="A30" s="504"/>
      <c r="B30" s="40" t="s">
        <v>1111</v>
      </c>
      <c r="C30" s="41" t="s">
        <v>449</v>
      </c>
      <c r="D30" s="42" t="s">
        <v>54</v>
      </c>
      <c r="E30" s="43">
        <v>2</v>
      </c>
      <c r="F30" s="42">
        <v>2</v>
      </c>
      <c r="G30" s="44">
        <f t="shared" si="0"/>
        <v>76</v>
      </c>
      <c r="H30" s="45">
        <f t="shared" si="1"/>
        <v>63.333333333333336</v>
      </c>
      <c r="I30" s="47" t="s">
        <v>20</v>
      </c>
      <c r="J30" s="46" t="s">
        <v>232</v>
      </c>
      <c r="O30" s="215" t="s">
        <v>6</v>
      </c>
      <c r="P30" s="208" t="s">
        <v>259</v>
      </c>
      <c r="Q30" s="208" t="s">
        <v>60</v>
      </c>
      <c r="R30" s="208">
        <v>1</v>
      </c>
      <c r="S30" s="209">
        <v>2</v>
      </c>
    </row>
    <row r="31" spans="1:19" x14ac:dyDescent="0.25">
      <c r="A31" s="504"/>
      <c r="B31" s="40" t="s">
        <v>1112</v>
      </c>
      <c r="C31" s="48" t="s">
        <v>452</v>
      </c>
      <c r="D31" s="42" t="s">
        <v>54</v>
      </c>
      <c r="E31" s="42">
        <v>2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20</v>
      </c>
      <c r="J31" s="46" t="s">
        <v>231</v>
      </c>
      <c r="O31" s="215" t="s">
        <v>7</v>
      </c>
      <c r="P31" s="208" t="s">
        <v>1042</v>
      </c>
      <c r="Q31" s="208" t="s">
        <v>60</v>
      </c>
      <c r="R31" s="208">
        <v>1</v>
      </c>
      <c r="S31" s="209">
        <v>2</v>
      </c>
    </row>
    <row r="32" spans="1:19" x14ac:dyDescent="0.25">
      <c r="A32" s="504"/>
      <c r="B32" s="40" t="s">
        <v>1113</v>
      </c>
      <c r="C32" s="48" t="s">
        <v>460</v>
      </c>
      <c r="D32" s="42" t="s">
        <v>54</v>
      </c>
      <c r="E32" s="42">
        <v>2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20</v>
      </c>
      <c r="J32" s="46" t="s">
        <v>231</v>
      </c>
      <c r="O32" s="217" t="s">
        <v>9</v>
      </c>
      <c r="P32" s="208" t="s">
        <v>261</v>
      </c>
      <c r="Q32" s="208" t="s">
        <v>60</v>
      </c>
      <c r="R32" s="208">
        <v>1</v>
      </c>
      <c r="S32" s="209">
        <v>0</v>
      </c>
    </row>
    <row r="33" spans="1:19" ht="15" customHeight="1" x14ac:dyDescent="0.25">
      <c r="A33" s="504" t="s">
        <v>274</v>
      </c>
      <c r="B33" s="190" t="s">
        <v>1097</v>
      </c>
      <c r="C33" s="191" t="s">
        <v>250</v>
      </c>
      <c r="D33" s="192" t="s">
        <v>1098</v>
      </c>
      <c r="E33" s="193">
        <v>1</v>
      </c>
      <c r="F33" s="192">
        <v>4</v>
      </c>
      <c r="G33" s="194">
        <f t="shared" si="0"/>
        <v>152</v>
      </c>
      <c r="H33" s="195">
        <f t="shared" si="1"/>
        <v>126.66666666666667</v>
      </c>
      <c r="I33" s="196" t="s">
        <v>14</v>
      </c>
      <c r="J33" s="197" t="s">
        <v>230</v>
      </c>
      <c r="O33" s="214" t="s">
        <v>8</v>
      </c>
      <c r="P33" s="208" t="s">
        <v>263</v>
      </c>
      <c r="Q33" s="208" t="s">
        <v>60</v>
      </c>
      <c r="R33" s="208">
        <v>1</v>
      </c>
      <c r="S33" s="209">
        <v>0</v>
      </c>
    </row>
    <row r="34" spans="1:19" x14ac:dyDescent="0.25">
      <c r="A34" s="504"/>
      <c r="B34" s="190" t="s">
        <v>1099</v>
      </c>
      <c r="C34" s="191" t="s">
        <v>256</v>
      </c>
      <c r="D34" s="192" t="s">
        <v>54</v>
      </c>
      <c r="E34" s="193">
        <v>1</v>
      </c>
      <c r="F34" s="192">
        <v>0</v>
      </c>
      <c r="G34" s="194">
        <f t="shared" si="0"/>
        <v>0</v>
      </c>
      <c r="H34" s="195">
        <f t="shared" si="1"/>
        <v>0</v>
      </c>
      <c r="I34" s="196" t="s">
        <v>15</v>
      </c>
      <c r="J34" s="197" t="s">
        <v>230</v>
      </c>
      <c r="O34" s="214" t="s">
        <v>11</v>
      </c>
      <c r="P34" s="208" t="s">
        <v>264</v>
      </c>
      <c r="Q34" s="208" t="s">
        <v>60</v>
      </c>
      <c r="R34" s="208">
        <v>1</v>
      </c>
      <c r="S34" s="209">
        <v>0</v>
      </c>
    </row>
    <row r="35" spans="1:19" x14ac:dyDescent="0.25">
      <c r="A35" s="504"/>
      <c r="B35" s="190" t="s">
        <v>12</v>
      </c>
      <c r="C35" s="191" t="s">
        <v>253</v>
      </c>
      <c r="D35" s="192" t="s">
        <v>54</v>
      </c>
      <c r="E35" s="193">
        <v>1</v>
      </c>
      <c r="F35" s="192">
        <v>2</v>
      </c>
      <c r="G35" s="194">
        <f t="shared" si="0"/>
        <v>76</v>
      </c>
      <c r="H35" s="195">
        <f t="shared" si="1"/>
        <v>63.333333333333336</v>
      </c>
      <c r="I35" s="196" t="s">
        <v>12</v>
      </c>
      <c r="J35" s="197" t="s">
        <v>230</v>
      </c>
      <c r="O35" s="214" t="s">
        <v>1103</v>
      </c>
      <c r="P35" s="208" t="s">
        <v>1077</v>
      </c>
      <c r="Q35" s="208" t="s">
        <v>60</v>
      </c>
      <c r="R35" s="208">
        <v>1</v>
      </c>
      <c r="S35" s="209">
        <v>2</v>
      </c>
    </row>
    <row r="36" spans="1:19" x14ac:dyDescent="0.25">
      <c r="A36" s="504"/>
      <c r="B36" s="190" t="s">
        <v>1031</v>
      </c>
      <c r="C36" s="191" t="s">
        <v>1032</v>
      </c>
      <c r="D36" s="192" t="s">
        <v>54</v>
      </c>
      <c r="E36" s="193">
        <v>1</v>
      </c>
      <c r="F36" s="192">
        <v>0</v>
      </c>
      <c r="G36" s="194">
        <f t="shared" si="0"/>
        <v>0</v>
      </c>
      <c r="H36" s="195">
        <f t="shared" si="1"/>
        <v>0</v>
      </c>
      <c r="I36" s="196" t="s">
        <v>13</v>
      </c>
      <c r="J36" s="197" t="s">
        <v>575</v>
      </c>
    </row>
    <row r="37" spans="1:19" x14ac:dyDescent="0.25">
      <c r="A37" s="504"/>
      <c r="B37" s="190" t="s">
        <v>1100</v>
      </c>
      <c r="C37" s="191" t="s">
        <v>1092</v>
      </c>
      <c r="D37" s="192" t="s">
        <v>54</v>
      </c>
      <c r="E37" s="193">
        <v>1</v>
      </c>
      <c r="F37" s="192">
        <v>0</v>
      </c>
      <c r="G37" s="194">
        <f t="shared" si="0"/>
        <v>0</v>
      </c>
      <c r="H37" s="195">
        <f t="shared" si="1"/>
        <v>0</v>
      </c>
      <c r="I37" s="196" t="s">
        <v>13</v>
      </c>
      <c r="J37" s="197" t="s">
        <v>575</v>
      </c>
    </row>
    <row r="38" spans="1:19" x14ac:dyDescent="0.25">
      <c r="A38" s="504"/>
      <c r="B38" s="190" t="s">
        <v>1033</v>
      </c>
      <c r="C38" s="191" t="s">
        <v>1034</v>
      </c>
      <c r="D38" s="192" t="s">
        <v>54</v>
      </c>
      <c r="E38" s="193">
        <v>1</v>
      </c>
      <c r="F38" s="192">
        <v>0</v>
      </c>
      <c r="G38" s="194">
        <f t="shared" si="0"/>
        <v>0</v>
      </c>
      <c r="H38" s="195">
        <f t="shared" si="1"/>
        <v>0</v>
      </c>
      <c r="I38" s="196" t="s">
        <v>13</v>
      </c>
      <c r="J38" s="197" t="s">
        <v>230</v>
      </c>
    </row>
    <row r="39" spans="1:19" x14ac:dyDescent="0.25">
      <c r="A39" s="504"/>
      <c r="B39" s="190" t="s">
        <v>1035</v>
      </c>
      <c r="C39" s="191" t="s">
        <v>1036</v>
      </c>
      <c r="D39" s="192" t="s">
        <v>60</v>
      </c>
      <c r="E39" s="193">
        <v>1</v>
      </c>
      <c r="F39" s="192">
        <v>2</v>
      </c>
      <c r="G39" s="194">
        <f t="shared" si="0"/>
        <v>76</v>
      </c>
      <c r="H39" s="195">
        <f t="shared" si="1"/>
        <v>63.333333333333336</v>
      </c>
      <c r="I39" s="196" t="s">
        <v>21</v>
      </c>
      <c r="J39" s="197" t="s">
        <v>230</v>
      </c>
    </row>
    <row r="40" spans="1:19" x14ac:dyDescent="0.25">
      <c r="A40" s="504"/>
      <c r="B40" s="190" t="s">
        <v>1037</v>
      </c>
      <c r="C40" s="191" t="s">
        <v>1038</v>
      </c>
      <c r="D40" s="192" t="s">
        <v>60</v>
      </c>
      <c r="E40" s="193">
        <v>1</v>
      </c>
      <c r="F40" s="192">
        <v>2</v>
      </c>
      <c r="G40" s="194">
        <f t="shared" si="0"/>
        <v>76</v>
      </c>
      <c r="H40" s="195">
        <f t="shared" si="1"/>
        <v>63.333333333333336</v>
      </c>
      <c r="I40" s="196" t="s">
        <v>21</v>
      </c>
      <c r="J40" s="197" t="s">
        <v>230</v>
      </c>
    </row>
    <row r="41" spans="1:19" x14ac:dyDescent="0.25">
      <c r="A41" s="504"/>
      <c r="B41" s="190" t="s">
        <v>1101</v>
      </c>
      <c r="C41" s="191" t="s">
        <v>1080</v>
      </c>
      <c r="D41" s="192" t="s">
        <v>60</v>
      </c>
      <c r="E41" s="193">
        <v>1</v>
      </c>
      <c r="F41" s="192">
        <v>0</v>
      </c>
      <c r="G41" s="194">
        <f t="shared" si="0"/>
        <v>0</v>
      </c>
      <c r="H41" s="195">
        <f t="shared" si="1"/>
        <v>0</v>
      </c>
      <c r="I41" s="196" t="s">
        <v>5</v>
      </c>
      <c r="J41" s="197" t="s">
        <v>230</v>
      </c>
    </row>
    <row r="42" spans="1:19" x14ac:dyDescent="0.25">
      <c r="A42" s="504"/>
      <c r="B42" s="190" t="s">
        <v>1102</v>
      </c>
      <c r="C42" s="191" t="s">
        <v>258</v>
      </c>
      <c r="D42" s="192" t="s">
        <v>60</v>
      </c>
      <c r="E42" s="193">
        <v>1</v>
      </c>
      <c r="F42" s="192">
        <v>2</v>
      </c>
      <c r="G42" s="194">
        <f t="shared" si="0"/>
        <v>76</v>
      </c>
      <c r="H42" s="195">
        <f t="shared" si="1"/>
        <v>63.333333333333336</v>
      </c>
      <c r="I42" s="196" t="s">
        <v>5</v>
      </c>
      <c r="J42" s="197" t="s">
        <v>230</v>
      </c>
    </row>
    <row r="43" spans="1:19" x14ac:dyDescent="0.25">
      <c r="A43" s="504"/>
      <c r="B43" s="190" t="s">
        <v>6</v>
      </c>
      <c r="C43" s="191" t="s">
        <v>259</v>
      </c>
      <c r="D43" s="192" t="s">
        <v>60</v>
      </c>
      <c r="E43" s="193">
        <v>1</v>
      </c>
      <c r="F43" s="192">
        <v>2</v>
      </c>
      <c r="G43" s="194">
        <f t="shared" si="0"/>
        <v>76</v>
      </c>
      <c r="H43" s="195">
        <f t="shared" si="1"/>
        <v>63.333333333333336</v>
      </c>
      <c r="I43" s="196" t="s">
        <v>6</v>
      </c>
      <c r="J43" s="197" t="s">
        <v>230</v>
      </c>
    </row>
    <row r="44" spans="1:19" x14ac:dyDescent="0.25">
      <c r="A44" s="504"/>
      <c r="B44" s="190" t="s">
        <v>7</v>
      </c>
      <c r="C44" s="191" t="s">
        <v>1042</v>
      </c>
      <c r="D44" s="192" t="s">
        <v>60</v>
      </c>
      <c r="E44" s="193">
        <v>1</v>
      </c>
      <c r="F44" s="192">
        <v>2</v>
      </c>
      <c r="G44" s="194">
        <f t="shared" si="0"/>
        <v>76</v>
      </c>
      <c r="H44" s="195">
        <f t="shared" si="1"/>
        <v>63.333333333333336</v>
      </c>
      <c r="I44" s="196" t="s">
        <v>7</v>
      </c>
      <c r="J44" s="197" t="s">
        <v>230</v>
      </c>
    </row>
    <row r="45" spans="1:19" x14ac:dyDescent="0.25">
      <c r="A45" s="504"/>
      <c r="B45" s="190" t="s">
        <v>9</v>
      </c>
      <c r="C45" s="191" t="s">
        <v>261</v>
      </c>
      <c r="D45" s="192" t="s">
        <v>60</v>
      </c>
      <c r="E45" s="193">
        <v>1</v>
      </c>
      <c r="F45" s="192">
        <v>2</v>
      </c>
      <c r="G45" s="194">
        <f t="shared" si="0"/>
        <v>76</v>
      </c>
      <c r="H45" s="195">
        <f t="shared" si="1"/>
        <v>63.333333333333336</v>
      </c>
      <c r="I45" s="196" t="s">
        <v>9</v>
      </c>
      <c r="J45" s="197" t="s">
        <v>230</v>
      </c>
    </row>
    <row r="46" spans="1:19" x14ac:dyDescent="0.25">
      <c r="A46" s="504"/>
      <c r="B46" s="190" t="s">
        <v>10</v>
      </c>
      <c r="C46" s="191" t="s">
        <v>262</v>
      </c>
      <c r="D46" s="192" t="s">
        <v>60</v>
      </c>
      <c r="E46" s="193">
        <v>1</v>
      </c>
      <c r="F46" s="192">
        <v>0</v>
      </c>
      <c r="G46" s="194">
        <f t="shared" si="0"/>
        <v>0</v>
      </c>
      <c r="H46" s="195">
        <f t="shared" si="1"/>
        <v>0</v>
      </c>
      <c r="I46" s="196" t="s">
        <v>10</v>
      </c>
      <c r="J46" s="197" t="s">
        <v>230</v>
      </c>
    </row>
    <row r="47" spans="1:19" x14ac:dyDescent="0.25">
      <c r="A47" s="504"/>
      <c r="B47" s="190" t="s">
        <v>8</v>
      </c>
      <c r="C47" s="191" t="s">
        <v>263</v>
      </c>
      <c r="D47" s="192" t="s">
        <v>60</v>
      </c>
      <c r="E47" s="193">
        <v>1</v>
      </c>
      <c r="F47" s="192">
        <v>2</v>
      </c>
      <c r="G47" s="194">
        <f t="shared" si="0"/>
        <v>76</v>
      </c>
      <c r="H47" s="195">
        <f t="shared" si="1"/>
        <v>63.333333333333336</v>
      </c>
      <c r="I47" s="196" t="s">
        <v>8</v>
      </c>
      <c r="J47" s="197" t="s">
        <v>230</v>
      </c>
    </row>
    <row r="48" spans="1:19" x14ac:dyDescent="0.25">
      <c r="A48" s="504"/>
      <c r="B48" s="190" t="s">
        <v>11</v>
      </c>
      <c r="C48" s="191" t="s">
        <v>264</v>
      </c>
      <c r="D48" s="192" t="s">
        <v>60</v>
      </c>
      <c r="E48" s="193">
        <v>1</v>
      </c>
      <c r="F48" s="192">
        <v>2</v>
      </c>
      <c r="G48" s="194">
        <f t="shared" si="0"/>
        <v>76</v>
      </c>
      <c r="H48" s="195">
        <f t="shared" si="1"/>
        <v>63.333333333333336</v>
      </c>
      <c r="I48" s="196" t="s">
        <v>11</v>
      </c>
      <c r="J48" s="197" t="s">
        <v>230</v>
      </c>
    </row>
    <row r="49" spans="1:10" x14ac:dyDescent="0.25">
      <c r="A49" s="504"/>
      <c r="B49" s="190" t="s">
        <v>1103</v>
      </c>
      <c r="C49" s="191" t="s">
        <v>1077</v>
      </c>
      <c r="D49" s="192" t="s">
        <v>60</v>
      </c>
      <c r="E49" s="193">
        <v>1</v>
      </c>
      <c r="F49" s="192">
        <v>0</v>
      </c>
      <c r="G49" s="194">
        <f t="shared" si="0"/>
        <v>0</v>
      </c>
      <c r="H49" s="195">
        <f t="shared" si="1"/>
        <v>0</v>
      </c>
      <c r="I49" s="196" t="s">
        <v>9</v>
      </c>
      <c r="J49" s="197" t="s">
        <v>230</v>
      </c>
    </row>
    <row r="50" spans="1:10" x14ac:dyDescent="0.25">
      <c r="A50" s="504"/>
      <c r="B50" s="199" t="s">
        <v>1044</v>
      </c>
      <c r="C50" s="200" t="s">
        <v>1045</v>
      </c>
      <c r="D50" s="201" t="s">
        <v>60</v>
      </c>
      <c r="E50" s="202">
        <v>1</v>
      </c>
      <c r="F50" s="201">
        <v>0</v>
      </c>
      <c r="G50" s="203">
        <f t="shared" si="0"/>
        <v>0</v>
      </c>
      <c r="H50" s="204">
        <f t="shared" si="1"/>
        <v>0</v>
      </c>
      <c r="I50" s="205" t="s">
        <v>15</v>
      </c>
      <c r="J50" s="206" t="s">
        <v>230</v>
      </c>
    </row>
    <row r="51" spans="1:10" x14ac:dyDescent="0.25">
      <c r="A51" s="504"/>
      <c r="B51" s="199" t="s">
        <v>1061</v>
      </c>
      <c r="C51" s="200" t="s">
        <v>596</v>
      </c>
      <c r="D51" s="201" t="s">
        <v>60</v>
      </c>
      <c r="E51" s="202">
        <v>1</v>
      </c>
      <c r="F51" s="201">
        <v>0</v>
      </c>
      <c r="G51" s="203">
        <f t="shared" si="0"/>
        <v>0</v>
      </c>
      <c r="H51" s="204">
        <f t="shared" si="1"/>
        <v>0</v>
      </c>
      <c r="I51" s="205" t="s">
        <v>315</v>
      </c>
      <c r="J51" s="206" t="s">
        <v>230</v>
      </c>
    </row>
    <row r="52" spans="1:10" x14ac:dyDescent="0.25">
      <c r="A52" s="504"/>
      <c r="B52" s="199" t="s">
        <v>1105</v>
      </c>
      <c r="C52" s="200" t="s">
        <v>1104</v>
      </c>
      <c r="D52" s="201" t="s">
        <v>60</v>
      </c>
      <c r="E52" s="202">
        <v>1</v>
      </c>
      <c r="F52" s="201">
        <v>0</v>
      </c>
      <c r="G52" s="203">
        <f t="shared" si="0"/>
        <v>0</v>
      </c>
      <c r="H52" s="204">
        <f t="shared" si="1"/>
        <v>0</v>
      </c>
      <c r="I52" s="205" t="s">
        <v>20</v>
      </c>
      <c r="J52" s="206" t="s">
        <v>230</v>
      </c>
    </row>
    <row r="53" spans="1:10" x14ac:dyDescent="0.25">
      <c r="A53" s="504"/>
      <c r="B53" s="199" t="s">
        <v>1106</v>
      </c>
      <c r="C53" s="200" t="s">
        <v>1107</v>
      </c>
      <c r="D53" s="201" t="s">
        <v>57</v>
      </c>
      <c r="E53" s="202">
        <v>2</v>
      </c>
      <c r="F53" s="201">
        <v>0</v>
      </c>
      <c r="G53" s="203">
        <f t="shared" si="0"/>
        <v>0</v>
      </c>
      <c r="H53" s="204">
        <f t="shared" si="1"/>
        <v>0</v>
      </c>
      <c r="I53" s="205" t="s">
        <v>20</v>
      </c>
      <c r="J53" s="206" t="s">
        <v>232</v>
      </c>
    </row>
    <row r="54" spans="1:10" x14ac:dyDescent="0.25">
      <c r="A54" s="504"/>
      <c r="B54" s="199" t="s">
        <v>6</v>
      </c>
      <c r="C54" s="200" t="s">
        <v>259</v>
      </c>
      <c r="D54" s="201" t="s">
        <v>60</v>
      </c>
      <c r="E54" s="202">
        <v>1</v>
      </c>
      <c r="F54" s="201">
        <v>0</v>
      </c>
      <c r="G54" s="203">
        <f t="shared" si="0"/>
        <v>0</v>
      </c>
      <c r="H54" s="204">
        <f t="shared" si="1"/>
        <v>0</v>
      </c>
      <c r="I54" s="205" t="s">
        <v>20</v>
      </c>
      <c r="J54" s="206" t="s">
        <v>230</v>
      </c>
    </row>
    <row r="55" spans="1:10" x14ac:dyDescent="0.25">
      <c r="A55" s="504"/>
      <c r="B55" s="199" t="s">
        <v>1108</v>
      </c>
      <c r="C55" s="200" t="s">
        <v>1109</v>
      </c>
      <c r="D55" s="201" t="s">
        <v>60</v>
      </c>
      <c r="E55" s="202">
        <v>1</v>
      </c>
      <c r="F55" s="201">
        <v>0</v>
      </c>
      <c r="G55" s="203">
        <f t="shared" si="0"/>
        <v>0</v>
      </c>
      <c r="H55" s="204">
        <f t="shared" si="1"/>
        <v>0</v>
      </c>
      <c r="I55" s="205" t="s">
        <v>20</v>
      </c>
      <c r="J55" s="206" t="s">
        <v>230</v>
      </c>
    </row>
    <row r="56" spans="1:10" x14ac:dyDescent="0.25">
      <c r="A56" s="504"/>
      <c r="B56" s="199" t="s">
        <v>1089</v>
      </c>
      <c r="C56" s="200" t="s">
        <v>296</v>
      </c>
      <c r="D56" s="201" t="s">
        <v>57</v>
      </c>
      <c r="E56" s="202">
        <v>2</v>
      </c>
      <c r="F56" s="201">
        <v>0</v>
      </c>
      <c r="G56" s="203">
        <f t="shared" si="0"/>
        <v>0</v>
      </c>
      <c r="H56" s="204">
        <f t="shared" si="1"/>
        <v>0</v>
      </c>
      <c r="I56" s="205" t="s">
        <v>20</v>
      </c>
      <c r="J56" s="206" t="s">
        <v>230</v>
      </c>
    </row>
    <row r="57" spans="1:10" x14ac:dyDescent="0.25">
      <c r="A57" s="504"/>
      <c r="B57" s="199" t="s">
        <v>1110</v>
      </c>
      <c r="C57" s="200" t="s">
        <v>1081</v>
      </c>
      <c r="D57" s="201" t="s">
        <v>60</v>
      </c>
      <c r="E57" s="202">
        <v>1</v>
      </c>
      <c r="F57" s="201">
        <v>0</v>
      </c>
      <c r="G57" s="203">
        <f t="shared" si="0"/>
        <v>0</v>
      </c>
      <c r="H57" s="204">
        <f t="shared" si="1"/>
        <v>0</v>
      </c>
      <c r="I57" s="205" t="s">
        <v>9</v>
      </c>
      <c r="J57" s="206" t="s">
        <v>230</v>
      </c>
    </row>
    <row r="58" spans="1:10" x14ac:dyDescent="0.25">
      <c r="A58" s="504"/>
      <c r="B58" s="40" t="s">
        <v>1114</v>
      </c>
      <c r="C58" s="41" t="s">
        <v>1115</v>
      </c>
      <c r="D58" s="42" t="s">
        <v>60</v>
      </c>
      <c r="E58" s="43">
        <v>1</v>
      </c>
      <c r="F58" s="42">
        <v>2</v>
      </c>
      <c r="G58" s="44">
        <f>F58*$F$2</f>
        <v>76</v>
      </c>
      <c r="H58" s="45">
        <f t="shared" si="1"/>
        <v>63.333333333333336</v>
      </c>
      <c r="I58" s="47" t="s">
        <v>20</v>
      </c>
      <c r="J58" s="46" t="s">
        <v>230</v>
      </c>
    </row>
    <row r="59" spans="1:10" x14ac:dyDescent="0.25">
      <c r="A59" s="504"/>
      <c r="B59" s="40" t="s">
        <v>1116</v>
      </c>
      <c r="C59" s="41" t="s">
        <v>454</v>
      </c>
      <c r="D59" s="42" t="s">
        <v>57</v>
      </c>
      <c r="E59" s="43">
        <v>2</v>
      </c>
      <c r="F59" s="42">
        <v>2</v>
      </c>
      <c r="G59" s="44">
        <f>F59*$F$2</f>
        <v>76</v>
      </c>
      <c r="H59" s="45">
        <f t="shared" si="1"/>
        <v>63.333333333333336</v>
      </c>
      <c r="I59" s="47" t="s">
        <v>20</v>
      </c>
      <c r="J59" s="46" t="s">
        <v>232</v>
      </c>
    </row>
    <row r="60" spans="1:10" x14ac:dyDescent="0.25">
      <c r="A60" s="504"/>
      <c r="B60" s="40" t="s">
        <v>1117</v>
      </c>
      <c r="C60" s="41" t="s">
        <v>1118</v>
      </c>
      <c r="D60" s="42" t="s">
        <v>60</v>
      </c>
      <c r="E60" s="43">
        <v>1</v>
      </c>
      <c r="F60" s="42">
        <v>2</v>
      </c>
      <c r="G60" s="44">
        <f>F60*$F$2</f>
        <v>76</v>
      </c>
      <c r="H60" s="45">
        <f t="shared" si="1"/>
        <v>63.333333333333336</v>
      </c>
      <c r="I60" s="47" t="s">
        <v>1119</v>
      </c>
      <c r="J60" s="46" t="s">
        <v>230</v>
      </c>
    </row>
    <row r="61" spans="1:10" x14ac:dyDescent="0.25">
      <c r="A61" s="504"/>
      <c r="B61" s="40" t="s">
        <v>1120</v>
      </c>
      <c r="C61" s="41" t="s">
        <v>1121</v>
      </c>
      <c r="D61" s="42" t="s">
        <v>57</v>
      </c>
      <c r="E61" s="43">
        <v>2</v>
      </c>
      <c r="F61" s="42">
        <v>2</v>
      </c>
      <c r="G61" s="44">
        <f>F61*$F$2</f>
        <v>76</v>
      </c>
      <c r="H61" s="45">
        <f t="shared" si="1"/>
        <v>63.333333333333336</v>
      </c>
      <c r="I61" s="47" t="s">
        <v>20</v>
      </c>
      <c r="J61" s="46" t="s">
        <v>232</v>
      </c>
    </row>
    <row r="62" spans="1:10" x14ac:dyDescent="0.25">
      <c r="A62" s="504"/>
      <c r="B62" s="40" t="s">
        <v>147</v>
      </c>
      <c r="C62" s="48" t="s">
        <v>456</v>
      </c>
      <c r="D62" s="42" t="s">
        <v>54</v>
      </c>
      <c r="E62" s="42">
        <v>2</v>
      </c>
      <c r="F62" s="42">
        <v>2</v>
      </c>
      <c r="G62" s="44">
        <f>F62*$F$2</f>
        <v>76</v>
      </c>
      <c r="H62" s="45">
        <f t="shared" si="1"/>
        <v>63.333333333333336</v>
      </c>
      <c r="I62" s="47" t="s">
        <v>20</v>
      </c>
      <c r="J62" s="46" t="s">
        <v>233</v>
      </c>
    </row>
    <row r="63" spans="1:10" x14ac:dyDescent="0.25">
      <c r="A63" s="504"/>
      <c r="B63" s="40" t="s">
        <v>93</v>
      </c>
      <c r="C63" s="48" t="s">
        <v>463</v>
      </c>
      <c r="D63" s="42" t="s">
        <v>54</v>
      </c>
      <c r="E63" s="42">
        <v>2</v>
      </c>
      <c r="F63" s="42">
        <v>2</v>
      </c>
      <c r="G63" s="44">
        <f t="shared" ref="G63:G94" si="2">F63*$F$2</f>
        <v>76</v>
      </c>
      <c r="H63" s="45">
        <f t="shared" si="1"/>
        <v>63.333333333333336</v>
      </c>
      <c r="I63" s="47" t="s">
        <v>20</v>
      </c>
      <c r="J63" s="46" t="s">
        <v>231</v>
      </c>
    </row>
    <row r="64" spans="1:10" ht="15" customHeight="1" x14ac:dyDescent="0.25">
      <c r="A64" s="504" t="s">
        <v>1064</v>
      </c>
      <c r="B64" s="190" t="s">
        <v>1097</v>
      </c>
      <c r="C64" s="191" t="s">
        <v>250</v>
      </c>
      <c r="D64" s="192" t="s">
        <v>1098</v>
      </c>
      <c r="E64" s="193">
        <v>1</v>
      </c>
      <c r="F64" s="192">
        <v>4</v>
      </c>
      <c r="G64" s="194">
        <f t="shared" si="2"/>
        <v>152</v>
      </c>
      <c r="H64" s="195">
        <f t="shared" si="1"/>
        <v>126.66666666666667</v>
      </c>
      <c r="I64" s="196" t="s">
        <v>14</v>
      </c>
      <c r="J64" s="197" t="s">
        <v>230</v>
      </c>
    </row>
    <row r="65" spans="1:10" x14ac:dyDescent="0.25">
      <c r="A65" s="504"/>
      <c r="B65" s="190" t="s">
        <v>1099</v>
      </c>
      <c r="C65" s="191" t="s">
        <v>256</v>
      </c>
      <c r="D65" s="192" t="s">
        <v>54</v>
      </c>
      <c r="E65" s="193">
        <v>1</v>
      </c>
      <c r="F65" s="192">
        <v>0</v>
      </c>
      <c r="G65" s="194">
        <f t="shared" si="2"/>
        <v>0</v>
      </c>
      <c r="H65" s="195">
        <f t="shared" si="1"/>
        <v>0</v>
      </c>
      <c r="I65" s="196" t="s">
        <v>15</v>
      </c>
      <c r="J65" s="197" t="s">
        <v>230</v>
      </c>
    </row>
    <row r="66" spans="1:10" x14ac:dyDescent="0.25">
      <c r="A66" s="504"/>
      <c r="B66" s="190" t="s">
        <v>12</v>
      </c>
      <c r="C66" s="191" t="s">
        <v>253</v>
      </c>
      <c r="D66" s="192" t="s">
        <v>54</v>
      </c>
      <c r="E66" s="193">
        <v>1</v>
      </c>
      <c r="F66" s="192">
        <v>2</v>
      </c>
      <c r="G66" s="194">
        <f t="shared" si="2"/>
        <v>76</v>
      </c>
      <c r="H66" s="195">
        <f t="shared" si="1"/>
        <v>63.333333333333336</v>
      </c>
      <c r="I66" s="196" t="s">
        <v>12</v>
      </c>
      <c r="J66" s="197" t="s">
        <v>230</v>
      </c>
    </row>
    <row r="67" spans="1:10" x14ac:dyDescent="0.25">
      <c r="A67" s="504"/>
      <c r="B67" s="190" t="s">
        <v>1031</v>
      </c>
      <c r="C67" s="191" t="s">
        <v>1032</v>
      </c>
      <c r="D67" s="192" t="s">
        <v>54</v>
      </c>
      <c r="E67" s="193">
        <v>1</v>
      </c>
      <c r="F67" s="192">
        <v>2</v>
      </c>
      <c r="G67" s="194">
        <f t="shared" si="2"/>
        <v>76</v>
      </c>
      <c r="H67" s="195">
        <f t="shared" si="1"/>
        <v>63.333333333333336</v>
      </c>
      <c r="I67" s="196" t="s">
        <v>13</v>
      </c>
      <c r="J67" s="197" t="s">
        <v>575</v>
      </c>
    </row>
    <row r="68" spans="1:10" x14ac:dyDescent="0.25">
      <c r="A68" s="504"/>
      <c r="B68" s="190" t="s">
        <v>1100</v>
      </c>
      <c r="C68" s="191" t="s">
        <v>1092</v>
      </c>
      <c r="D68" s="192" t="s">
        <v>54</v>
      </c>
      <c r="E68" s="193">
        <v>1</v>
      </c>
      <c r="F68" s="192">
        <v>0</v>
      </c>
      <c r="G68" s="194">
        <f t="shared" si="2"/>
        <v>0</v>
      </c>
      <c r="H68" s="195">
        <f t="shared" si="1"/>
        <v>0</v>
      </c>
      <c r="I68" s="196" t="s">
        <v>13</v>
      </c>
      <c r="J68" s="197" t="s">
        <v>575</v>
      </c>
    </row>
    <row r="69" spans="1:10" x14ac:dyDescent="0.25">
      <c r="A69" s="504"/>
      <c r="B69" s="190" t="s">
        <v>1033</v>
      </c>
      <c r="C69" s="191" t="s">
        <v>1034</v>
      </c>
      <c r="D69" s="192" t="s">
        <v>54</v>
      </c>
      <c r="E69" s="193">
        <v>1</v>
      </c>
      <c r="F69" s="192">
        <v>2</v>
      </c>
      <c r="G69" s="194">
        <f t="shared" si="2"/>
        <v>76</v>
      </c>
      <c r="H69" s="195">
        <f t="shared" ref="H69:H94" si="3">(G69)*$C$101/60</f>
        <v>63.333333333333336</v>
      </c>
      <c r="I69" s="196" t="s">
        <v>13</v>
      </c>
      <c r="J69" s="197" t="s">
        <v>230</v>
      </c>
    </row>
    <row r="70" spans="1:10" x14ac:dyDescent="0.25">
      <c r="A70" s="504"/>
      <c r="B70" s="190" t="s">
        <v>1035</v>
      </c>
      <c r="C70" s="191" t="s">
        <v>1036</v>
      </c>
      <c r="D70" s="192" t="s">
        <v>60</v>
      </c>
      <c r="E70" s="193">
        <v>1</v>
      </c>
      <c r="F70" s="192">
        <v>2</v>
      </c>
      <c r="G70" s="194">
        <f t="shared" si="2"/>
        <v>76</v>
      </c>
      <c r="H70" s="195">
        <f t="shared" si="3"/>
        <v>63.333333333333336</v>
      </c>
      <c r="I70" s="196" t="s">
        <v>21</v>
      </c>
      <c r="J70" s="197" t="s">
        <v>230</v>
      </c>
    </row>
    <row r="71" spans="1:10" x14ac:dyDescent="0.25">
      <c r="A71" s="504"/>
      <c r="B71" s="190" t="s">
        <v>1037</v>
      </c>
      <c r="C71" s="191" t="s">
        <v>1038</v>
      </c>
      <c r="D71" s="192" t="s">
        <v>60</v>
      </c>
      <c r="E71" s="193">
        <v>1</v>
      </c>
      <c r="F71" s="192">
        <v>2</v>
      </c>
      <c r="G71" s="194">
        <f t="shared" si="2"/>
        <v>76</v>
      </c>
      <c r="H71" s="195">
        <f t="shared" si="3"/>
        <v>63.333333333333336</v>
      </c>
      <c r="I71" s="196" t="s">
        <v>21</v>
      </c>
      <c r="J71" s="197" t="s">
        <v>230</v>
      </c>
    </row>
    <row r="72" spans="1:10" x14ac:dyDescent="0.25">
      <c r="A72" s="504"/>
      <c r="B72" s="190" t="s">
        <v>1101</v>
      </c>
      <c r="C72" s="191" t="s">
        <v>1080</v>
      </c>
      <c r="D72" s="192" t="s">
        <v>60</v>
      </c>
      <c r="E72" s="193">
        <v>1</v>
      </c>
      <c r="F72" s="192">
        <v>0</v>
      </c>
      <c r="G72" s="194">
        <f t="shared" si="2"/>
        <v>0</v>
      </c>
      <c r="H72" s="195">
        <f t="shared" si="3"/>
        <v>0</v>
      </c>
      <c r="I72" s="196" t="s">
        <v>5</v>
      </c>
      <c r="J72" s="197" t="s">
        <v>230</v>
      </c>
    </row>
    <row r="73" spans="1:10" x14ac:dyDescent="0.25">
      <c r="A73" s="504"/>
      <c r="B73" s="190" t="s">
        <v>1102</v>
      </c>
      <c r="C73" s="191" t="s">
        <v>258</v>
      </c>
      <c r="D73" s="192" t="s">
        <v>60</v>
      </c>
      <c r="E73" s="193">
        <v>1</v>
      </c>
      <c r="F73" s="192">
        <v>2</v>
      </c>
      <c r="G73" s="194">
        <f t="shared" si="2"/>
        <v>76</v>
      </c>
      <c r="H73" s="195">
        <f t="shared" si="3"/>
        <v>63.333333333333336</v>
      </c>
      <c r="I73" s="196" t="s">
        <v>5</v>
      </c>
      <c r="J73" s="197" t="s">
        <v>230</v>
      </c>
    </row>
    <row r="74" spans="1:10" x14ac:dyDescent="0.25">
      <c r="A74" s="504"/>
      <c r="B74" s="190" t="s">
        <v>6</v>
      </c>
      <c r="C74" s="191" t="s">
        <v>259</v>
      </c>
      <c r="D74" s="192" t="s">
        <v>60</v>
      </c>
      <c r="E74" s="193">
        <v>1</v>
      </c>
      <c r="F74" s="192">
        <v>0</v>
      </c>
      <c r="G74" s="194">
        <f t="shared" si="2"/>
        <v>0</v>
      </c>
      <c r="H74" s="195">
        <f t="shared" si="3"/>
        <v>0</v>
      </c>
      <c r="I74" s="196" t="s">
        <v>6</v>
      </c>
      <c r="J74" s="197" t="s">
        <v>230</v>
      </c>
    </row>
    <row r="75" spans="1:10" x14ac:dyDescent="0.25">
      <c r="A75" s="504"/>
      <c r="B75" s="190" t="s">
        <v>7</v>
      </c>
      <c r="C75" s="191" t="s">
        <v>1042</v>
      </c>
      <c r="D75" s="192" t="s">
        <v>60</v>
      </c>
      <c r="E75" s="193">
        <v>1</v>
      </c>
      <c r="F75" s="192">
        <v>2</v>
      </c>
      <c r="G75" s="194">
        <f t="shared" si="2"/>
        <v>76</v>
      </c>
      <c r="H75" s="195">
        <f t="shared" si="3"/>
        <v>63.333333333333336</v>
      </c>
      <c r="I75" s="196" t="s">
        <v>7</v>
      </c>
      <c r="J75" s="197" t="s">
        <v>230</v>
      </c>
    </row>
    <row r="76" spans="1:10" x14ac:dyDescent="0.25">
      <c r="A76" s="504"/>
      <c r="B76" s="190" t="s">
        <v>9</v>
      </c>
      <c r="C76" s="191" t="s">
        <v>261</v>
      </c>
      <c r="D76" s="192" t="s">
        <v>60</v>
      </c>
      <c r="E76" s="193">
        <v>1</v>
      </c>
      <c r="F76" s="192">
        <v>2</v>
      </c>
      <c r="G76" s="194">
        <f t="shared" si="2"/>
        <v>76</v>
      </c>
      <c r="H76" s="195">
        <f t="shared" si="3"/>
        <v>63.333333333333336</v>
      </c>
      <c r="I76" s="196" t="s">
        <v>9</v>
      </c>
      <c r="J76" s="197" t="s">
        <v>230</v>
      </c>
    </row>
    <row r="77" spans="1:10" x14ac:dyDescent="0.25">
      <c r="A77" s="504"/>
      <c r="B77" s="190" t="s">
        <v>10</v>
      </c>
      <c r="C77" s="191" t="s">
        <v>262</v>
      </c>
      <c r="D77" s="192" t="s">
        <v>60</v>
      </c>
      <c r="E77" s="193">
        <v>1</v>
      </c>
      <c r="F77" s="192">
        <v>2</v>
      </c>
      <c r="G77" s="194">
        <f t="shared" si="2"/>
        <v>76</v>
      </c>
      <c r="H77" s="195">
        <f t="shared" si="3"/>
        <v>63.333333333333336</v>
      </c>
      <c r="I77" s="196" t="s">
        <v>10</v>
      </c>
      <c r="J77" s="197" t="s">
        <v>230</v>
      </c>
    </row>
    <row r="78" spans="1:10" x14ac:dyDescent="0.25">
      <c r="A78" s="504"/>
      <c r="B78" s="190" t="s">
        <v>8</v>
      </c>
      <c r="C78" s="191" t="s">
        <v>263</v>
      </c>
      <c r="D78" s="192" t="s">
        <v>60</v>
      </c>
      <c r="E78" s="193">
        <v>1</v>
      </c>
      <c r="F78" s="192">
        <v>0</v>
      </c>
      <c r="G78" s="194">
        <f t="shared" si="2"/>
        <v>0</v>
      </c>
      <c r="H78" s="195">
        <f t="shared" si="3"/>
        <v>0</v>
      </c>
      <c r="I78" s="196" t="s">
        <v>8</v>
      </c>
      <c r="J78" s="197" t="s">
        <v>230</v>
      </c>
    </row>
    <row r="79" spans="1:10" x14ac:dyDescent="0.25">
      <c r="A79" s="504"/>
      <c r="B79" s="190" t="s">
        <v>11</v>
      </c>
      <c r="C79" s="191" t="s">
        <v>264</v>
      </c>
      <c r="D79" s="192" t="s">
        <v>60</v>
      </c>
      <c r="E79" s="193">
        <v>1</v>
      </c>
      <c r="F79" s="192">
        <v>2</v>
      </c>
      <c r="G79" s="194">
        <f t="shared" si="2"/>
        <v>76</v>
      </c>
      <c r="H79" s="195">
        <f t="shared" si="3"/>
        <v>63.333333333333336</v>
      </c>
      <c r="I79" s="196" t="s">
        <v>11</v>
      </c>
      <c r="J79" s="197" t="s">
        <v>230</v>
      </c>
    </row>
    <row r="80" spans="1:10" x14ac:dyDescent="0.25">
      <c r="A80" s="504"/>
      <c r="B80" s="190" t="s">
        <v>1103</v>
      </c>
      <c r="C80" s="191" t="s">
        <v>1077</v>
      </c>
      <c r="D80" s="192" t="s">
        <v>60</v>
      </c>
      <c r="E80" s="193">
        <v>1</v>
      </c>
      <c r="F80" s="192">
        <v>0</v>
      </c>
      <c r="G80" s="194">
        <f t="shared" si="2"/>
        <v>0</v>
      </c>
      <c r="H80" s="195">
        <f t="shared" si="3"/>
        <v>0</v>
      </c>
      <c r="I80" s="196" t="s">
        <v>9</v>
      </c>
      <c r="J80" s="197" t="s">
        <v>230</v>
      </c>
    </row>
    <row r="81" spans="1:10" x14ac:dyDescent="0.25">
      <c r="A81" s="504"/>
      <c r="B81" s="199" t="s">
        <v>1044</v>
      </c>
      <c r="C81" s="200" t="s">
        <v>1045</v>
      </c>
      <c r="D81" s="201" t="s">
        <v>60</v>
      </c>
      <c r="E81" s="202">
        <v>1</v>
      </c>
      <c r="F81" s="201">
        <v>2</v>
      </c>
      <c r="G81" s="203">
        <f t="shared" si="2"/>
        <v>76</v>
      </c>
      <c r="H81" s="204">
        <f t="shared" si="3"/>
        <v>63.333333333333336</v>
      </c>
      <c r="I81" s="205" t="s">
        <v>15</v>
      </c>
      <c r="J81" s="206" t="s">
        <v>230</v>
      </c>
    </row>
    <row r="82" spans="1:10" x14ac:dyDescent="0.25">
      <c r="A82" s="504"/>
      <c r="B82" s="199" t="s">
        <v>1061</v>
      </c>
      <c r="C82" s="200" t="s">
        <v>596</v>
      </c>
      <c r="D82" s="201" t="s">
        <v>60</v>
      </c>
      <c r="E82" s="202">
        <v>1</v>
      </c>
      <c r="F82" s="201">
        <v>2</v>
      </c>
      <c r="G82" s="203">
        <f t="shared" si="2"/>
        <v>76</v>
      </c>
      <c r="H82" s="204">
        <f t="shared" si="3"/>
        <v>63.333333333333336</v>
      </c>
      <c r="I82" s="205" t="s">
        <v>315</v>
      </c>
      <c r="J82" s="206" t="s">
        <v>230</v>
      </c>
    </row>
    <row r="83" spans="1:10" x14ac:dyDescent="0.25">
      <c r="A83" s="504"/>
      <c r="B83" s="199" t="s">
        <v>1105</v>
      </c>
      <c r="C83" s="200" t="s">
        <v>1104</v>
      </c>
      <c r="D83" s="201" t="s">
        <v>60</v>
      </c>
      <c r="E83" s="202">
        <v>1</v>
      </c>
      <c r="F83" s="201">
        <v>0</v>
      </c>
      <c r="G83" s="203">
        <f t="shared" si="2"/>
        <v>0</v>
      </c>
      <c r="H83" s="204">
        <f t="shared" si="3"/>
        <v>0</v>
      </c>
      <c r="I83" s="205" t="s">
        <v>20</v>
      </c>
      <c r="J83" s="206" t="s">
        <v>230</v>
      </c>
    </row>
    <row r="84" spans="1:10" x14ac:dyDescent="0.25">
      <c r="A84" s="504"/>
      <c r="B84" s="199" t="s">
        <v>1106</v>
      </c>
      <c r="C84" s="200" t="s">
        <v>1107</v>
      </c>
      <c r="D84" s="201" t="s">
        <v>57</v>
      </c>
      <c r="E84" s="202">
        <v>2</v>
      </c>
      <c r="F84" s="201">
        <v>0</v>
      </c>
      <c r="G84" s="203">
        <f t="shared" si="2"/>
        <v>0</v>
      </c>
      <c r="H84" s="204">
        <f t="shared" si="3"/>
        <v>0</v>
      </c>
      <c r="I84" s="205" t="s">
        <v>20</v>
      </c>
      <c r="J84" s="206" t="s">
        <v>232</v>
      </c>
    </row>
    <row r="85" spans="1:10" x14ac:dyDescent="0.25">
      <c r="A85" s="504"/>
      <c r="B85" s="199" t="s">
        <v>6</v>
      </c>
      <c r="C85" s="200" t="s">
        <v>259</v>
      </c>
      <c r="D85" s="201" t="s">
        <v>60</v>
      </c>
      <c r="E85" s="202">
        <v>1</v>
      </c>
      <c r="F85" s="201">
        <v>2</v>
      </c>
      <c r="G85" s="203">
        <f t="shared" si="2"/>
        <v>76</v>
      </c>
      <c r="H85" s="204">
        <f t="shared" si="3"/>
        <v>63.333333333333336</v>
      </c>
      <c r="I85" s="205" t="s">
        <v>6</v>
      </c>
      <c r="J85" s="206" t="s">
        <v>230</v>
      </c>
    </row>
    <row r="86" spans="1:10" x14ac:dyDescent="0.25">
      <c r="A86" s="504"/>
      <c r="B86" s="199" t="s">
        <v>1108</v>
      </c>
      <c r="C86" s="200" t="s">
        <v>1109</v>
      </c>
      <c r="D86" s="201" t="s">
        <v>60</v>
      </c>
      <c r="E86" s="202">
        <v>1</v>
      </c>
      <c r="F86" s="201">
        <v>0</v>
      </c>
      <c r="G86" s="203">
        <f t="shared" si="2"/>
        <v>0</v>
      </c>
      <c r="H86" s="204">
        <f t="shared" si="3"/>
        <v>0</v>
      </c>
      <c r="I86" s="205" t="s">
        <v>20</v>
      </c>
      <c r="J86" s="206" t="s">
        <v>230</v>
      </c>
    </row>
    <row r="87" spans="1:10" x14ac:dyDescent="0.25">
      <c r="A87" s="504"/>
      <c r="B87" s="199" t="s">
        <v>1089</v>
      </c>
      <c r="C87" s="200" t="s">
        <v>296</v>
      </c>
      <c r="D87" s="201" t="s">
        <v>57</v>
      </c>
      <c r="E87" s="202">
        <v>2</v>
      </c>
      <c r="F87" s="201">
        <v>2</v>
      </c>
      <c r="G87" s="203">
        <f t="shared" si="2"/>
        <v>76</v>
      </c>
      <c r="H87" s="204">
        <f t="shared" si="3"/>
        <v>63.333333333333336</v>
      </c>
      <c r="I87" s="205" t="s">
        <v>20</v>
      </c>
      <c r="J87" s="206" t="s">
        <v>230</v>
      </c>
    </row>
    <row r="88" spans="1:10" x14ac:dyDescent="0.25">
      <c r="A88" s="504"/>
      <c r="B88" s="199" t="s">
        <v>1110</v>
      </c>
      <c r="C88" s="200" t="s">
        <v>1081</v>
      </c>
      <c r="D88" s="201" t="s">
        <v>60</v>
      </c>
      <c r="E88" s="202">
        <v>1</v>
      </c>
      <c r="F88" s="201">
        <v>0</v>
      </c>
      <c r="G88" s="203">
        <f t="shared" si="2"/>
        <v>0</v>
      </c>
      <c r="H88" s="204">
        <f t="shared" si="3"/>
        <v>0</v>
      </c>
      <c r="I88" s="205" t="s">
        <v>9</v>
      </c>
      <c r="J88" s="206" t="s">
        <v>230</v>
      </c>
    </row>
    <row r="89" spans="1:10" x14ac:dyDescent="0.25">
      <c r="A89" s="504"/>
      <c r="B89" s="40" t="s">
        <v>1122</v>
      </c>
      <c r="C89" s="41" t="s">
        <v>464</v>
      </c>
      <c r="D89" s="42" t="s">
        <v>54</v>
      </c>
      <c r="E89" s="43">
        <v>2</v>
      </c>
      <c r="F89" s="42">
        <v>2</v>
      </c>
      <c r="G89" s="44">
        <f t="shared" si="2"/>
        <v>76</v>
      </c>
      <c r="H89" s="45">
        <f t="shared" si="3"/>
        <v>63.333333333333336</v>
      </c>
      <c r="I89" s="47" t="s">
        <v>20</v>
      </c>
      <c r="J89" s="46" t="s">
        <v>231</v>
      </c>
    </row>
    <row r="90" spans="1:10" x14ac:dyDescent="0.25">
      <c r="A90" s="504"/>
      <c r="B90" s="40" t="s">
        <v>1123</v>
      </c>
      <c r="C90" s="48" t="s">
        <v>465</v>
      </c>
      <c r="D90" s="42" t="s">
        <v>54</v>
      </c>
      <c r="E90" s="42">
        <v>2</v>
      </c>
      <c r="F90" s="42">
        <v>2</v>
      </c>
      <c r="G90" s="44">
        <f t="shared" si="2"/>
        <v>76</v>
      </c>
      <c r="H90" s="45">
        <f t="shared" si="3"/>
        <v>63.333333333333336</v>
      </c>
      <c r="I90" s="47" t="s">
        <v>20</v>
      </c>
      <c r="J90" s="46" t="s">
        <v>231</v>
      </c>
    </row>
    <row r="91" spans="1:10" ht="15.75" thickBot="1" x14ac:dyDescent="0.3">
      <c r="A91" s="504"/>
      <c r="B91" s="40" t="s">
        <v>1124</v>
      </c>
      <c r="C91" s="48" t="s">
        <v>467</v>
      </c>
      <c r="D91" s="42" t="s">
        <v>54</v>
      </c>
      <c r="E91" s="42">
        <v>2</v>
      </c>
      <c r="F91" s="42">
        <v>2</v>
      </c>
      <c r="G91" s="44">
        <f t="shared" si="2"/>
        <v>76</v>
      </c>
      <c r="H91" s="45">
        <f t="shared" si="3"/>
        <v>63.333333333333336</v>
      </c>
      <c r="I91" s="47" t="s">
        <v>20</v>
      </c>
      <c r="J91" s="46" t="s">
        <v>231</v>
      </c>
    </row>
    <row r="92" spans="1:10" ht="15.75" thickBot="1" x14ac:dyDescent="0.3">
      <c r="A92" s="506" t="s">
        <v>297</v>
      </c>
      <c r="B92" s="507"/>
      <c r="C92" s="42" t="s">
        <v>298</v>
      </c>
      <c r="D92" s="42" t="s">
        <v>60</v>
      </c>
      <c r="E92" s="42">
        <v>1</v>
      </c>
      <c r="F92" s="42">
        <v>2</v>
      </c>
      <c r="G92" s="44">
        <f t="shared" si="2"/>
        <v>76</v>
      </c>
      <c r="H92" s="45">
        <f t="shared" si="3"/>
        <v>63.333333333333336</v>
      </c>
      <c r="I92" s="47" t="s">
        <v>16</v>
      </c>
      <c r="J92" s="46" t="s">
        <v>230</v>
      </c>
    </row>
    <row r="93" spans="1:10" ht="15.75" thickBot="1" x14ac:dyDescent="0.3">
      <c r="A93" s="598" t="s">
        <v>1070</v>
      </c>
      <c r="B93" s="599"/>
      <c r="C93" s="42" t="s">
        <v>1071</v>
      </c>
      <c r="D93" s="42" t="s">
        <v>60</v>
      </c>
      <c r="E93" s="42">
        <v>1</v>
      </c>
      <c r="F93" s="42">
        <v>2</v>
      </c>
      <c r="G93" s="44">
        <f t="shared" si="2"/>
        <v>76</v>
      </c>
      <c r="H93" s="45">
        <f t="shared" si="3"/>
        <v>63.333333333333336</v>
      </c>
      <c r="I93" s="47" t="s">
        <v>15</v>
      </c>
      <c r="J93" s="46" t="s">
        <v>230</v>
      </c>
    </row>
    <row r="94" spans="1:10" ht="15.75" thickBot="1" x14ac:dyDescent="0.3">
      <c r="A94" s="506" t="s">
        <v>300</v>
      </c>
      <c r="B94" s="507"/>
      <c r="C94" s="42" t="s">
        <v>301</v>
      </c>
      <c r="D94" s="42" t="s">
        <v>60</v>
      </c>
      <c r="E94" s="42">
        <v>1</v>
      </c>
      <c r="F94" s="42">
        <v>2</v>
      </c>
      <c r="G94" s="44">
        <f t="shared" si="2"/>
        <v>76</v>
      </c>
      <c r="H94" s="45">
        <f t="shared" si="3"/>
        <v>63.333333333333336</v>
      </c>
      <c r="I94" s="47" t="s">
        <v>17</v>
      </c>
      <c r="J94" s="46" t="s">
        <v>230</v>
      </c>
    </row>
    <row r="95" spans="1:10" ht="16.5" thickBot="1" x14ac:dyDescent="0.3">
      <c r="A95" s="508" t="s">
        <v>302</v>
      </c>
      <c r="B95" s="509"/>
      <c r="C95" s="509"/>
      <c r="D95" s="509"/>
      <c r="E95" s="510"/>
      <c r="F95" s="53">
        <f>SUM(F5:F91)*F2</f>
        <v>4104</v>
      </c>
      <c r="G95" s="53">
        <f>SUM(G5:G94)</f>
        <v>4332</v>
      </c>
      <c r="H95" s="54"/>
      <c r="I95" s="36"/>
    </row>
    <row r="96" spans="1:10" ht="16.5" thickBot="1" x14ac:dyDescent="0.3">
      <c r="A96" s="508" t="s">
        <v>303</v>
      </c>
      <c r="B96" s="509"/>
      <c r="C96" s="509"/>
      <c r="D96" s="509"/>
      <c r="E96" s="510"/>
      <c r="F96" s="55">
        <f>(F95*$C$101)/60</f>
        <v>3420</v>
      </c>
      <c r="G96" s="53" t="s">
        <v>304</v>
      </c>
      <c r="H96" s="55" t="e">
        <f>SUM(F96+#REF!+#REF!)</f>
        <v>#REF!</v>
      </c>
      <c r="I96" s="36"/>
    </row>
    <row r="97" spans="1:9" ht="16.5" thickBot="1" x14ac:dyDescent="0.3">
      <c r="A97" s="508" t="s">
        <v>305</v>
      </c>
      <c r="B97" s="509"/>
      <c r="C97" s="509"/>
      <c r="D97" s="509"/>
      <c r="E97" s="509"/>
      <c r="F97" s="509"/>
      <c r="G97" s="510"/>
      <c r="H97" s="56" t="e">
        <f>H96</f>
        <v>#REF!</v>
      </c>
      <c r="I97" s="57"/>
    </row>
    <row r="98" spans="1:9" ht="15.75" thickBot="1" x14ac:dyDescent="0.3">
      <c r="A98" s="506" t="s">
        <v>306</v>
      </c>
      <c r="B98" s="511"/>
      <c r="C98" s="511"/>
      <c r="D98" s="511"/>
      <c r="E98" s="511"/>
      <c r="F98" s="511"/>
      <c r="G98" s="512"/>
      <c r="H98" s="58">
        <v>150</v>
      </c>
      <c r="I98" s="59"/>
    </row>
    <row r="99" spans="1:9" ht="15.75" thickBot="1" x14ac:dyDescent="0.3">
      <c r="A99" s="506" t="s">
        <v>1072</v>
      </c>
      <c r="B99" s="511"/>
      <c r="C99" s="511"/>
      <c r="D99" s="511"/>
      <c r="E99" s="511"/>
      <c r="F99" s="511"/>
      <c r="G99" s="512"/>
      <c r="H99" s="58">
        <v>80</v>
      </c>
      <c r="I99" s="59"/>
    </row>
    <row r="100" spans="1:9" ht="16.5" thickBot="1" x14ac:dyDescent="0.3">
      <c r="A100" s="508" t="s">
        <v>308</v>
      </c>
      <c r="B100" s="509"/>
      <c r="C100" s="509"/>
      <c r="D100" s="509"/>
      <c r="E100" s="509"/>
      <c r="F100" s="509"/>
      <c r="G100" s="510"/>
      <c r="H100" s="55" t="e">
        <f>ROUNDDOWN(SUM(H97:H99,H92:H94),0)</f>
        <v>#REF!</v>
      </c>
      <c r="I100" s="36"/>
    </row>
    <row r="101" spans="1:9" ht="15.75" x14ac:dyDescent="0.25">
      <c r="A101" s="505" t="s">
        <v>309</v>
      </c>
      <c r="B101" s="505"/>
      <c r="C101" s="38">
        <v>50</v>
      </c>
      <c r="D101" s="60" t="s">
        <v>310</v>
      </c>
      <c r="E101" s="60"/>
      <c r="F101" s="60"/>
      <c r="G101" s="60"/>
      <c r="H101" s="60"/>
      <c r="I101" s="36"/>
    </row>
    <row r="103" spans="1:9" x14ac:dyDescent="0.25">
      <c r="F103" s="219">
        <f>SUMPRODUCT(H5:H91,E5:E91)/F96</f>
        <v>1.2222222222222225</v>
      </c>
    </row>
    <row r="104" spans="1:9" x14ac:dyDescent="0.25">
      <c r="G104" s="219"/>
    </row>
    <row r="105" spans="1:9" x14ac:dyDescent="0.25">
      <c r="F105">
        <f>3200*1.075</f>
        <v>3440</v>
      </c>
    </row>
  </sheetData>
  <mergeCells count="18">
    <mergeCell ref="A5:A32"/>
    <mergeCell ref="A101:B101"/>
    <mergeCell ref="A33:A63"/>
    <mergeCell ref="A64:A91"/>
    <mergeCell ref="A92:B92"/>
    <mergeCell ref="A93:B93"/>
    <mergeCell ref="A94:B94"/>
    <mergeCell ref="A95:E95"/>
    <mergeCell ref="A96:E96"/>
    <mergeCell ref="A97:G97"/>
    <mergeCell ref="A98:G98"/>
    <mergeCell ref="A99:G99"/>
    <mergeCell ref="A100:G100"/>
    <mergeCell ref="A2:C2"/>
    <mergeCell ref="B3:B4"/>
    <mergeCell ref="C3:C4"/>
    <mergeCell ref="I3:I4"/>
    <mergeCell ref="J3:J4"/>
  </mergeCells>
  <dataValidations count="2">
    <dataValidation type="list" allowBlank="1" showInputMessage="1" showErrorMessage="1" sqref="J5:J94" xr:uid="{00000000-0002-0000-2100-000000000000}">
      <formula1>Ambientes</formula1>
    </dataValidation>
    <dataValidation type="list" allowBlank="1" showInputMessage="1" showErrorMessage="1" sqref="I5:I94" xr:uid="{00000000-0002-0000-21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28">
    <tabColor theme="6" tint="-0.249977111117893"/>
  </sheetPr>
  <dimension ref="A1:S104"/>
  <sheetViews>
    <sheetView topLeftCell="A67" workbookViewId="0">
      <selection activeCell="J34" sqref="J34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9" max="9" width="14.42578125" bestFit="1" customWidth="1"/>
    <col min="10" max="10" width="35.140625" bestFit="1" customWidth="1"/>
  </cols>
  <sheetData>
    <row r="1" spans="1:19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9" ht="15.75" x14ac:dyDescent="0.25">
      <c r="A2" s="513" t="s">
        <v>1096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</row>
    <row r="3" spans="1:19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9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9" x14ac:dyDescent="0.25">
      <c r="A5" s="504" t="s">
        <v>1043</v>
      </c>
      <c r="B5" s="190" t="s">
        <v>1097</v>
      </c>
      <c r="C5" s="191" t="s">
        <v>250</v>
      </c>
      <c r="D5" s="192" t="s">
        <v>1098</v>
      </c>
      <c r="E5" s="193">
        <v>1</v>
      </c>
      <c r="F5" s="192">
        <v>4</v>
      </c>
      <c r="G5" s="194">
        <f t="shared" ref="G5:G32" si="0">F5*$F$2</f>
        <v>152</v>
      </c>
      <c r="H5" s="195">
        <f t="shared" ref="H5:H36" si="1">(G5)*$C$101/60</f>
        <v>126.66666666666667</v>
      </c>
      <c r="I5" s="196" t="s">
        <v>14</v>
      </c>
      <c r="J5" s="197" t="s">
        <v>230</v>
      </c>
    </row>
    <row r="6" spans="1:19" x14ac:dyDescent="0.25">
      <c r="A6" s="504"/>
      <c r="B6" s="190" t="s">
        <v>1099</v>
      </c>
      <c r="C6" s="191" t="s">
        <v>256</v>
      </c>
      <c r="D6" s="192" t="s">
        <v>54</v>
      </c>
      <c r="E6" s="193">
        <v>1</v>
      </c>
      <c r="F6" s="192">
        <v>2</v>
      </c>
      <c r="G6" s="194">
        <f t="shared" si="0"/>
        <v>76</v>
      </c>
      <c r="H6" s="195">
        <f t="shared" si="1"/>
        <v>63.333333333333336</v>
      </c>
      <c r="I6" s="196" t="s">
        <v>15</v>
      </c>
      <c r="J6" s="197" t="s">
        <v>230</v>
      </c>
    </row>
    <row r="7" spans="1:19" x14ac:dyDescent="0.25">
      <c r="A7" s="504"/>
      <c r="B7" s="190" t="s">
        <v>12</v>
      </c>
      <c r="C7" s="191" t="s">
        <v>253</v>
      </c>
      <c r="D7" s="192" t="s">
        <v>54</v>
      </c>
      <c r="E7" s="193">
        <v>1</v>
      </c>
      <c r="F7" s="192">
        <v>0</v>
      </c>
      <c r="G7" s="194">
        <f t="shared" si="0"/>
        <v>0</v>
      </c>
      <c r="H7" s="195">
        <f t="shared" si="1"/>
        <v>0</v>
      </c>
      <c r="I7" s="196" t="s">
        <v>12</v>
      </c>
      <c r="J7" s="197" t="s">
        <v>575</v>
      </c>
    </row>
    <row r="8" spans="1:19" x14ac:dyDescent="0.25">
      <c r="A8" s="504"/>
      <c r="B8" s="190" t="s">
        <v>1031</v>
      </c>
      <c r="C8" s="191" t="s">
        <v>1032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575</v>
      </c>
    </row>
    <row r="9" spans="1:19" x14ac:dyDescent="0.25">
      <c r="A9" s="504"/>
      <c r="B9" s="190" t="s">
        <v>1100</v>
      </c>
      <c r="C9" s="191" t="s">
        <v>1092</v>
      </c>
      <c r="D9" s="192" t="s">
        <v>54</v>
      </c>
      <c r="E9" s="193">
        <v>1</v>
      </c>
      <c r="F9" s="192">
        <v>0</v>
      </c>
      <c r="G9" s="194">
        <f t="shared" si="0"/>
        <v>0</v>
      </c>
      <c r="H9" s="195">
        <f t="shared" si="1"/>
        <v>0</v>
      </c>
      <c r="I9" s="196" t="s">
        <v>13</v>
      </c>
      <c r="J9" s="197" t="s">
        <v>575</v>
      </c>
    </row>
    <row r="10" spans="1:19" x14ac:dyDescent="0.25">
      <c r="A10" s="504"/>
      <c r="B10" s="190" t="s">
        <v>1033</v>
      </c>
      <c r="C10" s="191" t="s">
        <v>1034</v>
      </c>
      <c r="D10" s="192" t="s">
        <v>54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13</v>
      </c>
      <c r="J10" s="197" t="s">
        <v>230</v>
      </c>
    </row>
    <row r="11" spans="1:19" x14ac:dyDescent="0.25">
      <c r="A11" s="504"/>
      <c r="B11" s="190" t="s">
        <v>1035</v>
      </c>
      <c r="C11" s="191" t="s">
        <v>1036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9" x14ac:dyDescent="0.25">
      <c r="A12" s="504"/>
      <c r="B12" s="190" t="s">
        <v>1037</v>
      </c>
      <c r="C12" s="191" t="s">
        <v>1038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21</v>
      </c>
      <c r="J12" s="197" t="s">
        <v>230</v>
      </c>
    </row>
    <row r="13" spans="1:19" x14ac:dyDescent="0.25">
      <c r="A13" s="504"/>
      <c r="B13" s="190" t="s">
        <v>1101</v>
      </c>
      <c r="C13" s="191" t="s">
        <v>1080</v>
      </c>
      <c r="D13" s="192" t="s">
        <v>60</v>
      </c>
      <c r="E13" s="193">
        <v>1</v>
      </c>
      <c r="F13" s="192">
        <v>2</v>
      </c>
      <c r="G13" s="194">
        <f t="shared" si="0"/>
        <v>76</v>
      </c>
      <c r="H13" s="195">
        <f t="shared" si="1"/>
        <v>63.333333333333336</v>
      </c>
      <c r="I13" s="196" t="s">
        <v>5</v>
      </c>
      <c r="J13" s="197" t="s">
        <v>230</v>
      </c>
    </row>
    <row r="14" spans="1:19" x14ac:dyDescent="0.25">
      <c r="A14" s="504"/>
      <c r="B14" s="190" t="s">
        <v>1102</v>
      </c>
      <c r="C14" s="191" t="s">
        <v>258</v>
      </c>
      <c r="D14" s="192" t="s">
        <v>60</v>
      </c>
      <c r="E14" s="193">
        <v>1</v>
      </c>
      <c r="F14" s="192">
        <v>0</v>
      </c>
      <c r="G14" s="194">
        <f t="shared" si="0"/>
        <v>0</v>
      </c>
      <c r="H14" s="195">
        <f t="shared" si="1"/>
        <v>0</v>
      </c>
      <c r="I14" s="196" t="s">
        <v>5</v>
      </c>
      <c r="J14" s="197" t="s">
        <v>230</v>
      </c>
    </row>
    <row r="15" spans="1:19" ht="15" customHeight="1" x14ac:dyDescent="0.25">
      <c r="A15" s="504"/>
      <c r="B15" s="190" t="s">
        <v>6</v>
      </c>
      <c r="C15" s="191" t="s">
        <v>259</v>
      </c>
      <c r="D15" s="192" t="s">
        <v>60</v>
      </c>
      <c r="E15" s="193">
        <v>1</v>
      </c>
      <c r="F15" s="192">
        <v>2</v>
      </c>
      <c r="G15" s="194">
        <f t="shared" si="0"/>
        <v>76</v>
      </c>
      <c r="H15" s="195">
        <f t="shared" si="1"/>
        <v>63.333333333333336</v>
      </c>
      <c r="I15" s="196" t="s">
        <v>6</v>
      </c>
      <c r="J15" s="197" t="s">
        <v>230</v>
      </c>
      <c r="O15" s="216" t="s">
        <v>1097</v>
      </c>
      <c r="P15" s="208" t="s">
        <v>250</v>
      </c>
      <c r="Q15" s="208" t="s">
        <v>1098</v>
      </c>
      <c r="R15" s="208">
        <v>1</v>
      </c>
      <c r="S15" s="209">
        <v>4</v>
      </c>
    </row>
    <row r="16" spans="1:19" x14ac:dyDescent="0.25">
      <c r="A16" s="504"/>
      <c r="B16" s="190" t="s">
        <v>7</v>
      </c>
      <c r="C16" s="191" t="s">
        <v>1042</v>
      </c>
      <c r="D16" s="192" t="s">
        <v>60</v>
      </c>
      <c r="E16" s="193">
        <v>1</v>
      </c>
      <c r="F16" s="192">
        <v>2</v>
      </c>
      <c r="G16" s="194">
        <f t="shared" si="0"/>
        <v>76</v>
      </c>
      <c r="H16" s="195">
        <f t="shared" si="1"/>
        <v>63.333333333333336</v>
      </c>
      <c r="I16" s="196" t="s">
        <v>7</v>
      </c>
      <c r="J16" s="197" t="s">
        <v>230</v>
      </c>
      <c r="O16" s="217" t="s">
        <v>1099</v>
      </c>
      <c r="P16" s="210" t="s">
        <v>256</v>
      </c>
      <c r="Q16" s="208" t="s">
        <v>54</v>
      </c>
      <c r="R16" s="210">
        <v>1</v>
      </c>
      <c r="S16" s="211">
        <v>2</v>
      </c>
    </row>
    <row r="17" spans="1:19" x14ac:dyDescent="0.25">
      <c r="A17" s="504"/>
      <c r="B17" s="190" t="s">
        <v>9</v>
      </c>
      <c r="C17" s="191" t="s">
        <v>261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9</v>
      </c>
      <c r="J17" s="197" t="s">
        <v>230</v>
      </c>
      <c r="O17" s="216" t="s">
        <v>12</v>
      </c>
      <c r="P17" s="208" t="s">
        <v>253</v>
      </c>
      <c r="Q17" s="208" t="s">
        <v>54</v>
      </c>
      <c r="R17" s="208">
        <v>1</v>
      </c>
      <c r="S17" s="209">
        <v>0</v>
      </c>
    </row>
    <row r="18" spans="1:19" ht="15" customHeight="1" x14ac:dyDescent="0.25">
      <c r="A18" s="504"/>
      <c r="B18" s="190" t="s">
        <v>10</v>
      </c>
      <c r="C18" s="191" t="s">
        <v>262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10</v>
      </c>
      <c r="J18" s="197" t="s">
        <v>230</v>
      </c>
      <c r="O18" s="216" t="s">
        <v>1031</v>
      </c>
      <c r="P18" s="208" t="s">
        <v>1032</v>
      </c>
      <c r="Q18" s="208" t="s">
        <v>54</v>
      </c>
      <c r="R18" s="208">
        <v>1</v>
      </c>
      <c r="S18" s="209">
        <v>2</v>
      </c>
    </row>
    <row r="19" spans="1:19" ht="15" customHeight="1" x14ac:dyDescent="0.25">
      <c r="A19" s="504"/>
      <c r="B19" s="190" t="s">
        <v>8</v>
      </c>
      <c r="C19" s="191" t="s">
        <v>263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8</v>
      </c>
      <c r="J19" s="197" t="s">
        <v>230</v>
      </c>
      <c r="O19" s="216" t="s">
        <v>1100</v>
      </c>
      <c r="P19" s="212" t="s">
        <v>1092</v>
      </c>
      <c r="Q19" s="208" t="s">
        <v>54</v>
      </c>
      <c r="R19" s="212">
        <v>1</v>
      </c>
      <c r="S19" s="213">
        <v>0</v>
      </c>
    </row>
    <row r="20" spans="1:19" x14ac:dyDescent="0.25">
      <c r="A20" s="504"/>
      <c r="B20" s="190" t="s">
        <v>11</v>
      </c>
      <c r="C20" s="191" t="s">
        <v>264</v>
      </c>
      <c r="D20" s="192" t="s">
        <v>60</v>
      </c>
      <c r="E20" s="193">
        <v>1</v>
      </c>
      <c r="F20" s="192">
        <v>0</v>
      </c>
      <c r="G20" s="194">
        <f t="shared" si="0"/>
        <v>0</v>
      </c>
      <c r="H20" s="195">
        <f t="shared" si="1"/>
        <v>0</v>
      </c>
      <c r="I20" s="196" t="s">
        <v>11</v>
      </c>
      <c r="J20" s="197" t="s">
        <v>230</v>
      </c>
      <c r="O20" s="217" t="s">
        <v>1033</v>
      </c>
      <c r="P20" s="208" t="s">
        <v>1034</v>
      </c>
      <c r="Q20" s="208" t="s">
        <v>54</v>
      </c>
      <c r="R20" s="208">
        <v>1</v>
      </c>
      <c r="S20" s="209">
        <v>2</v>
      </c>
    </row>
    <row r="21" spans="1:19" x14ac:dyDescent="0.25">
      <c r="A21" s="504"/>
      <c r="B21" s="190" t="s">
        <v>1103</v>
      </c>
      <c r="C21" s="191" t="s">
        <v>1077</v>
      </c>
      <c r="D21" s="192" t="s">
        <v>60</v>
      </c>
      <c r="E21" s="193">
        <v>1</v>
      </c>
      <c r="F21" s="192">
        <v>2</v>
      </c>
      <c r="G21" s="194">
        <f t="shared" si="0"/>
        <v>76</v>
      </c>
      <c r="H21" s="195">
        <f t="shared" si="1"/>
        <v>63.333333333333336</v>
      </c>
      <c r="I21" s="196" t="s">
        <v>9</v>
      </c>
      <c r="J21" s="197" t="s">
        <v>230</v>
      </c>
      <c r="O21" s="215" t="s">
        <v>1035</v>
      </c>
      <c r="P21" s="208" t="s">
        <v>1036</v>
      </c>
      <c r="Q21" s="208" t="s">
        <v>60</v>
      </c>
      <c r="R21" s="208">
        <v>1</v>
      </c>
      <c r="S21" s="209">
        <v>2</v>
      </c>
    </row>
    <row r="22" spans="1:19" x14ac:dyDescent="0.25">
      <c r="A22" s="504"/>
      <c r="B22" s="199" t="s">
        <v>1044</v>
      </c>
      <c r="C22" s="200" t="s">
        <v>1045</v>
      </c>
      <c r="D22" s="201" t="s">
        <v>60</v>
      </c>
      <c r="E22" s="202">
        <v>1</v>
      </c>
      <c r="F22" s="201">
        <v>0</v>
      </c>
      <c r="G22" s="203">
        <f t="shared" si="0"/>
        <v>0</v>
      </c>
      <c r="H22" s="204">
        <f t="shared" si="1"/>
        <v>0</v>
      </c>
      <c r="I22" s="205" t="s">
        <v>15</v>
      </c>
      <c r="J22" s="206" t="s">
        <v>230</v>
      </c>
      <c r="O22" s="215" t="s">
        <v>1037</v>
      </c>
      <c r="P22" s="208" t="s">
        <v>1038</v>
      </c>
      <c r="Q22" s="208" t="s">
        <v>60</v>
      </c>
      <c r="R22" s="208">
        <v>1</v>
      </c>
      <c r="S22" s="209">
        <v>2</v>
      </c>
    </row>
    <row r="23" spans="1:19" x14ac:dyDescent="0.25">
      <c r="A23" s="504"/>
      <c r="B23" s="199" t="s">
        <v>1061</v>
      </c>
      <c r="C23" s="200" t="s">
        <v>596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315</v>
      </c>
      <c r="J23" s="206" t="s">
        <v>230</v>
      </c>
      <c r="O23" s="218" t="s">
        <v>1101</v>
      </c>
      <c r="P23" s="208" t="s">
        <v>1080</v>
      </c>
      <c r="Q23" s="208" t="s">
        <v>60</v>
      </c>
      <c r="R23" s="208">
        <v>1</v>
      </c>
      <c r="S23" s="209">
        <v>2</v>
      </c>
    </row>
    <row r="24" spans="1:19" x14ac:dyDescent="0.25">
      <c r="A24" s="504"/>
      <c r="B24" s="199" t="s">
        <v>1105</v>
      </c>
      <c r="C24" s="200" t="s">
        <v>1104</v>
      </c>
      <c r="D24" s="201" t="s">
        <v>60</v>
      </c>
      <c r="E24" s="202">
        <v>1</v>
      </c>
      <c r="F24" s="201">
        <v>2</v>
      </c>
      <c r="G24" s="203">
        <f t="shared" si="0"/>
        <v>76</v>
      </c>
      <c r="H24" s="204">
        <f t="shared" si="1"/>
        <v>63.333333333333336</v>
      </c>
      <c r="I24" s="205" t="s">
        <v>20</v>
      </c>
      <c r="J24" s="206" t="s">
        <v>230</v>
      </c>
      <c r="O24" s="215"/>
      <c r="P24" s="208"/>
      <c r="Q24" s="208"/>
      <c r="R24" s="208"/>
      <c r="S24" s="209"/>
    </row>
    <row r="25" spans="1:19" x14ac:dyDescent="0.25">
      <c r="A25" s="504"/>
      <c r="B25" s="199" t="s">
        <v>1106</v>
      </c>
      <c r="C25" s="200" t="s">
        <v>1107</v>
      </c>
      <c r="D25" s="201" t="s">
        <v>57</v>
      </c>
      <c r="E25" s="202">
        <v>2</v>
      </c>
      <c r="F25" s="201">
        <v>2</v>
      </c>
      <c r="G25" s="203">
        <f t="shared" si="0"/>
        <v>76</v>
      </c>
      <c r="H25" s="204">
        <f t="shared" si="1"/>
        <v>63.333333333333336</v>
      </c>
      <c r="I25" s="205" t="s">
        <v>20</v>
      </c>
      <c r="J25" s="206" t="s">
        <v>232</v>
      </c>
      <c r="O25" s="215"/>
      <c r="P25" s="208"/>
      <c r="Q25" s="208"/>
      <c r="R25" s="208"/>
      <c r="S25" s="209"/>
    </row>
    <row r="26" spans="1:19" x14ac:dyDescent="0.25">
      <c r="A26" s="504"/>
      <c r="B26" s="199" t="s">
        <v>6</v>
      </c>
      <c r="C26" s="200" t="s">
        <v>259</v>
      </c>
      <c r="D26" s="201" t="s">
        <v>60</v>
      </c>
      <c r="E26" s="202">
        <v>1</v>
      </c>
      <c r="F26" s="201">
        <v>0</v>
      </c>
      <c r="G26" s="203">
        <f t="shared" si="0"/>
        <v>0</v>
      </c>
      <c r="H26" s="204">
        <f t="shared" si="1"/>
        <v>0</v>
      </c>
      <c r="I26" s="205" t="s">
        <v>20</v>
      </c>
      <c r="J26" s="206" t="s">
        <v>230</v>
      </c>
      <c r="O26" s="215"/>
      <c r="P26" s="208"/>
      <c r="Q26" s="208"/>
      <c r="R26" s="208"/>
      <c r="S26" s="209"/>
    </row>
    <row r="27" spans="1:19" x14ac:dyDescent="0.25">
      <c r="A27" s="504"/>
      <c r="B27" s="199" t="s">
        <v>1108</v>
      </c>
      <c r="C27" s="200" t="s">
        <v>1109</v>
      </c>
      <c r="D27" s="201" t="s">
        <v>60</v>
      </c>
      <c r="E27" s="202">
        <v>1</v>
      </c>
      <c r="F27" s="201">
        <v>2</v>
      </c>
      <c r="G27" s="203">
        <f t="shared" si="0"/>
        <v>76</v>
      </c>
      <c r="H27" s="204">
        <f t="shared" si="1"/>
        <v>63.333333333333336</v>
      </c>
      <c r="I27" s="205" t="s">
        <v>20</v>
      </c>
      <c r="J27" s="206" t="s">
        <v>230</v>
      </c>
      <c r="O27" s="215"/>
      <c r="P27" s="208"/>
      <c r="Q27" s="208"/>
      <c r="R27" s="208"/>
      <c r="S27" s="209"/>
    </row>
    <row r="28" spans="1:19" x14ac:dyDescent="0.25">
      <c r="A28" s="504"/>
      <c r="B28" s="199" t="s">
        <v>1089</v>
      </c>
      <c r="C28" s="200" t="s">
        <v>296</v>
      </c>
      <c r="D28" s="201" t="s">
        <v>57</v>
      </c>
      <c r="E28" s="202">
        <v>2</v>
      </c>
      <c r="F28" s="201">
        <v>0</v>
      </c>
      <c r="G28" s="203">
        <f t="shared" si="0"/>
        <v>0</v>
      </c>
      <c r="H28" s="204">
        <f t="shared" si="1"/>
        <v>0</v>
      </c>
      <c r="I28" s="205" t="s">
        <v>20</v>
      </c>
      <c r="J28" s="206" t="s">
        <v>230</v>
      </c>
      <c r="O28" s="215"/>
      <c r="P28" s="208"/>
      <c r="Q28" s="208"/>
      <c r="R28" s="208"/>
      <c r="S28" s="209"/>
    </row>
    <row r="29" spans="1:19" x14ac:dyDescent="0.25">
      <c r="A29" s="504"/>
      <c r="B29" s="199" t="s">
        <v>1110</v>
      </c>
      <c r="C29" s="200" t="s">
        <v>1081</v>
      </c>
      <c r="D29" s="201" t="s">
        <v>60</v>
      </c>
      <c r="E29" s="202">
        <v>1</v>
      </c>
      <c r="F29" s="201">
        <v>2</v>
      </c>
      <c r="G29" s="203">
        <f t="shared" si="0"/>
        <v>76</v>
      </c>
      <c r="H29" s="204">
        <f t="shared" si="1"/>
        <v>63.333333333333336</v>
      </c>
      <c r="I29" s="205" t="s">
        <v>9</v>
      </c>
      <c r="J29" s="206" t="s">
        <v>230</v>
      </c>
      <c r="O29" s="215" t="s">
        <v>1102</v>
      </c>
      <c r="P29" s="208" t="s">
        <v>258</v>
      </c>
      <c r="Q29" s="208" t="s">
        <v>60</v>
      </c>
      <c r="R29" s="208">
        <v>1</v>
      </c>
      <c r="S29" s="209">
        <v>0</v>
      </c>
    </row>
    <row r="30" spans="1:19" x14ac:dyDescent="0.25">
      <c r="A30" s="504"/>
      <c r="B30" s="40" t="s">
        <v>1111</v>
      </c>
      <c r="C30" s="41" t="s">
        <v>449</v>
      </c>
      <c r="D30" s="42" t="s">
        <v>54</v>
      </c>
      <c r="E30" s="43">
        <v>2</v>
      </c>
      <c r="F30" s="42">
        <v>2</v>
      </c>
      <c r="G30" s="44">
        <f t="shared" si="0"/>
        <v>76</v>
      </c>
      <c r="H30" s="45">
        <f t="shared" si="1"/>
        <v>63.333333333333336</v>
      </c>
      <c r="I30" s="47" t="s">
        <v>20</v>
      </c>
      <c r="J30" s="46" t="s">
        <v>232</v>
      </c>
      <c r="O30" s="215" t="s">
        <v>6</v>
      </c>
      <c r="P30" s="208" t="s">
        <v>259</v>
      </c>
      <c r="Q30" s="208" t="s">
        <v>60</v>
      </c>
      <c r="R30" s="208">
        <v>1</v>
      </c>
      <c r="S30" s="209">
        <v>2</v>
      </c>
    </row>
    <row r="31" spans="1:19" x14ac:dyDescent="0.25">
      <c r="A31" s="504"/>
      <c r="B31" s="40" t="s">
        <v>1112</v>
      </c>
      <c r="C31" s="48" t="s">
        <v>452</v>
      </c>
      <c r="D31" s="42" t="s">
        <v>54</v>
      </c>
      <c r="E31" s="42">
        <v>2</v>
      </c>
      <c r="F31" s="42">
        <v>2</v>
      </c>
      <c r="G31" s="44">
        <f t="shared" si="0"/>
        <v>76</v>
      </c>
      <c r="H31" s="45">
        <f t="shared" si="1"/>
        <v>63.333333333333336</v>
      </c>
      <c r="I31" s="47" t="s">
        <v>20</v>
      </c>
      <c r="J31" s="46" t="s">
        <v>231</v>
      </c>
      <c r="O31" s="215" t="s">
        <v>7</v>
      </c>
      <c r="P31" s="208" t="s">
        <v>1042</v>
      </c>
      <c r="Q31" s="208" t="s">
        <v>60</v>
      </c>
      <c r="R31" s="208">
        <v>1</v>
      </c>
      <c r="S31" s="209">
        <v>2</v>
      </c>
    </row>
    <row r="32" spans="1:19" x14ac:dyDescent="0.25">
      <c r="A32" s="504"/>
      <c r="B32" s="40" t="s">
        <v>1113</v>
      </c>
      <c r="C32" s="48" t="s">
        <v>460</v>
      </c>
      <c r="D32" s="42" t="s">
        <v>54</v>
      </c>
      <c r="E32" s="42">
        <v>2</v>
      </c>
      <c r="F32" s="42">
        <v>2</v>
      </c>
      <c r="G32" s="44">
        <f t="shared" si="0"/>
        <v>76</v>
      </c>
      <c r="H32" s="45">
        <f t="shared" si="1"/>
        <v>63.333333333333336</v>
      </c>
      <c r="I32" s="47" t="s">
        <v>20</v>
      </c>
      <c r="J32" s="46" t="s">
        <v>231</v>
      </c>
      <c r="O32" s="217" t="s">
        <v>9</v>
      </c>
      <c r="P32" s="208" t="s">
        <v>261</v>
      </c>
      <c r="Q32" s="208" t="s">
        <v>60</v>
      </c>
      <c r="R32" s="208">
        <v>1</v>
      </c>
      <c r="S32" s="209">
        <v>0</v>
      </c>
    </row>
    <row r="33" spans="1:19" ht="15" customHeight="1" x14ac:dyDescent="0.25">
      <c r="A33" s="504" t="s">
        <v>274</v>
      </c>
      <c r="B33" s="190" t="s">
        <v>1097</v>
      </c>
      <c r="C33" s="191" t="s">
        <v>250</v>
      </c>
      <c r="D33" s="192" t="s">
        <v>1098</v>
      </c>
      <c r="E33" s="193">
        <v>1</v>
      </c>
      <c r="F33" s="192">
        <v>4</v>
      </c>
      <c r="G33" s="194">
        <f t="shared" ref="G33:G57" si="2">F33*$F$2</f>
        <v>152</v>
      </c>
      <c r="H33" s="195">
        <f t="shared" si="1"/>
        <v>126.66666666666667</v>
      </c>
      <c r="I33" s="196" t="s">
        <v>14</v>
      </c>
      <c r="J33" s="197" t="s">
        <v>230</v>
      </c>
      <c r="O33" s="214" t="s">
        <v>8</v>
      </c>
      <c r="P33" s="208" t="s">
        <v>263</v>
      </c>
      <c r="Q33" s="208" t="s">
        <v>60</v>
      </c>
      <c r="R33" s="208">
        <v>1</v>
      </c>
      <c r="S33" s="209">
        <v>0</v>
      </c>
    </row>
    <row r="34" spans="1:19" x14ac:dyDescent="0.25">
      <c r="A34" s="504"/>
      <c r="B34" s="190" t="s">
        <v>1099</v>
      </c>
      <c r="C34" s="191" t="s">
        <v>256</v>
      </c>
      <c r="D34" s="192" t="s">
        <v>54</v>
      </c>
      <c r="E34" s="193">
        <v>1</v>
      </c>
      <c r="F34" s="192">
        <v>0</v>
      </c>
      <c r="G34" s="194">
        <f t="shared" si="2"/>
        <v>0</v>
      </c>
      <c r="H34" s="195">
        <f t="shared" si="1"/>
        <v>0</v>
      </c>
      <c r="I34" s="196" t="s">
        <v>15</v>
      </c>
      <c r="J34" s="197" t="s">
        <v>230</v>
      </c>
      <c r="O34" s="214" t="s">
        <v>11</v>
      </c>
      <c r="P34" s="208" t="s">
        <v>264</v>
      </c>
      <c r="Q34" s="208" t="s">
        <v>60</v>
      </c>
      <c r="R34" s="208">
        <v>1</v>
      </c>
      <c r="S34" s="209">
        <v>0</v>
      </c>
    </row>
    <row r="35" spans="1:19" x14ac:dyDescent="0.25">
      <c r="A35" s="504"/>
      <c r="B35" s="190" t="s">
        <v>12</v>
      </c>
      <c r="C35" s="191" t="s">
        <v>253</v>
      </c>
      <c r="D35" s="192" t="s">
        <v>54</v>
      </c>
      <c r="E35" s="193">
        <v>1</v>
      </c>
      <c r="F35" s="192">
        <v>2</v>
      </c>
      <c r="G35" s="194">
        <f t="shared" si="2"/>
        <v>76</v>
      </c>
      <c r="H35" s="195">
        <f t="shared" si="1"/>
        <v>63.333333333333336</v>
      </c>
      <c r="I35" s="196" t="s">
        <v>12</v>
      </c>
      <c r="J35" s="197" t="s">
        <v>230</v>
      </c>
      <c r="O35" s="214" t="s">
        <v>1103</v>
      </c>
      <c r="P35" s="208" t="s">
        <v>1077</v>
      </c>
      <c r="Q35" s="208" t="s">
        <v>60</v>
      </c>
      <c r="R35" s="208">
        <v>1</v>
      </c>
      <c r="S35" s="209">
        <v>2</v>
      </c>
    </row>
    <row r="36" spans="1:19" x14ac:dyDescent="0.25">
      <c r="A36" s="504"/>
      <c r="B36" s="190" t="s">
        <v>1031</v>
      </c>
      <c r="C36" s="191" t="s">
        <v>1032</v>
      </c>
      <c r="D36" s="192" t="s">
        <v>54</v>
      </c>
      <c r="E36" s="193">
        <v>1</v>
      </c>
      <c r="F36" s="192">
        <v>0</v>
      </c>
      <c r="G36" s="194">
        <f t="shared" si="2"/>
        <v>0</v>
      </c>
      <c r="H36" s="195">
        <f t="shared" si="1"/>
        <v>0</v>
      </c>
      <c r="I36" s="196" t="s">
        <v>13</v>
      </c>
      <c r="J36" s="197" t="s">
        <v>575</v>
      </c>
    </row>
    <row r="37" spans="1:19" x14ac:dyDescent="0.25">
      <c r="A37" s="504"/>
      <c r="B37" s="190" t="s">
        <v>1100</v>
      </c>
      <c r="C37" s="191" t="s">
        <v>1092</v>
      </c>
      <c r="D37" s="192" t="s">
        <v>54</v>
      </c>
      <c r="E37" s="193">
        <v>1</v>
      </c>
      <c r="F37" s="192">
        <v>2</v>
      </c>
      <c r="G37" s="194">
        <f t="shared" si="2"/>
        <v>76</v>
      </c>
      <c r="H37" s="195">
        <f t="shared" ref="H37:H68" si="3">(G37)*$C$101/60</f>
        <v>63.333333333333336</v>
      </c>
      <c r="I37" s="196" t="s">
        <v>13</v>
      </c>
      <c r="J37" s="197" t="s">
        <v>575</v>
      </c>
    </row>
    <row r="38" spans="1:19" x14ac:dyDescent="0.25">
      <c r="A38" s="504"/>
      <c r="B38" s="190" t="s">
        <v>1033</v>
      </c>
      <c r="C38" s="191" t="s">
        <v>1034</v>
      </c>
      <c r="D38" s="192" t="s">
        <v>54</v>
      </c>
      <c r="E38" s="193">
        <v>1</v>
      </c>
      <c r="F38" s="192">
        <v>0</v>
      </c>
      <c r="G38" s="194">
        <f t="shared" si="2"/>
        <v>0</v>
      </c>
      <c r="H38" s="195">
        <f t="shared" si="3"/>
        <v>0</v>
      </c>
      <c r="I38" s="196" t="s">
        <v>13</v>
      </c>
      <c r="J38" s="197" t="s">
        <v>230</v>
      </c>
    </row>
    <row r="39" spans="1:19" x14ac:dyDescent="0.25">
      <c r="A39" s="504"/>
      <c r="B39" s="190" t="s">
        <v>1035</v>
      </c>
      <c r="C39" s="191" t="s">
        <v>1036</v>
      </c>
      <c r="D39" s="192" t="s">
        <v>60</v>
      </c>
      <c r="E39" s="193">
        <v>1</v>
      </c>
      <c r="F39" s="192">
        <v>2</v>
      </c>
      <c r="G39" s="194">
        <f t="shared" si="2"/>
        <v>76</v>
      </c>
      <c r="H39" s="195">
        <f t="shared" si="3"/>
        <v>63.333333333333336</v>
      </c>
      <c r="I39" s="196" t="s">
        <v>21</v>
      </c>
      <c r="J39" s="197" t="s">
        <v>230</v>
      </c>
    </row>
    <row r="40" spans="1:19" x14ac:dyDescent="0.25">
      <c r="A40" s="504"/>
      <c r="B40" s="190" t="s">
        <v>1037</v>
      </c>
      <c r="C40" s="191" t="s">
        <v>1038</v>
      </c>
      <c r="D40" s="192" t="s">
        <v>60</v>
      </c>
      <c r="E40" s="193">
        <v>1</v>
      </c>
      <c r="F40" s="192">
        <v>2</v>
      </c>
      <c r="G40" s="194">
        <f t="shared" si="2"/>
        <v>76</v>
      </c>
      <c r="H40" s="195">
        <f t="shared" si="3"/>
        <v>63.333333333333336</v>
      </c>
      <c r="I40" s="196" t="s">
        <v>21</v>
      </c>
      <c r="J40" s="197" t="s">
        <v>230</v>
      </c>
    </row>
    <row r="41" spans="1:19" x14ac:dyDescent="0.25">
      <c r="A41" s="504"/>
      <c r="B41" s="190" t="s">
        <v>1101</v>
      </c>
      <c r="C41" s="191" t="s">
        <v>1080</v>
      </c>
      <c r="D41" s="192" t="s">
        <v>60</v>
      </c>
      <c r="E41" s="193">
        <v>1</v>
      </c>
      <c r="F41" s="192">
        <v>0</v>
      </c>
      <c r="G41" s="194">
        <f t="shared" si="2"/>
        <v>0</v>
      </c>
      <c r="H41" s="195">
        <f t="shared" si="3"/>
        <v>0</v>
      </c>
      <c r="I41" s="196" t="s">
        <v>5</v>
      </c>
      <c r="J41" s="197" t="s">
        <v>230</v>
      </c>
    </row>
    <row r="42" spans="1:19" x14ac:dyDescent="0.25">
      <c r="A42" s="504"/>
      <c r="B42" s="190" t="s">
        <v>1102</v>
      </c>
      <c r="C42" s="191" t="s">
        <v>258</v>
      </c>
      <c r="D42" s="192" t="s">
        <v>60</v>
      </c>
      <c r="E42" s="193">
        <v>1</v>
      </c>
      <c r="F42" s="192">
        <v>2</v>
      </c>
      <c r="G42" s="194">
        <f t="shared" si="2"/>
        <v>76</v>
      </c>
      <c r="H42" s="195">
        <f t="shared" si="3"/>
        <v>63.333333333333336</v>
      </c>
      <c r="I42" s="196" t="s">
        <v>5</v>
      </c>
      <c r="J42" s="197" t="s">
        <v>230</v>
      </c>
    </row>
    <row r="43" spans="1:19" x14ac:dyDescent="0.25">
      <c r="A43" s="504"/>
      <c r="B43" s="190" t="s">
        <v>6</v>
      </c>
      <c r="C43" s="191" t="s">
        <v>259</v>
      </c>
      <c r="D43" s="192" t="s">
        <v>60</v>
      </c>
      <c r="E43" s="193">
        <v>1</v>
      </c>
      <c r="F43" s="192">
        <v>2</v>
      </c>
      <c r="G43" s="194">
        <f t="shared" si="2"/>
        <v>76</v>
      </c>
      <c r="H43" s="195">
        <f t="shared" si="3"/>
        <v>63.333333333333336</v>
      </c>
      <c r="I43" s="196" t="s">
        <v>6</v>
      </c>
      <c r="J43" s="197" t="s">
        <v>230</v>
      </c>
    </row>
    <row r="44" spans="1:19" x14ac:dyDescent="0.25">
      <c r="A44" s="504"/>
      <c r="B44" s="190" t="s">
        <v>7</v>
      </c>
      <c r="C44" s="191" t="s">
        <v>1042</v>
      </c>
      <c r="D44" s="192" t="s">
        <v>60</v>
      </c>
      <c r="E44" s="193">
        <v>1</v>
      </c>
      <c r="F44" s="192">
        <v>2</v>
      </c>
      <c r="G44" s="194">
        <f t="shared" si="2"/>
        <v>76</v>
      </c>
      <c r="H44" s="195">
        <f t="shared" si="3"/>
        <v>63.333333333333336</v>
      </c>
      <c r="I44" s="196" t="s">
        <v>7</v>
      </c>
      <c r="J44" s="197" t="s">
        <v>230</v>
      </c>
    </row>
    <row r="45" spans="1:19" x14ac:dyDescent="0.25">
      <c r="A45" s="504"/>
      <c r="B45" s="190" t="s">
        <v>9</v>
      </c>
      <c r="C45" s="191" t="s">
        <v>261</v>
      </c>
      <c r="D45" s="192" t="s">
        <v>60</v>
      </c>
      <c r="E45" s="193">
        <v>1</v>
      </c>
      <c r="F45" s="192">
        <v>2</v>
      </c>
      <c r="G45" s="194">
        <f t="shared" si="2"/>
        <v>76</v>
      </c>
      <c r="H45" s="195">
        <f t="shared" si="3"/>
        <v>63.333333333333336</v>
      </c>
      <c r="I45" s="196" t="s">
        <v>9</v>
      </c>
      <c r="J45" s="197" t="s">
        <v>230</v>
      </c>
    </row>
    <row r="46" spans="1:19" x14ac:dyDescent="0.25">
      <c r="A46" s="504"/>
      <c r="B46" s="190" t="s">
        <v>10</v>
      </c>
      <c r="C46" s="191" t="s">
        <v>262</v>
      </c>
      <c r="D46" s="192" t="s">
        <v>60</v>
      </c>
      <c r="E46" s="193">
        <v>1</v>
      </c>
      <c r="F46" s="192">
        <v>2</v>
      </c>
      <c r="G46" s="194">
        <f t="shared" si="2"/>
        <v>76</v>
      </c>
      <c r="H46" s="195">
        <f t="shared" si="3"/>
        <v>63.333333333333336</v>
      </c>
      <c r="I46" s="196" t="s">
        <v>10</v>
      </c>
      <c r="J46" s="197" t="s">
        <v>230</v>
      </c>
    </row>
    <row r="47" spans="1:19" x14ac:dyDescent="0.25">
      <c r="A47" s="504"/>
      <c r="B47" s="190" t="s">
        <v>8</v>
      </c>
      <c r="C47" s="191" t="s">
        <v>263</v>
      </c>
      <c r="D47" s="192" t="s">
        <v>60</v>
      </c>
      <c r="E47" s="193">
        <v>1</v>
      </c>
      <c r="F47" s="192">
        <v>2</v>
      </c>
      <c r="G47" s="194">
        <f t="shared" si="2"/>
        <v>76</v>
      </c>
      <c r="H47" s="195">
        <f t="shared" si="3"/>
        <v>63.333333333333336</v>
      </c>
      <c r="I47" s="196" t="s">
        <v>8</v>
      </c>
      <c r="J47" s="197" t="s">
        <v>230</v>
      </c>
    </row>
    <row r="48" spans="1:19" x14ac:dyDescent="0.25">
      <c r="A48" s="504"/>
      <c r="B48" s="190" t="s">
        <v>11</v>
      </c>
      <c r="C48" s="191" t="s">
        <v>264</v>
      </c>
      <c r="D48" s="192" t="s">
        <v>60</v>
      </c>
      <c r="E48" s="193">
        <v>1</v>
      </c>
      <c r="F48" s="192">
        <v>2</v>
      </c>
      <c r="G48" s="194">
        <f t="shared" si="2"/>
        <v>76</v>
      </c>
      <c r="H48" s="195">
        <f t="shared" si="3"/>
        <v>63.333333333333336</v>
      </c>
      <c r="I48" s="196" t="s">
        <v>11</v>
      </c>
      <c r="J48" s="197" t="s">
        <v>230</v>
      </c>
    </row>
    <row r="49" spans="1:10" x14ac:dyDescent="0.25">
      <c r="A49" s="504"/>
      <c r="B49" s="190" t="s">
        <v>1103</v>
      </c>
      <c r="C49" s="191" t="s">
        <v>1077</v>
      </c>
      <c r="D49" s="192" t="s">
        <v>60</v>
      </c>
      <c r="E49" s="193">
        <v>1</v>
      </c>
      <c r="F49" s="192">
        <v>0</v>
      </c>
      <c r="G49" s="194">
        <f t="shared" si="2"/>
        <v>0</v>
      </c>
      <c r="H49" s="195">
        <f t="shared" si="3"/>
        <v>0</v>
      </c>
      <c r="I49" s="196" t="s">
        <v>9</v>
      </c>
      <c r="J49" s="197" t="s">
        <v>230</v>
      </c>
    </row>
    <row r="50" spans="1:10" x14ac:dyDescent="0.25">
      <c r="A50" s="504"/>
      <c r="B50" s="199" t="s">
        <v>1044</v>
      </c>
      <c r="C50" s="200" t="s">
        <v>1045</v>
      </c>
      <c r="D50" s="201" t="s">
        <v>60</v>
      </c>
      <c r="E50" s="202">
        <v>1</v>
      </c>
      <c r="F50" s="201">
        <v>0</v>
      </c>
      <c r="G50" s="203">
        <f t="shared" si="2"/>
        <v>0</v>
      </c>
      <c r="H50" s="204">
        <f t="shared" si="3"/>
        <v>0</v>
      </c>
      <c r="I50" s="205" t="s">
        <v>15</v>
      </c>
      <c r="J50" s="206" t="s">
        <v>230</v>
      </c>
    </row>
    <row r="51" spans="1:10" x14ac:dyDescent="0.25">
      <c r="A51" s="504"/>
      <c r="B51" s="199" t="s">
        <v>1061</v>
      </c>
      <c r="C51" s="200" t="s">
        <v>596</v>
      </c>
      <c r="D51" s="201" t="s">
        <v>60</v>
      </c>
      <c r="E51" s="202">
        <v>1</v>
      </c>
      <c r="F51" s="201">
        <v>0</v>
      </c>
      <c r="G51" s="203">
        <f t="shared" si="2"/>
        <v>0</v>
      </c>
      <c r="H51" s="204">
        <f t="shared" si="3"/>
        <v>0</v>
      </c>
      <c r="I51" s="205" t="s">
        <v>315</v>
      </c>
      <c r="J51" s="206" t="s">
        <v>230</v>
      </c>
    </row>
    <row r="52" spans="1:10" x14ac:dyDescent="0.25">
      <c r="A52" s="504"/>
      <c r="B52" s="199" t="s">
        <v>1105</v>
      </c>
      <c r="C52" s="200" t="s">
        <v>1104</v>
      </c>
      <c r="D52" s="201" t="s">
        <v>60</v>
      </c>
      <c r="E52" s="202">
        <v>1</v>
      </c>
      <c r="F52" s="201">
        <v>0</v>
      </c>
      <c r="G52" s="203">
        <f t="shared" si="2"/>
        <v>0</v>
      </c>
      <c r="H52" s="204">
        <f t="shared" si="3"/>
        <v>0</v>
      </c>
      <c r="I52" s="205" t="s">
        <v>20</v>
      </c>
      <c r="J52" s="206" t="s">
        <v>230</v>
      </c>
    </row>
    <row r="53" spans="1:10" x14ac:dyDescent="0.25">
      <c r="A53" s="504"/>
      <c r="B53" s="199" t="s">
        <v>1106</v>
      </c>
      <c r="C53" s="200" t="s">
        <v>1107</v>
      </c>
      <c r="D53" s="201" t="s">
        <v>57</v>
      </c>
      <c r="E53" s="202">
        <v>2</v>
      </c>
      <c r="F53" s="201">
        <v>0</v>
      </c>
      <c r="G53" s="203">
        <f t="shared" si="2"/>
        <v>0</v>
      </c>
      <c r="H53" s="204">
        <f t="shared" si="3"/>
        <v>0</v>
      </c>
      <c r="I53" s="205" t="s">
        <v>20</v>
      </c>
      <c r="J53" s="206" t="s">
        <v>232</v>
      </c>
    </row>
    <row r="54" spans="1:10" x14ac:dyDescent="0.25">
      <c r="A54" s="504"/>
      <c r="B54" s="199" t="s">
        <v>6</v>
      </c>
      <c r="C54" s="200" t="s">
        <v>259</v>
      </c>
      <c r="D54" s="201" t="s">
        <v>60</v>
      </c>
      <c r="E54" s="202">
        <v>1</v>
      </c>
      <c r="F54" s="201">
        <v>0</v>
      </c>
      <c r="G54" s="203">
        <f t="shared" si="2"/>
        <v>0</v>
      </c>
      <c r="H54" s="204">
        <f t="shared" si="3"/>
        <v>0</v>
      </c>
      <c r="I54" s="205" t="s">
        <v>20</v>
      </c>
      <c r="J54" s="206" t="s">
        <v>230</v>
      </c>
    </row>
    <row r="55" spans="1:10" x14ac:dyDescent="0.25">
      <c r="A55" s="504"/>
      <c r="B55" s="199" t="s">
        <v>1108</v>
      </c>
      <c r="C55" s="200" t="s">
        <v>1109</v>
      </c>
      <c r="D55" s="201" t="s">
        <v>60</v>
      </c>
      <c r="E55" s="202">
        <v>1</v>
      </c>
      <c r="F55" s="201">
        <v>0</v>
      </c>
      <c r="G55" s="203">
        <f t="shared" si="2"/>
        <v>0</v>
      </c>
      <c r="H55" s="204">
        <f t="shared" si="3"/>
        <v>0</v>
      </c>
      <c r="I55" s="205" t="s">
        <v>20</v>
      </c>
      <c r="J55" s="206" t="s">
        <v>230</v>
      </c>
    </row>
    <row r="56" spans="1:10" x14ac:dyDescent="0.25">
      <c r="A56" s="504"/>
      <c r="B56" s="199" t="s">
        <v>1089</v>
      </c>
      <c r="C56" s="200" t="s">
        <v>296</v>
      </c>
      <c r="D56" s="201" t="s">
        <v>57</v>
      </c>
      <c r="E56" s="202">
        <v>2</v>
      </c>
      <c r="F56" s="201">
        <v>0</v>
      </c>
      <c r="G56" s="203">
        <f t="shared" si="2"/>
        <v>0</v>
      </c>
      <c r="H56" s="204">
        <f t="shared" si="3"/>
        <v>0</v>
      </c>
      <c r="I56" s="205" t="s">
        <v>20</v>
      </c>
      <c r="J56" s="206" t="s">
        <v>230</v>
      </c>
    </row>
    <row r="57" spans="1:10" x14ac:dyDescent="0.25">
      <c r="A57" s="504"/>
      <c r="B57" s="199" t="s">
        <v>1110</v>
      </c>
      <c r="C57" s="200" t="s">
        <v>1081</v>
      </c>
      <c r="D57" s="201" t="s">
        <v>60</v>
      </c>
      <c r="E57" s="202">
        <v>1</v>
      </c>
      <c r="F57" s="201">
        <v>0</v>
      </c>
      <c r="G57" s="203">
        <f t="shared" si="2"/>
        <v>0</v>
      </c>
      <c r="H57" s="204">
        <f t="shared" si="3"/>
        <v>0</v>
      </c>
      <c r="I57" s="205" t="s">
        <v>9</v>
      </c>
      <c r="J57" s="206" t="s">
        <v>230</v>
      </c>
    </row>
    <row r="58" spans="1:10" x14ac:dyDescent="0.25">
      <c r="A58" s="504"/>
      <c r="B58" s="40" t="s">
        <v>1114</v>
      </c>
      <c r="C58" s="41" t="s">
        <v>1115</v>
      </c>
      <c r="D58" s="42" t="s">
        <v>60</v>
      </c>
      <c r="E58" s="43">
        <v>1</v>
      </c>
      <c r="F58" s="42">
        <v>2</v>
      </c>
      <c r="G58" s="44">
        <f>F58*$F$2</f>
        <v>76</v>
      </c>
      <c r="H58" s="45">
        <f t="shared" si="3"/>
        <v>63.333333333333336</v>
      </c>
      <c r="I58" s="47" t="s">
        <v>20</v>
      </c>
      <c r="J58" s="46" t="s">
        <v>230</v>
      </c>
    </row>
    <row r="59" spans="1:10" x14ac:dyDescent="0.25">
      <c r="A59" s="504"/>
      <c r="B59" s="40" t="s">
        <v>1116</v>
      </c>
      <c r="C59" s="41" t="s">
        <v>454</v>
      </c>
      <c r="D59" s="42" t="s">
        <v>57</v>
      </c>
      <c r="E59" s="43">
        <v>2</v>
      </c>
      <c r="F59" s="42">
        <v>2</v>
      </c>
      <c r="G59" s="44">
        <f>F59*$F$2</f>
        <v>76</v>
      </c>
      <c r="H59" s="45">
        <f t="shared" si="3"/>
        <v>63.333333333333336</v>
      </c>
      <c r="I59" s="47" t="s">
        <v>20</v>
      </c>
      <c r="J59" s="46" t="s">
        <v>232</v>
      </c>
    </row>
    <row r="60" spans="1:10" x14ac:dyDescent="0.25">
      <c r="A60" s="504"/>
      <c r="B60" s="40" t="s">
        <v>1117</v>
      </c>
      <c r="C60" s="41" t="s">
        <v>1118</v>
      </c>
      <c r="D60" s="42" t="s">
        <v>60</v>
      </c>
      <c r="E60" s="43">
        <v>1</v>
      </c>
      <c r="F60" s="42">
        <v>2</v>
      </c>
      <c r="G60" s="44">
        <f>F60*$F$2</f>
        <v>76</v>
      </c>
      <c r="H60" s="45">
        <f t="shared" si="3"/>
        <v>63.333333333333336</v>
      </c>
      <c r="I60" s="47" t="s">
        <v>1119</v>
      </c>
      <c r="J60" s="46" t="s">
        <v>230</v>
      </c>
    </row>
    <row r="61" spans="1:10" x14ac:dyDescent="0.25">
      <c r="A61" s="504"/>
      <c r="B61" s="40" t="s">
        <v>1120</v>
      </c>
      <c r="C61" s="41" t="s">
        <v>1121</v>
      </c>
      <c r="D61" s="42" t="s">
        <v>57</v>
      </c>
      <c r="E61" s="43">
        <v>2</v>
      </c>
      <c r="F61" s="42">
        <v>2</v>
      </c>
      <c r="G61" s="44">
        <f>F61*$F$2</f>
        <v>76</v>
      </c>
      <c r="H61" s="45">
        <f t="shared" si="3"/>
        <v>63.333333333333336</v>
      </c>
      <c r="I61" s="47" t="s">
        <v>20</v>
      </c>
      <c r="J61" s="46" t="s">
        <v>232</v>
      </c>
    </row>
    <row r="62" spans="1:10" x14ac:dyDescent="0.25">
      <c r="A62" s="504"/>
      <c r="B62" s="40" t="s">
        <v>147</v>
      </c>
      <c r="C62" s="48" t="s">
        <v>456</v>
      </c>
      <c r="D62" s="42" t="s">
        <v>54</v>
      </c>
      <c r="E62" s="42">
        <v>2</v>
      </c>
      <c r="F62" s="42">
        <v>2</v>
      </c>
      <c r="G62" s="44">
        <f>F62*$F$2</f>
        <v>76</v>
      </c>
      <c r="H62" s="45">
        <f t="shared" si="3"/>
        <v>63.333333333333336</v>
      </c>
      <c r="I62" s="47" t="s">
        <v>20</v>
      </c>
      <c r="J62" s="46" t="s">
        <v>233</v>
      </c>
    </row>
    <row r="63" spans="1:10" x14ac:dyDescent="0.25">
      <c r="A63" s="504"/>
      <c r="B63" s="40" t="s">
        <v>93</v>
      </c>
      <c r="C63" s="48" t="s">
        <v>463</v>
      </c>
      <c r="D63" s="42" t="s">
        <v>54</v>
      </c>
      <c r="E63" s="42">
        <v>2</v>
      </c>
      <c r="F63" s="42">
        <v>2</v>
      </c>
      <c r="G63" s="44">
        <f t="shared" ref="G63:G88" si="4">F63*$F$2</f>
        <v>76</v>
      </c>
      <c r="H63" s="45">
        <f t="shared" si="3"/>
        <v>63.333333333333336</v>
      </c>
      <c r="I63" s="47" t="s">
        <v>20</v>
      </c>
      <c r="J63" s="46" t="s">
        <v>231</v>
      </c>
    </row>
    <row r="64" spans="1:10" ht="15" customHeight="1" x14ac:dyDescent="0.25">
      <c r="A64" s="504" t="s">
        <v>1064</v>
      </c>
      <c r="B64" s="190" t="s">
        <v>1097</v>
      </c>
      <c r="C64" s="191" t="s">
        <v>250</v>
      </c>
      <c r="D64" s="192" t="s">
        <v>1098</v>
      </c>
      <c r="E64" s="193">
        <v>1</v>
      </c>
      <c r="F64" s="192">
        <v>4</v>
      </c>
      <c r="G64" s="194">
        <f t="shared" si="4"/>
        <v>152</v>
      </c>
      <c r="H64" s="195">
        <f t="shared" si="3"/>
        <v>126.66666666666667</v>
      </c>
      <c r="I64" s="196" t="s">
        <v>14</v>
      </c>
      <c r="J64" s="197" t="s">
        <v>230</v>
      </c>
    </row>
    <row r="65" spans="1:10" x14ac:dyDescent="0.25">
      <c r="A65" s="504"/>
      <c r="B65" s="190" t="s">
        <v>1099</v>
      </c>
      <c r="C65" s="191" t="s">
        <v>256</v>
      </c>
      <c r="D65" s="192" t="s">
        <v>54</v>
      </c>
      <c r="E65" s="193">
        <v>1</v>
      </c>
      <c r="F65" s="192">
        <v>0</v>
      </c>
      <c r="G65" s="194">
        <f t="shared" si="4"/>
        <v>0</v>
      </c>
      <c r="H65" s="195">
        <f t="shared" si="3"/>
        <v>0</v>
      </c>
      <c r="I65" s="196" t="s">
        <v>15</v>
      </c>
      <c r="J65" s="197" t="s">
        <v>230</v>
      </c>
    </row>
    <row r="66" spans="1:10" x14ac:dyDescent="0.25">
      <c r="A66" s="504"/>
      <c r="B66" s="190" t="s">
        <v>12</v>
      </c>
      <c r="C66" s="191" t="s">
        <v>253</v>
      </c>
      <c r="D66" s="192" t="s">
        <v>54</v>
      </c>
      <c r="E66" s="193">
        <v>1</v>
      </c>
      <c r="F66" s="192">
        <v>2</v>
      </c>
      <c r="G66" s="194">
        <f t="shared" si="4"/>
        <v>76</v>
      </c>
      <c r="H66" s="195">
        <f t="shared" si="3"/>
        <v>63.333333333333336</v>
      </c>
      <c r="I66" s="196" t="s">
        <v>12</v>
      </c>
      <c r="J66" s="197" t="s">
        <v>230</v>
      </c>
    </row>
    <row r="67" spans="1:10" x14ac:dyDescent="0.25">
      <c r="A67" s="504"/>
      <c r="B67" s="190" t="s">
        <v>1031</v>
      </c>
      <c r="C67" s="191" t="s">
        <v>1032</v>
      </c>
      <c r="D67" s="192" t="s">
        <v>54</v>
      </c>
      <c r="E67" s="193">
        <v>1</v>
      </c>
      <c r="F67" s="192">
        <v>2</v>
      </c>
      <c r="G67" s="194">
        <f t="shared" si="4"/>
        <v>76</v>
      </c>
      <c r="H67" s="195">
        <f t="shared" si="3"/>
        <v>63.333333333333336</v>
      </c>
      <c r="I67" s="196" t="s">
        <v>13</v>
      </c>
      <c r="J67" s="197" t="s">
        <v>575</v>
      </c>
    </row>
    <row r="68" spans="1:10" x14ac:dyDescent="0.25">
      <c r="A68" s="504"/>
      <c r="B68" s="190" t="s">
        <v>1100</v>
      </c>
      <c r="C68" s="191" t="s">
        <v>1092</v>
      </c>
      <c r="D68" s="192" t="s">
        <v>54</v>
      </c>
      <c r="E68" s="193">
        <v>1</v>
      </c>
      <c r="F68" s="192">
        <v>0</v>
      </c>
      <c r="G68" s="194">
        <f t="shared" si="4"/>
        <v>0</v>
      </c>
      <c r="H68" s="195">
        <f t="shared" si="3"/>
        <v>0</v>
      </c>
      <c r="I68" s="196" t="s">
        <v>13</v>
      </c>
      <c r="J68" s="197" t="s">
        <v>575</v>
      </c>
    </row>
    <row r="69" spans="1:10" x14ac:dyDescent="0.25">
      <c r="A69" s="504"/>
      <c r="B69" s="190" t="s">
        <v>1033</v>
      </c>
      <c r="C69" s="191" t="s">
        <v>1034</v>
      </c>
      <c r="D69" s="192" t="s">
        <v>54</v>
      </c>
      <c r="E69" s="193">
        <v>1</v>
      </c>
      <c r="F69" s="192">
        <v>0</v>
      </c>
      <c r="G69" s="194">
        <f t="shared" si="4"/>
        <v>0</v>
      </c>
      <c r="H69" s="195">
        <f t="shared" ref="H69:H94" si="5">(G69)*$C$101/60</f>
        <v>0</v>
      </c>
      <c r="I69" s="196" t="s">
        <v>13</v>
      </c>
      <c r="J69" s="197" t="s">
        <v>230</v>
      </c>
    </row>
    <row r="70" spans="1:10" x14ac:dyDescent="0.25">
      <c r="A70" s="504"/>
      <c r="B70" s="190" t="s">
        <v>1035</v>
      </c>
      <c r="C70" s="191" t="s">
        <v>1036</v>
      </c>
      <c r="D70" s="192" t="s">
        <v>60</v>
      </c>
      <c r="E70" s="193">
        <v>1</v>
      </c>
      <c r="F70" s="192">
        <v>2</v>
      </c>
      <c r="G70" s="194">
        <f t="shared" si="4"/>
        <v>76</v>
      </c>
      <c r="H70" s="195">
        <f t="shared" si="5"/>
        <v>63.333333333333336</v>
      </c>
      <c r="I70" s="196" t="s">
        <v>21</v>
      </c>
      <c r="J70" s="197" t="s">
        <v>230</v>
      </c>
    </row>
    <row r="71" spans="1:10" x14ac:dyDescent="0.25">
      <c r="A71" s="504"/>
      <c r="B71" s="190" t="s">
        <v>1037</v>
      </c>
      <c r="C71" s="191" t="s">
        <v>1038</v>
      </c>
      <c r="D71" s="192" t="s">
        <v>60</v>
      </c>
      <c r="E71" s="193">
        <v>1</v>
      </c>
      <c r="F71" s="192">
        <v>2</v>
      </c>
      <c r="G71" s="194">
        <f t="shared" si="4"/>
        <v>76</v>
      </c>
      <c r="H71" s="195">
        <f t="shared" si="5"/>
        <v>63.333333333333336</v>
      </c>
      <c r="I71" s="196" t="s">
        <v>21</v>
      </c>
      <c r="J71" s="197" t="s">
        <v>230</v>
      </c>
    </row>
    <row r="72" spans="1:10" x14ac:dyDescent="0.25">
      <c r="A72" s="504"/>
      <c r="B72" s="190" t="s">
        <v>1101</v>
      </c>
      <c r="C72" s="191" t="s">
        <v>1080</v>
      </c>
      <c r="D72" s="192" t="s">
        <v>60</v>
      </c>
      <c r="E72" s="193">
        <v>1</v>
      </c>
      <c r="F72" s="192">
        <v>0</v>
      </c>
      <c r="G72" s="194">
        <f t="shared" si="4"/>
        <v>0</v>
      </c>
      <c r="H72" s="195">
        <f t="shared" si="5"/>
        <v>0</v>
      </c>
      <c r="I72" s="196" t="s">
        <v>5</v>
      </c>
      <c r="J72" s="197" t="s">
        <v>230</v>
      </c>
    </row>
    <row r="73" spans="1:10" x14ac:dyDescent="0.25">
      <c r="A73" s="504"/>
      <c r="B73" s="190" t="s">
        <v>1102</v>
      </c>
      <c r="C73" s="191" t="s">
        <v>258</v>
      </c>
      <c r="D73" s="192" t="s">
        <v>60</v>
      </c>
      <c r="E73" s="193">
        <v>1</v>
      </c>
      <c r="F73" s="192">
        <v>2</v>
      </c>
      <c r="G73" s="194">
        <f t="shared" si="4"/>
        <v>76</v>
      </c>
      <c r="H73" s="195">
        <f t="shared" si="5"/>
        <v>63.333333333333336</v>
      </c>
      <c r="I73" s="196" t="s">
        <v>5</v>
      </c>
      <c r="J73" s="197" t="s">
        <v>230</v>
      </c>
    </row>
    <row r="74" spans="1:10" x14ac:dyDescent="0.25">
      <c r="A74" s="504"/>
      <c r="B74" s="190" t="s">
        <v>6</v>
      </c>
      <c r="C74" s="191" t="s">
        <v>259</v>
      </c>
      <c r="D74" s="192" t="s">
        <v>60</v>
      </c>
      <c r="E74" s="193">
        <v>1</v>
      </c>
      <c r="F74" s="192">
        <v>0</v>
      </c>
      <c r="G74" s="194">
        <f t="shared" si="4"/>
        <v>0</v>
      </c>
      <c r="H74" s="195">
        <f t="shared" si="5"/>
        <v>0</v>
      </c>
      <c r="I74" s="196" t="s">
        <v>6</v>
      </c>
      <c r="J74" s="197" t="s">
        <v>230</v>
      </c>
    </row>
    <row r="75" spans="1:10" x14ac:dyDescent="0.25">
      <c r="A75" s="504"/>
      <c r="B75" s="190" t="s">
        <v>7</v>
      </c>
      <c r="C75" s="191" t="s">
        <v>1042</v>
      </c>
      <c r="D75" s="192" t="s">
        <v>60</v>
      </c>
      <c r="E75" s="193">
        <v>1</v>
      </c>
      <c r="F75" s="192">
        <v>2</v>
      </c>
      <c r="G75" s="194">
        <f t="shared" si="4"/>
        <v>76</v>
      </c>
      <c r="H75" s="195">
        <f t="shared" si="5"/>
        <v>63.333333333333336</v>
      </c>
      <c r="I75" s="196" t="s">
        <v>7</v>
      </c>
      <c r="J75" s="197" t="s">
        <v>230</v>
      </c>
    </row>
    <row r="76" spans="1:10" x14ac:dyDescent="0.25">
      <c r="A76" s="504"/>
      <c r="B76" s="190" t="s">
        <v>9</v>
      </c>
      <c r="C76" s="191" t="s">
        <v>261</v>
      </c>
      <c r="D76" s="192" t="s">
        <v>60</v>
      </c>
      <c r="E76" s="193">
        <v>1</v>
      </c>
      <c r="F76" s="192">
        <v>2</v>
      </c>
      <c r="G76" s="194">
        <f t="shared" si="4"/>
        <v>76</v>
      </c>
      <c r="H76" s="195">
        <f t="shared" si="5"/>
        <v>63.333333333333336</v>
      </c>
      <c r="I76" s="196" t="s">
        <v>9</v>
      </c>
      <c r="J76" s="197" t="s">
        <v>230</v>
      </c>
    </row>
    <row r="77" spans="1:10" x14ac:dyDescent="0.25">
      <c r="A77" s="504"/>
      <c r="B77" s="190" t="s">
        <v>10</v>
      </c>
      <c r="C77" s="191" t="s">
        <v>262</v>
      </c>
      <c r="D77" s="192" t="s">
        <v>60</v>
      </c>
      <c r="E77" s="193">
        <v>1</v>
      </c>
      <c r="F77" s="192">
        <v>2</v>
      </c>
      <c r="G77" s="194">
        <f t="shared" si="4"/>
        <v>76</v>
      </c>
      <c r="H77" s="195">
        <f t="shared" si="5"/>
        <v>63.333333333333336</v>
      </c>
      <c r="I77" s="196" t="s">
        <v>10</v>
      </c>
      <c r="J77" s="197" t="s">
        <v>230</v>
      </c>
    </row>
    <row r="78" spans="1:10" x14ac:dyDescent="0.25">
      <c r="A78" s="504"/>
      <c r="B78" s="190" t="s">
        <v>8</v>
      </c>
      <c r="C78" s="191" t="s">
        <v>263</v>
      </c>
      <c r="D78" s="192" t="s">
        <v>60</v>
      </c>
      <c r="E78" s="193">
        <v>1</v>
      </c>
      <c r="F78" s="192">
        <v>2</v>
      </c>
      <c r="G78" s="194">
        <f t="shared" si="4"/>
        <v>76</v>
      </c>
      <c r="H78" s="195">
        <f t="shared" si="5"/>
        <v>63.333333333333336</v>
      </c>
      <c r="I78" s="196" t="s">
        <v>8</v>
      </c>
      <c r="J78" s="197" t="s">
        <v>230</v>
      </c>
    </row>
    <row r="79" spans="1:10" x14ac:dyDescent="0.25">
      <c r="A79" s="504"/>
      <c r="B79" s="190" t="s">
        <v>11</v>
      </c>
      <c r="C79" s="191" t="s">
        <v>264</v>
      </c>
      <c r="D79" s="192" t="s">
        <v>60</v>
      </c>
      <c r="E79" s="193">
        <v>1</v>
      </c>
      <c r="F79" s="192">
        <v>2</v>
      </c>
      <c r="G79" s="194">
        <f t="shared" si="4"/>
        <v>76</v>
      </c>
      <c r="H79" s="195">
        <f t="shared" si="5"/>
        <v>63.333333333333336</v>
      </c>
      <c r="I79" s="196" t="s">
        <v>11</v>
      </c>
      <c r="J79" s="197" t="s">
        <v>230</v>
      </c>
    </row>
    <row r="80" spans="1:10" x14ac:dyDescent="0.25">
      <c r="A80" s="504"/>
      <c r="B80" s="190" t="s">
        <v>1103</v>
      </c>
      <c r="C80" s="191" t="s">
        <v>1077</v>
      </c>
      <c r="D80" s="192" t="s">
        <v>60</v>
      </c>
      <c r="E80" s="193">
        <v>1</v>
      </c>
      <c r="F80" s="192">
        <v>0</v>
      </c>
      <c r="G80" s="194">
        <f t="shared" si="4"/>
        <v>0</v>
      </c>
      <c r="H80" s="195">
        <f t="shared" si="5"/>
        <v>0</v>
      </c>
      <c r="I80" s="196" t="s">
        <v>9</v>
      </c>
      <c r="J80" s="197" t="s">
        <v>230</v>
      </c>
    </row>
    <row r="81" spans="1:10" x14ac:dyDescent="0.25">
      <c r="A81" s="504"/>
      <c r="B81" s="199" t="s">
        <v>1044</v>
      </c>
      <c r="C81" s="200" t="s">
        <v>1045</v>
      </c>
      <c r="D81" s="201" t="s">
        <v>60</v>
      </c>
      <c r="E81" s="202">
        <v>1</v>
      </c>
      <c r="F81" s="201">
        <v>2</v>
      </c>
      <c r="G81" s="203">
        <f t="shared" si="4"/>
        <v>76</v>
      </c>
      <c r="H81" s="204">
        <f t="shared" si="5"/>
        <v>63.333333333333336</v>
      </c>
      <c r="I81" s="205" t="s">
        <v>15</v>
      </c>
      <c r="J81" s="206" t="s">
        <v>230</v>
      </c>
    </row>
    <row r="82" spans="1:10" x14ac:dyDescent="0.25">
      <c r="A82" s="504"/>
      <c r="B82" s="199" t="s">
        <v>1061</v>
      </c>
      <c r="C82" s="200" t="s">
        <v>596</v>
      </c>
      <c r="D82" s="201" t="s">
        <v>60</v>
      </c>
      <c r="E82" s="202">
        <v>1</v>
      </c>
      <c r="F82" s="201">
        <v>2</v>
      </c>
      <c r="G82" s="203">
        <f t="shared" si="4"/>
        <v>76</v>
      </c>
      <c r="H82" s="204">
        <f t="shared" si="5"/>
        <v>63.333333333333336</v>
      </c>
      <c r="I82" s="205" t="s">
        <v>315</v>
      </c>
      <c r="J82" s="206" t="s">
        <v>230</v>
      </c>
    </row>
    <row r="83" spans="1:10" x14ac:dyDescent="0.25">
      <c r="A83" s="504"/>
      <c r="B83" s="199" t="s">
        <v>1105</v>
      </c>
      <c r="C83" s="200" t="s">
        <v>1104</v>
      </c>
      <c r="D83" s="201" t="s">
        <v>60</v>
      </c>
      <c r="E83" s="202">
        <v>1</v>
      </c>
      <c r="F83" s="201">
        <v>0</v>
      </c>
      <c r="G83" s="203">
        <f t="shared" si="4"/>
        <v>0</v>
      </c>
      <c r="H83" s="204">
        <f t="shared" si="5"/>
        <v>0</v>
      </c>
      <c r="I83" s="205" t="s">
        <v>20</v>
      </c>
      <c r="J83" s="206" t="s">
        <v>230</v>
      </c>
    </row>
    <row r="84" spans="1:10" x14ac:dyDescent="0.25">
      <c r="A84" s="504"/>
      <c r="B84" s="199" t="s">
        <v>1106</v>
      </c>
      <c r="C84" s="200" t="s">
        <v>1107</v>
      </c>
      <c r="D84" s="201" t="s">
        <v>57</v>
      </c>
      <c r="E84" s="202">
        <v>2</v>
      </c>
      <c r="F84" s="201">
        <v>0</v>
      </c>
      <c r="G84" s="203">
        <f t="shared" si="4"/>
        <v>0</v>
      </c>
      <c r="H84" s="204">
        <f t="shared" si="5"/>
        <v>0</v>
      </c>
      <c r="I84" s="205" t="s">
        <v>20</v>
      </c>
      <c r="J84" s="206" t="s">
        <v>232</v>
      </c>
    </row>
    <row r="85" spans="1:10" x14ac:dyDescent="0.25">
      <c r="A85" s="504"/>
      <c r="B85" s="199" t="s">
        <v>6</v>
      </c>
      <c r="C85" s="200" t="s">
        <v>259</v>
      </c>
      <c r="D85" s="201" t="s">
        <v>60</v>
      </c>
      <c r="E85" s="202">
        <v>1</v>
      </c>
      <c r="F85" s="201">
        <v>2</v>
      </c>
      <c r="G85" s="203">
        <f t="shared" si="4"/>
        <v>76</v>
      </c>
      <c r="H85" s="204">
        <f t="shared" si="5"/>
        <v>63.333333333333336</v>
      </c>
      <c r="I85" s="205" t="s">
        <v>6</v>
      </c>
      <c r="J85" s="206" t="s">
        <v>230</v>
      </c>
    </row>
    <row r="86" spans="1:10" x14ac:dyDescent="0.25">
      <c r="A86" s="504"/>
      <c r="B86" s="199" t="s">
        <v>1108</v>
      </c>
      <c r="C86" s="200" t="s">
        <v>1109</v>
      </c>
      <c r="D86" s="201" t="s">
        <v>60</v>
      </c>
      <c r="E86" s="202">
        <v>1</v>
      </c>
      <c r="F86" s="201">
        <v>0</v>
      </c>
      <c r="G86" s="203">
        <f t="shared" si="4"/>
        <v>0</v>
      </c>
      <c r="H86" s="204">
        <f t="shared" si="5"/>
        <v>0</v>
      </c>
      <c r="I86" s="205" t="s">
        <v>20</v>
      </c>
      <c r="J86" s="206" t="s">
        <v>230</v>
      </c>
    </row>
    <row r="87" spans="1:10" x14ac:dyDescent="0.25">
      <c r="A87" s="504"/>
      <c r="B87" s="199" t="s">
        <v>1089</v>
      </c>
      <c r="C87" s="200" t="s">
        <v>296</v>
      </c>
      <c r="D87" s="201" t="s">
        <v>57</v>
      </c>
      <c r="E87" s="202">
        <v>2</v>
      </c>
      <c r="F87" s="201">
        <v>2</v>
      </c>
      <c r="G87" s="203">
        <f t="shared" si="4"/>
        <v>76</v>
      </c>
      <c r="H87" s="204">
        <f t="shared" si="5"/>
        <v>63.333333333333336</v>
      </c>
      <c r="I87" s="205" t="s">
        <v>20</v>
      </c>
      <c r="J87" s="206" t="s">
        <v>230</v>
      </c>
    </row>
    <row r="88" spans="1:10" x14ac:dyDescent="0.25">
      <c r="A88" s="504"/>
      <c r="B88" s="199" t="s">
        <v>1110</v>
      </c>
      <c r="C88" s="200" t="s">
        <v>1081</v>
      </c>
      <c r="D88" s="201" t="s">
        <v>60</v>
      </c>
      <c r="E88" s="202">
        <v>1</v>
      </c>
      <c r="F88" s="201">
        <v>0</v>
      </c>
      <c r="G88" s="203">
        <f t="shared" si="4"/>
        <v>0</v>
      </c>
      <c r="H88" s="204">
        <f t="shared" si="5"/>
        <v>0</v>
      </c>
      <c r="I88" s="205" t="s">
        <v>9</v>
      </c>
      <c r="J88" s="206" t="s">
        <v>230</v>
      </c>
    </row>
    <row r="89" spans="1:10" x14ac:dyDescent="0.25">
      <c r="A89" s="504"/>
      <c r="B89" s="40" t="s">
        <v>1122</v>
      </c>
      <c r="C89" s="41" t="s">
        <v>464</v>
      </c>
      <c r="D89" s="42" t="s">
        <v>54</v>
      </c>
      <c r="E89" s="43">
        <v>2</v>
      </c>
      <c r="F89" s="42">
        <v>2</v>
      </c>
      <c r="G89" s="44">
        <f t="shared" ref="G89:G94" si="6">F89*$F$2</f>
        <v>76</v>
      </c>
      <c r="H89" s="45">
        <f t="shared" si="5"/>
        <v>63.333333333333336</v>
      </c>
      <c r="I89" s="47" t="s">
        <v>20</v>
      </c>
      <c r="J89" s="46" t="s">
        <v>231</v>
      </c>
    </row>
    <row r="90" spans="1:10" x14ac:dyDescent="0.25">
      <c r="A90" s="504"/>
      <c r="B90" s="40" t="s">
        <v>1123</v>
      </c>
      <c r="C90" s="48" t="s">
        <v>465</v>
      </c>
      <c r="D90" s="42" t="s">
        <v>54</v>
      </c>
      <c r="E90" s="42">
        <v>2</v>
      </c>
      <c r="F90" s="42">
        <v>2</v>
      </c>
      <c r="G90" s="44">
        <f t="shared" si="6"/>
        <v>76</v>
      </c>
      <c r="H90" s="45">
        <f t="shared" si="5"/>
        <v>63.333333333333336</v>
      </c>
      <c r="I90" s="47" t="s">
        <v>20</v>
      </c>
      <c r="J90" s="46" t="s">
        <v>231</v>
      </c>
    </row>
    <row r="91" spans="1:10" ht="15.75" thickBot="1" x14ac:dyDescent="0.3">
      <c r="A91" s="504"/>
      <c r="B91" s="40" t="s">
        <v>1124</v>
      </c>
      <c r="C91" s="48" t="s">
        <v>467</v>
      </c>
      <c r="D91" s="42" t="s">
        <v>54</v>
      </c>
      <c r="E91" s="42">
        <v>2</v>
      </c>
      <c r="F91" s="42">
        <v>2</v>
      </c>
      <c r="G91" s="44">
        <f t="shared" si="6"/>
        <v>76</v>
      </c>
      <c r="H91" s="45">
        <f t="shared" si="5"/>
        <v>63.333333333333336</v>
      </c>
      <c r="I91" s="47" t="s">
        <v>20</v>
      </c>
      <c r="J91" s="46" t="s">
        <v>231</v>
      </c>
    </row>
    <row r="92" spans="1:10" ht="15.75" thickBot="1" x14ac:dyDescent="0.3">
      <c r="A92" s="506" t="s">
        <v>297</v>
      </c>
      <c r="B92" s="507"/>
      <c r="C92" s="42" t="s">
        <v>298</v>
      </c>
      <c r="D92" s="42" t="s">
        <v>60</v>
      </c>
      <c r="E92" s="42">
        <v>1</v>
      </c>
      <c r="F92" s="42">
        <v>2</v>
      </c>
      <c r="G92" s="44">
        <f t="shared" si="6"/>
        <v>76</v>
      </c>
      <c r="H92" s="45">
        <f t="shared" si="5"/>
        <v>63.333333333333336</v>
      </c>
      <c r="I92" s="47" t="s">
        <v>16</v>
      </c>
      <c r="J92" s="46" t="s">
        <v>230</v>
      </c>
    </row>
    <row r="93" spans="1:10" ht="15.75" thickBot="1" x14ac:dyDescent="0.3">
      <c r="A93" s="598" t="s">
        <v>1070</v>
      </c>
      <c r="B93" s="599"/>
      <c r="C93" s="42" t="s">
        <v>1071</v>
      </c>
      <c r="D93" s="42" t="s">
        <v>60</v>
      </c>
      <c r="E93" s="42">
        <v>1</v>
      </c>
      <c r="F93" s="42">
        <v>2</v>
      </c>
      <c r="G93" s="44">
        <f t="shared" si="6"/>
        <v>76</v>
      </c>
      <c r="H93" s="45">
        <f t="shared" si="5"/>
        <v>63.333333333333336</v>
      </c>
      <c r="I93" s="47" t="s">
        <v>15</v>
      </c>
      <c r="J93" s="46" t="s">
        <v>230</v>
      </c>
    </row>
    <row r="94" spans="1:10" ht="15.75" thickBot="1" x14ac:dyDescent="0.3">
      <c r="A94" s="506" t="s">
        <v>300</v>
      </c>
      <c r="B94" s="507"/>
      <c r="C94" s="42" t="s">
        <v>301</v>
      </c>
      <c r="D94" s="42" t="s">
        <v>60</v>
      </c>
      <c r="E94" s="42">
        <v>1</v>
      </c>
      <c r="F94" s="42">
        <v>2</v>
      </c>
      <c r="G94" s="44">
        <f t="shared" si="6"/>
        <v>76</v>
      </c>
      <c r="H94" s="45">
        <f t="shared" si="5"/>
        <v>63.333333333333336</v>
      </c>
      <c r="I94" s="47" t="s">
        <v>17</v>
      </c>
      <c r="J94" s="46" t="s">
        <v>230</v>
      </c>
    </row>
    <row r="95" spans="1:10" ht="16.5" thickBot="1" x14ac:dyDescent="0.3">
      <c r="A95" s="508" t="s">
        <v>302</v>
      </c>
      <c r="B95" s="509"/>
      <c r="C95" s="509"/>
      <c r="D95" s="509"/>
      <c r="E95" s="510"/>
      <c r="F95" s="53">
        <f>SUM(F5:F91)*F2</f>
        <v>4256</v>
      </c>
      <c r="G95" s="53">
        <f>SUM(G5:G94)</f>
        <v>4484</v>
      </c>
      <c r="H95" s="54"/>
      <c r="I95" s="36"/>
    </row>
    <row r="96" spans="1:10" ht="16.5" thickBot="1" x14ac:dyDescent="0.3">
      <c r="A96" s="508" t="s">
        <v>303</v>
      </c>
      <c r="B96" s="509"/>
      <c r="C96" s="509"/>
      <c r="D96" s="509"/>
      <c r="E96" s="510"/>
      <c r="F96" s="55">
        <f>(F95*$C$101)/60</f>
        <v>3546.6666666666665</v>
      </c>
      <c r="G96" s="53" t="s">
        <v>304</v>
      </c>
      <c r="H96" s="55" t="e">
        <f>SUM(F96+#REF!+#REF!)</f>
        <v>#REF!</v>
      </c>
      <c r="I96" s="36"/>
    </row>
    <row r="97" spans="1:9" ht="16.5" thickBot="1" x14ac:dyDescent="0.3">
      <c r="A97" s="508" t="s">
        <v>305</v>
      </c>
      <c r="B97" s="509"/>
      <c r="C97" s="509"/>
      <c r="D97" s="509"/>
      <c r="E97" s="509"/>
      <c r="F97" s="509"/>
      <c r="G97" s="510"/>
      <c r="H97" s="56" t="e">
        <f>H96</f>
        <v>#REF!</v>
      </c>
      <c r="I97" s="57"/>
    </row>
    <row r="98" spans="1:9" ht="15.75" thickBot="1" x14ac:dyDescent="0.3">
      <c r="A98" s="506" t="s">
        <v>306</v>
      </c>
      <c r="B98" s="511"/>
      <c r="C98" s="511"/>
      <c r="D98" s="511"/>
      <c r="E98" s="511"/>
      <c r="F98" s="511"/>
      <c r="G98" s="512"/>
      <c r="H98" s="58">
        <v>150</v>
      </c>
      <c r="I98" s="59"/>
    </row>
    <row r="99" spans="1:9" ht="15.75" thickBot="1" x14ac:dyDescent="0.3">
      <c r="A99" s="506" t="s">
        <v>1072</v>
      </c>
      <c r="B99" s="511"/>
      <c r="C99" s="511"/>
      <c r="D99" s="511"/>
      <c r="E99" s="511"/>
      <c r="F99" s="511"/>
      <c r="G99" s="512"/>
      <c r="H99" s="58">
        <v>80</v>
      </c>
      <c r="I99" s="59"/>
    </row>
    <row r="100" spans="1:9" ht="16.5" thickBot="1" x14ac:dyDescent="0.3">
      <c r="A100" s="508" t="s">
        <v>308</v>
      </c>
      <c r="B100" s="509"/>
      <c r="C100" s="509"/>
      <c r="D100" s="509"/>
      <c r="E100" s="509"/>
      <c r="F100" s="509"/>
      <c r="G100" s="510"/>
      <c r="H100" s="55" t="e">
        <f>ROUNDDOWN(SUM(H97:H99,H92:H94),0)</f>
        <v>#REF!</v>
      </c>
      <c r="I100" s="36"/>
    </row>
    <row r="101" spans="1:9" ht="15.75" x14ac:dyDescent="0.25">
      <c r="A101" s="505" t="s">
        <v>309</v>
      </c>
      <c r="B101" s="505"/>
      <c r="C101" s="38">
        <v>50</v>
      </c>
      <c r="D101" s="60" t="s">
        <v>310</v>
      </c>
      <c r="E101" s="60"/>
      <c r="F101" s="60"/>
      <c r="G101" s="60"/>
      <c r="H101" s="60"/>
      <c r="I101" s="36"/>
    </row>
    <row r="103" spans="1:9" x14ac:dyDescent="0.25">
      <c r="F103" s="219">
        <f>SUMPRODUCT(H5:H91,E5:E91)/F96</f>
        <v>1.2142857142857149</v>
      </c>
    </row>
    <row r="104" spans="1:9" x14ac:dyDescent="0.25">
      <c r="G104" s="219"/>
    </row>
  </sheetData>
  <mergeCells count="18">
    <mergeCell ref="A2:C2"/>
    <mergeCell ref="B3:B4"/>
    <mergeCell ref="C3:C4"/>
    <mergeCell ref="I3:I4"/>
    <mergeCell ref="J3:J4"/>
    <mergeCell ref="A5:A32"/>
    <mergeCell ref="A101:B101"/>
    <mergeCell ref="A33:A63"/>
    <mergeCell ref="A64:A91"/>
    <mergeCell ref="A92:B92"/>
    <mergeCell ref="A93:B93"/>
    <mergeCell ref="A94:B94"/>
    <mergeCell ref="A95:E95"/>
    <mergeCell ref="A96:E96"/>
    <mergeCell ref="A97:G97"/>
    <mergeCell ref="A98:G98"/>
    <mergeCell ref="A99:G99"/>
    <mergeCell ref="A100:G100"/>
  </mergeCells>
  <dataValidations count="2">
    <dataValidation type="list" allowBlank="1" showInputMessage="1" showErrorMessage="1" sqref="I5:I94" xr:uid="{00000000-0002-0000-2200-000000000000}">
      <formula1>Áreas</formula1>
    </dataValidation>
    <dataValidation type="list" allowBlank="1" showInputMessage="1" showErrorMessage="1" sqref="J5:J94" xr:uid="{00000000-0002-0000-22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45">
    <tabColor theme="6" tint="-0.249977111117893"/>
  </sheetPr>
  <dimension ref="A1:L88"/>
  <sheetViews>
    <sheetView topLeftCell="A60" workbookViewId="0">
      <selection activeCell="F68" sqref="F68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6" max="6" width="9.570312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1095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1043</v>
      </c>
      <c r="B5" s="190" t="s">
        <v>249</v>
      </c>
      <c r="C5" s="191" t="s">
        <v>250</v>
      </c>
      <c r="D5" s="192" t="s">
        <v>60</v>
      </c>
      <c r="E5" s="193">
        <v>1</v>
      </c>
      <c r="F5" s="192">
        <v>4</v>
      </c>
      <c r="G5" s="194">
        <f t="shared" ref="G5:G79" si="0">F5*$F$2</f>
        <v>152</v>
      </c>
      <c r="H5" s="195">
        <f t="shared" ref="H5:H68" si="1">(G5)*$C$86/60</f>
        <v>126.66666666666667</v>
      </c>
      <c r="I5" s="196" t="s">
        <v>14</v>
      </c>
      <c r="J5" s="197" t="s">
        <v>230</v>
      </c>
    </row>
    <row r="6" spans="1:10" x14ac:dyDescent="0.25">
      <c r="A6" s="504"/>
      <c r="B6" s="190" t="s">
        <v>12</v>
      </c>
      <c r="C6" s="191" t="s">
        <v>253</v>
      </c>
      <c r="D6" s="192" t="s">
        <v>54</v>
      </c>
      <c r="E6" s="193">
        <v>1</v>
      </c>
      <c r="F6" s="192">
        <v>0</v>
      </c>
      <c r="G6" s="194">
        <f t="shared" si="0"/>
        <v>0</v>
      </c>
      <c r="H6" s="195">
        <f t="shared" si="1"/>
        <v>0</v>
      </c>
      <c r="I6" s="196" t="s">
        <v>12</v>
      </c>
      <c r="J6" s="197" t="s">
        <v>230</v>
      </c>
    </row>
    <row r="7" spans="1:10" x14ac:dyDescent="0.25">
      <c r="A7" s="504"/>
      <c r="B7" s="190" t="s">
        <v>1031</v>
      </c>
      <c r="C7" s="191" t="s">
        <v>1032</v>
      </c>
      <c r="D7" s="192" t="s">
        <v>54</v>
      </c>
      <c r="E7" s="193">
        <v>1</v>
      </c>
      <c r="F7" s="192">
        <v>0</v>
      </c>
      <c r="G7" s="194">
        <f t="shared" si="0"/>
        <v>0</v>
      </c>
      <c r="H7" s="195">
        <f t="shared" si="1"/>
        <v>0</v>
      </c>
      <c r="I7" s="196" t="s">
        <v>13</v>
      </c>
      <c r="J7" s="197" t="s">
        <v>575</v>
      </c>
    </row>
    <row r="8" spans="1:10" x14ac:dyDescent="0.25">
      <c r="A8" s="504"/>
      <c r="B8" s="190" t="s">
        <v>1033</v>
      </c>
      <c r="C8" s="191" t="s">
        <v>1034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575</v>
      </c>
    </row>
    <row r="9" spans="1:10" x14ac:dyDescent="0.25">
      <c r="A9" s="504"/>
      <c r="B9" s="190" t="s">
        <v>1091</v>
      </c>
      <c r="C9" s="191" t="s">
        <v>1092</v>
      </c>
      <c r="D9" s="192" t="s">
        <v>54</v>
      </c>
      <c r="E9" s="193">
        <v>1</v>
      </c>
      <c r="F9" s="192">
        <v>0</v>
      </c>
      <c r="G9" s="194">
        <f t="shared" si="0"/>
        <v>0</v>
      </c>
      <c r="H9" s="195">
        <f t="shared" si="1"/>
        <v>0</v>
      </c>
      <c r="I9" s="196" t="s">
        <v>13</v>
      </c>
      <c r="J9" s="197" t="s">
        <v>575</v>
      </c>
    </row>
    <row r="10" spans="1:10" x14ac:dyDescent="0.25">
      <c r="A10" s="504"/>
      <c r="B10" s="190" t="s">
        <v>15</v>
      </c>
      <c r="C10" s="191" t="s">
        <v>256</v>
      </c>
      <c r="D10" s="192" t="s">
        <v>54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15</v>
      </c>
      <c r="J10" s="197" t="s">
        <v>230</v>
      </c>
    </row>
    <row r="11" spans="1:10" x14ac:dyDescent="0.25">
      <c r="A11" s="504"/>
      <c r="B11" s="190" t="s">
        <v>1035</v>
      </c>
      <c r="C11" s="191" t="s">
        <v>1036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0" x14ac:dyDescent="0.25">
      <c r="A12" s="504"/>
      <c r="B12" s="190" t="s">
        <v>1037</v>
      </c>
      <c r="C12" s="191" t="s">
        <v>1038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21</v>
      </c>
      <c r="J12" s="197" t="s">
        <v>230</v>
      </c>
    </row>
    <row r="13" spans="1:10" x14ac:dyDescent="0.25">
      <c r="A13" s="504"/>
      <c r="B13" s="190" t="s">
        <v>5</v>
      </c>
      <c r="C13" s="191" t="s">
        <v>258</v>
      </c>
      <c r="D13" s="192" t="s">
        <v>60</v>
      </c>
      <c r="E13" s="193">
        <v>1</v>
      </c>
      <c r="F13" s="192">
        <v>0</v>
      </c>
      <c r="G13" s="194">
        <f t="shared" si="0"/>
        <v>0</v>
      </c>
      <c r="H13" s="195">
        <f t="shared" si="1"/>
        <v>0</v>
      </c>
      <c r="I13" s="196" t="s">
        <v>5</v>
      </c>
      <c r="J13" s="197" t="s">
        <v>230</v>
      </c>
    </row>
    <row r="14" spans="1:10" x14ac:dyDescent="0.25">
      <c r="A14" s="504"/>
      <c r="B14" s="190" t="s">
        <v>6</v>
      </c>
      <c r="C14" s="191" t="s">
        <v>259</v>
      </c>
      <c r="D14" s="192" t="s">
        <v>60</v>
      </c>
      <c r="E14" s="193">
        <v>1</v>
      </c>
      <c r="F14" s="192">
        <v>2</v>
      </c>
      <c r="G14" s="194">
        <f t="shared" si="0"/>
        <v>76</v>
      </c>
      <c r="H14" s="195">
        <f t="shared" si="1"/>
        <v>63.333333333333336</v>
      </c>
      <c r="I14" s="196" t="s">
        <v>6</v>
      </c>
      <c r="J14" s="197" t="s">
        <v>230</v>
      </c>
    </row>
    <row r="15" spans="1:10" x14ac:dyDescent="0.25">
      <c r="A15" s="504"/>
      <c r="B15" s="190" t="s">
        <v>7</v>
      </c>
      <c r="C15" s="191" t="s">
        <v>1042</v>
      </c>
      <c r="D15" s="192" t="s">
        <v>60</v>
      </c>
      <c r="E15" s="193">
        <v>1</v>
      </c>
      <c r="F15" s="192">
        <v>2</v>
      </c>
      <c r="G15" s="194">
        <f t="shared" si="0"/>
        <v>76</v>
      </c>
      <c r="H15" s="195">
        <f t="shared" si="1"/>
        <v>63.333333333333336</v>
      </c>
      <c r="I15" s="196" t="s">
        <v>7</v>
      </c>
      <c r="J15" s="197" t="s">
        <v>230</v>
      </c>
    </row>
    <row r="16" spans="1:10" x14ac:dyDescent="0.25">
      <c r="A16" s="504"/>
      <c r="B16" s="190" t="s">
        <v>9</v>
      </c>
      <c r="C16" s="191" t="s">
        <v>261</v>
      </c>
      <c r="D16" s="192" t="s">
        <v>60</v>
      </c>
      <c r="E16" s="193">
        <v>1</v>
      </c>
      <c r="F16" s="192">
        <v>0</v>
      </c>
      <c r="G16" s="194">
        <f t="shared" si="0"/>
        <v>0</v>
      </c>
      <c r="H16" s="195">
        <f t="shared" si="1"/>
        <v>0</v>
      </c>
      <c r="I16" s="196" t="s">
        <v>9</v>
      </c>
      <c r="J16" s="197" t="s">
        <v>230</v>
      </c>
    </row>
    <row r="17" spans="1:12" x14ac:dyDescent="0.25">
      <c r="A17" s="504"/>
      <c r="B17" s="190" t="s">
        <v>10</v>
      </c>
      <c r="C17" s="191" t="s">
        <v>262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10</v>
      </c>
      <c r="J17" s="197" t="s">
        <v>230</v>
      </c>
    </row>
    <row r="18" spans="1:12" x14ac:dyDescent="0.25">
      <c r="A18" s="504"/>
      <c r="B18" s="190" t="s">
        <v>8</v>
      </c>
      <c r="C18" s="191" t="s">
        <v>263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8</v>
      </c>
      <c r="J18" s="197" t="s">
        <v>230</v>
      </c>
    </row>
    <row r="19" spans="1:12" x14ac:dyDescent="0.25">
      <c r="A19" s="504"/>
      <c r="B19" s="190" t="s">
        <v>11</v>
      </c>
      <c r="C19" s="191" t="s">
        <v>264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11</v>
      </c>
      <c r="J19" s="197" t="s">
        <v>230</v>
      </c>
    </row>
    <row r="20" spans="1:12" x14ac:dyDescent="0.25">
      <c r="A20" s="504"/>
      <c r="B20" s="190" t="s">
        <v>1076</v>
      </c>
      <c r="C20" s="191" t="s">
        <v>1077</v>
      </c>
      <c r="D20" s="192" t="s">
        <v>60</v>
      </c>
      <c r="E20" s="193">
        <v>1</v>
      </c>
      <c r="F20" s="192">
        <v>2</v>
      </c>
      <c r="G20" s="194">
        <f t="shared" si="0"/>
        <v>76</v>
      </c>
      <c r="H20" s="195">
        <f t="shared" si="1"/>
        <v>63.333333333333336</v>
      </c>
      <c r="I20" s="196" t="s">
        <v>9</v>
      </c>
      <c r="J20" s="197" t="s">
        <v>230</v>
      </c>
    </row>
    <row r="21" spans="1:12" x14ac:dyDescent="0.25">
      <c r="A21" s="504"/>
      <c r="B21" s="199" t="s">
        <v>1039</v>
      </c>
      <c r="C21" s="200" t="s">
        <v>1080</v>
      </c>
      <c r="D21" s="201" t="s">
        <v>60</v>
      </c>
      <c r="E21" s="202">
        <v>1</v>
      </c>
      <c r="F21" s="201">
        <v>2</v>
      </c>
      <c r="G21" s="203">
        <f t="shared" si="0"/>
        <v>76</v>
      </c>
      <c r="H21" s="204">
        <f t="shared" si="1"/>
        <v>63.333333333333336</v>
      </c>
      <c r="I21" s="205" t="s">
        <v>7</v>
      </c>
      <c r="J21" s="206" t="s">
        <v>230</v>
      </c>
    </row>
    <row r="22" spans="1:12" x14ac:dyDescent="0.25">
      <c r="A22" s="504"/>
      <c r="B22" s="199" t="s">
        <v>1078</v>
      </c>
      <c r="C22" s="200" t="s">
        <v>1081</v>
      </c>
      <c r="D22" s="201" t="s">
        <v>60</v>
      </c>
      <c r="E22" s="202">
        <v>1</v>
      </c>
      <c r="F22" s="201">
        <v>0</v>
      </c>
      <c r="G22" s="203">
        <f t="shared" si="0"/>
        <v>0</v>
      </c>
      <c r="H22" s="204">
        <f t="shared" si="1"/>
        <v>0</v>
      </c>
      <c r="I22" s="205" t="s">
        <v>9</v>
      </c>
      <c r="J22" s="206" t="s">
        <v>230</v>
      </c>
    </row>
    <row r="23" spans="1:12" x14ac:dyDescent="0.25">
      <c r="A23" s="504"/>
      <c r="B23" s="199" t="s">
        <v>1061</v>
      </c>
      <c r="C23" s="200" t="s">
        <v>596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315</v>
      </c>
      <c r="J23" s="206" t="s">
        <v>230</v>
      </c>
    </row>
    <row r="24" spans="1:12" x14ac:dyDescent="0.25">
      <c r="A24" s="504"/>
      <c r="B24" s="199" t="s">
        <v>1044</v>
      </c>
      <c r="C24" s="200" t="s">
        <v>1045</v>
      </c>
      <c r="D24" s="201" t="s">
        <v>60</v>
      </c>
      <c r="E24" s="202">
        <v>1</v>
      </c>
      <c r="F24" s="201">
        <v>0</v>
      </c>
      <c r="G24" s="203">
        <f t="shared" si="0"/>
        <v>0</v>
      </c>
      <c r="H24" s="204">
        <f t="shared" si="1"/>
        <v>0</v>
      </c>
      <c r="I24" s="205" t="s">
        <v>15</v>
      </c>
      <c r="J24" s="206" t="s">
        <v>230</v>
      </c>
    </row>
    <row r="25" spans="1:12" x14ac:dyDescent="0.25">
      <c r="A25" s="504"/>
      <c r="B25" s="40" t="s">
        <v>1079</v>
      </c>
      <c r="C25" s="41" t="s">
        <v>578</v>
      </c>
      <c r="D25" s="42" t="s">
        <v>54</v>
      </c>
      <c r="E25" s="43">
        <v>2</v>
      </c>
      <c r="F25" s="42">
        <v>4</v>
      </c>
      <c r="G25" s="44">
        <f>F25*$F$2</f>
        <v>152</v>
      </c>
      <c r="H25" s="45">
        <f t="shared" si="1"/>
        <v>126.66666666666667</v>
      </c>
      <c r="I25" s="47" t="s">
        <v>1189</v>
      </c>
      <c r="J25" s="46" t="s">
        <v>231</v>
      </c>
      <c r="L25">
        <f>H25*E25</f>
        <v>253.33333333333334</v>
      </c>
    </row>
    <row r="26" spans="1:12" x14ac:dyDescent="0.25">
      <c r="A26" s="504"/>
      <c r="B26" s="40" t="s">
        <v>1082</v>
      </c>
      <c r="C26" s="48" t="s">
        <v>580</v>
      </c>
      <c r="D26" s="42" t="s">
        <v>54</v>
      </c>
      <c r="E26" s="42">
        <v>2</v>
      </c>
      <c r="F26" s="42">
        <v>4</v>
      </c>
      <c r="G26" s="44">
        <f>F26*$F$2</f>
        <v>152</v>
      </c>
      <c r="H26" s="45">
        <f t="shared" si="1"/>
        <v>126.66666666666667</v>
      </c>
      <c r="I26" s="47" t="s">
        <v>1213</v>
      </c>
      <c r="J26" s="46" t="s">
        <v>231</v>
      </c>
      <c r="L26">
        <f>H26*E26</f>
        <v>253.33333333333334</v>
      </c>
    </row>
    <row r="27" spans="1:12" x14ac:dyDescent="0.25">
      <c r="A27" s="504"/>
      <c r="B27" s="40" t="s">
        <v>581</v>
      </c>
      <c r="C27" s="48" t="s">
        <v>582</v>
      </c>
      <c r="D27" s="42" t="s">
        <v>54</v>
      </c>
      <c r="E27" s="42">
        <v>2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1189</v>
      </c>
      <c r="J27" s="46" t="s">
        <v>231</v>
      </c>
      <c r="L27">
        <f>H27*E27</f>
        <v>126.66666666666667</v>
      </c>
    </row>
    <row r="28" spans="1:12" x14ac:dyDescent="0.25">
      <c r="A28" s="504"/>
      <c r="B28" s="40" t="s">
        <v>1083</v>
      </c>
      <c r="C28" s="48" t="s">
        <v>584</v>
      </c>
      <c r="D28" s="42" t="s">
        <v>54</v>
      </c>
      <c r="E28" s="42">
        <v>2</v>
      </c>
      <c r="F28" s="42">
        <v>2</v>
      </c>
      <c r="G28" s="44">
        <f t="shared" si="0"/>
        <v>76</v>
      </c>
      <c r="H28" s="45">
        <f t="shared" si="1"/>
        <v>63.333333333333336</v>
      </c>
      <c r="I28" s="47" t="s">
        <v>1213</v>
      </c>
      <c r="J28" s="46" t="s">
        <v>231</v>
      </c>
      <c r="L28">
        <f>H28*E28</f>
        <v>126.66666666666667</v>
      </c>
    </row>
    <row r="29" spans="1:12" ht="15" customHeight="1" x14ac:dyDescent="0.25">
      <c r="A29" s="504" t="s">
        <v>274</v>
      </c>
      <c r="B29" s="190" t="s">
        <v>249</v>
      </c>
      <c r="C29" s="191" t="s">
        <v>250</v>
      </c>
      <c r="D29" s="192" t="s">
        <v>60</v>
      </c>
      <c r="E29" s="193">
        <v>1</v>
      </c>
      <c r="F29" s="192">
        <v>4</v>
      </c>
      <c r="G29" s="194">
        <f t="shared" si="0"/>
        <v>152</v>
      </c>
      <c r="H29" s="195">
        <f t="shared" si="1"/>
        <v>126.66666666666667</v>
      </c>
      <c r="I29" s="196" t="s">
        <v>14</v>
      </c>
      <c r="J29" s="197" t="s">
        <v>230</v>
      </c>
    </row>
    <row r="30" spans="1:12" x14ac:dyDescent="0.25">
      <c r="A30" s="504"/>
      <c r="B30" s="190" t="s">
        <v>12</v>
      </c>
      <c r="C30" s="191" t="s">
        <v>253</v>
      </c>
      <c r="D30" s="192" t="s">
        <v>54</v>
      </c>
      <c r="E30" s="193">
        <v>1</v>
      </c>
      <c r="F30" s="192">
        <v>0</v>
      </c>
      <c r="G30" s="194">
        <f t="shared" si="0"/>
        <v>0</v>
      </c>
      <c r="H30" s="195">
        <f t="shared" si="1"/>
        <v>0</v>
      </c>
      <c r="I30" s="196" t="s">
        <v>12</v>
      </c>
      <c r="J30" s="197" t="s">
        <v>230</v>
      </c>
    </row>
    <row r="31" spans="1:12" x14ac:dyDescent="0.25">
      <c r="A31" s="504"/>
      <c r="B31" s="190" t="s">
        <v>1031</v>
      </c>
      <c r="C31" s="191" t="s">
        <v>1032</v>
      </c>
      <c r="D31" s="192" t="s">
        <v>54</v>
      </c>
      <c r="E31" s="193">
        <v>1</v>
      </c>
      <c r="F31" s="192">
        <v>0</v>
      </c>
      <c r="G31" s="194">
        <f t="shared" si="0"/>
        <v>0</v>
      </c>
      <c r="H31" s="195">
        <f t="shared" si="1"/>
        <v>0</v>
      </c>
      <c r="I31" s="196" t="s">
        <v>13</v>
      </c>
      <c r="J31" s="197" t="s">
        <v>575</v>
      </c>
    </row>
    <row r="32" spans="1:12" x14ac:dyDescent="0.25">
      <c r="A32" s="504"/>
      <c r="B32" s="190" t="s">
        <v>1033</v>
      </c>
      <c r="C32" s="191" t="s">
        <v>1034</v>
      </c>
      <c r="D32" s="192" t="s">
        <v>54</v>
      </c>
      <c r="E32" s="193">
        <v>1</v>
      </c>
      <c r="F32" s="192">
        <v>0</v>
      </c>
      <c r="G32" s="194">
        <f t="shared" si="0"/>
        <v>0</v>
      </c>
      <c r="H32" s="195">
        <f t="shared" si="1"/>
        <v>0</v>
      </c>
      <c r="I32" s="196" t="s">
        <v>13</v>
      </c>
      <c r="J32" s="197" t="s">
        <v>575</v>
      </c>
    </row>
    <row r="33" spans="1:10" x14ac:dyDescent="0.25">
      <c r="A33" s="504"/>
      <c r="B33" s="190" t="s">
        <v>1091</v>
      </c>
      <c r="C33" s="191" t="s">
        <v>1092</v>
      </c>
      <c r="D33" s="192" t="s">
        <v>54</v>
      </c>
      <c r="E33" s="193">
        <v>1</v>
      </c>
      <c r="F33" s="192">
        <v>2</v>
      </c>
      <c r="G33" s="194">
        <f>F33*$F$2</f>
        <v>76</v>
      </c>
      <c r="H33" s="195">
        <f t="shared" si="1"/>
        <v>63.333333333333336</v>
      </c>
      <c r="I33" s="196" t="s">
        <v>13</v>
      </c>
      <c r="J33" s="197" t="s">
        <v>575</v>
      </c>
    </row>
    <row r="34" spans="1:10" x14ac:dyDescent="0.25">
      <c r="A34" s="504"/>
      <c r="B34" s="190" t="s">
        <v>15</v>
      </c>
      <c r="C34" s="191" t="s">
        <v>256</v>
      </c>
      <c r="D34" s="192" t="s">
        <v>54</v>
      </c>
      <c r="E34" s="193">
        <v>1</v>
      </c>
      <c r="F34" s="192">
        <v>0</v>
      </c>
      <c r="G34" s="194">
        <f t="shared" si="0"/>
        <v>0</v>
      </c>
      <c r="H34" s="195">
        <f t="shared" si="1"/>
        <v>0</v>
      </c>
      <c r="I34" s="196" t="s">
        <v>15</v>
      </c>
      <c r="J34" s="197" t="s">
        <v>230</v>
      </c>
    </row>
    <row r="35" spans="1:10" x14ac:dyDescent="0.25">
      <c r="A35" s="504"/>
      <c r="B35" s="190" t="s">
        <v>1035</v>
      </c>
      <c r="C35" s="191" t="s">
        <v>1036</v>
      </c>
      <c r="D35" s="192" t="s">
        <v>60</v>
      </c>
      <c r="E35" s="193">
        <v>1</v>
      </c>
      <c r="F35" s="192">
        <v>2</v>
      </c>
      <c r="G35" s="194">
        <f t="shared" si="0"/>
        <v>76</v>
      </c>
      <c r="H35" s="195">
        <f t="shared" si="1"/>
        <v>63.333333333333336</v>
      </c>
      <c r="I35" s="196" t="s">
        <v>21</v>
      </c>
      <c r="J35" s="197" t="s">
        <v>230</v>
      </c>
    </row>
    <row r="36" spans="1:10" x14ac:dyDescent="0.25">
      <c r="A36" s="504"/>
      <c r="B36" s="190" t="s">
        <v>1037</v>
      </c>
      <c r="C36" s="191" t="s">
        <v>1038</v>
      </c>
      <c r="D36" s="192" t="s">
        <v>60</v>
      </c>
      <c r="E36" s="193">
        <v>1</v>
      </c>
      <c r="F36" s="192">
        <v>2</v>
      </c>
      <c r="G36" s="194">
        <f t="shared" si="0"/>
        <v>76</v>
      </c>
      <c r="H36" s="195">
        <f t="shared" si="1"/>
        <v>63.333333333333336</v>
      </c>
      <c r="I36" s="196" t="s">
        <v>21</v>
      </c>
      <c r="J36" s="197" t="s">
        <v>230</v>
      </c>
    </row>
    <row r="37" spans="1:10" x14ac:dyDescent="0.25">
      <c r="A37" s="504"/>
      <c r="B37" s="190" t="s">
        <v>1041</v>
      </c>
      <c r="C37" s="191" t="s">
        <v>258</v>
      </c>
      <c r="D37" s="192" t="s">
        <v>60</v>
      </c>
      <c r="E37" s="193">
        <v>1</v>
      </c>
      <c r="F37" s="192">
        <v>2</v>
      </c>
      <c r="G37" s="194">
        <f t="shared" si="0"/>
        <v>76</v>
      </c>
      <c r="H37" s="195">
        <f t="shared" si="1"/>
        <v>63.333333333333336</v>
      </c>
      <c r="I37" s="196" t="s">
        <v>5</v>
      </c>
      <c r="J37" s="197" t="s">
        <v>230</v>
      </c>
    </row>
    <row r="38" spans="1:10" x14ac:dyDescent="0.25">
      <c r="A38" s="504"/>
      <c r="B38" s="190" t="s">
        <v>6</v>
      </c>
      <c r="C38" s="191" t="s">
        <v>259</v>
      </c>
      <c r="D38" s="192" t="s">
        <v>60</v>
      </c>
      <c r="E38" s="193">
        <v>1</v>
      </c>
      <c r="F38" s="192">
        <v>2</v>
      </c>
      <c r="G38" s="194">
        <f t="shared" si="0"/>
        <v>76</v>
      </c>
      <c r="H38" s="195">
        <f t="shared" si="1"/>
        <v>63.333333333333336</v>
      </c>
      <c r="I38" s="196" t="s">
        <v>6</v>
      </c>
      <c r="J38" s="197" t="s">
        <v>230</v>
      </c>
    </row>
    <row r="39" spans="1:10" x14ac:dyDescent="0.25">
      <c r="A39" s="504"/>
      <c r="B39" s="190" t="s">
        <v>7</v>
      </c>
      <c r="C39" s="191" t="s">
        <v>1042</v>
      </c>
      <c r="D39" s="192" t="s">
        <v>60</v>
      </c>
      <c r="E39" s="193">
        <v>1</v>
      </c>
      <c r="F39" s="192">
        <v>2</v>
      </c>
      <c r="G39" s="194">
        <f t="shared" si="0"/>
        <v>76</v>
      </c>
      <c r="H39" s="195">
        <f t="shared" si="1"/>
        <v>63.333333333333336</v>
      </c>
      <c r="I39" s="196" t="s">
        <v>7</v>
      </c>
      <c r="J39" s="197" t="s">
        <v>230</v>
      </c>
    </row>
    <row r="40" spans="1:10" x14ac:dyDescent="0.25">
      <c r="A40" s="504"/>
      <c r="B40" s="190" t="s">
        <v>9</v>
      </c>
      <c r="C40" s="191" t="s">
        <v>261</v>
      </c>
      <c r="D40" s="192" t="s">
        <v>60</v>
      </c>
      <c r="E40" s="193">
        <v>1</v>
      </c>
      <c r="F40" s="192">
        <v>2</v>
      </c>
      <c r="G40" s="194">
        <f t="shared" si="0"/>
        <v>76</v>
      </c>
      <c r="H40" s="195">
        <f t="shared" si="1"/>
        <v>63.333333333333336</v>
      </c>
      <c r="I40" s="196" t="s">
        <v>9</v>
      </c>
      <c r="J40" s="197" t="s">
        <v>230</v>
      </c>
    </row>
    <row r="41" spans="1:10" x14ac:dyDescent="0.25">
      <c r="A41" s="504"/>
      <c r="B41" s="190" t="s">
        <v>10</v>
      </c>
      <c r="C41" s="191" t="s">
        <v>262</v>
      </c>
      <c r="D41" s="192" t="s">
        <v>60</v>
      </c>
      <c r="E41" s="193">
        <v>1</v>
      </c>
      <c r="F41" s="192">
        <v>0</v>
      </c>
      <c r="G41" s="194">
        <f t="shared" si="0"/>
        <v>0</v>
      </c>
      <c r="H41" s="195">
        <f t="shared" si="1"/>
        <v>0</v>
      </c>
      <c r="I41" s="196" t="s">
        <v>10</v>
      </c>
      <c r="J41" s="197" t="s">
        <v>230</v>
      </c>
    </row>
    <row r="42" spans="1:10" x14ac:dyDescent="0.25">
      <c r="A42" s="504"/>
      <c r="B42" s="190" t="s">
        <v>8</v>
      </c>
      <c r="C42" s="191" t="s">
        <v>263</v>
      </c>
      <c r="D42" s="192" t="s">
        <v>60</v>
      </c>
      <c r="E42" s="193">
        <v>1</v>
      </c>
      <c r="F42" s="192">
        <v>2</v>
      </c>
      <c r="G42" s="194">
        <f t="shared" si="0"/>
        <v>76</v>
      </c>
      <c r="H42" s="195">
        <f t="shared" si="1"/>
        <v>63.333333333333336</v>
      </c>
      <c r="I42" s="196" t="s">
        <v>8</v>
      </c>
      <c r="J42" s="197" t="s">
        <v>230</v>
      </c>
    </row>
    <row r="43" spans="1:10" x14ac:dyDescent="0.25">
      <c r="A43" s="504"/>
      <c r="B43" s="190" t="s">
        <v>11</v>
      </c>
      <c r="C43" s="191" t="s">
        <v>264</v>
      </c>
      <c r="D43" s="192" t="s">
        <v>60</v>
      </c>
      <c r="E43" s="193">
        <v>1</v>
      </c>
      <c r="F43" s="192">
        <v>2</v>
      </c>
      <c r="G43" s="194">
        <f t="shared" si="0"/>
        <v>76</v>
      </c>
      <c r="H43" s="195">
        <f t="shared" si="1"/>
        <v>63.333333333333336</v>
      </c>
      <c r="I43" s="196" t="s">
        <v>11</v>
      </c>
      <c r="J43" s="197" t="s">
        <v>230</v>
      </c>
    </row>
    <row r="44" spans="1:10" x14ac:dyDescent="0.25">
      <c r="A44" s="504"/>
      <c r="B44" s="190" t="s">
        <v>1076</v>
      </c>
      <c r="C44" s="191" t="s">
        <v>1077</v>
      </c>
      <c r="D44" s="192" t="s">
        <v>60</v>
      </c>
      <c r="E44" s="193">
        <v>1</v>
      </c>
      <c r="F44" s="192">
        <v>0</v>
      </c>
      <c r="G44" s="194">
        <f t="shared" si="0"/>
        <v>0</v>
      </c>
      <c r="H44" s="195">
        <f t="shared" si="1"/>
        <v>0</v>
      </c>
      <c r="I44" s="196" t="s">
        <v>9</v>
      </c>
      <c r="J44" s="197" t="s">
        <v>230</v>
      </c>
    </row>
    <row r="45" spans="1:10" x14ac:dyDescent="0.25">
      <c r="A45" s="504"/>
      <c r="B45" s="199" t="s">
        <v>1039</v>
      </c>
      <c r="C45" s="200" t="s">
        <v>1080</v>
      </c>
      <c r="D45" s="201" t="s">
        <v>60</v>
      </c>
      <c r="E45" s="202">
        <v>1</v>
      </c>
      <c r="F45" s="201">
        <v>0</v>
      </c>
      <c r="G45" s="203">
        <f t="shared" si="0"/>
        <v>0</v>
      </c>
      <c r="H45" s="204">
        <f t="shared" si="1"/>
        <v>0</v>
      </c>
      <c r="I45" s="205" t="s">
        <v>7</v>
      </c>
      <c r="J45" s="206" t="s">
        <v>230</v>
      </c>
    </row>
    <row r="46" spans="1:10" x14ac:dyDescent="0.25">
      <c r="A46" s="504"/>
      <c r="B46" s="199" t="s">
        <v>1078</v>
      </c>
      <c r="C46" s="200" t="s">
        <v>1081</v>
      </c>
      <c r="D46" s="201" t="s">
        <v>60</v>
      </c>
      <c r="E46" s="202">
        <v>1</v>
      </c>
      <c r="F46" s="201">
        <v>2</v>
      </c>
      <c r="G46" s="203">
        <f t="shared" si="0"/>
        <v>76</v>
      </c>
      <c r="H46" s="204">
        <f t="shared" si="1"/>
        <v>63.333333333333336</v>
      </c>
      <c r="I46" s="205" t="s">
        <v>9</v>
      </c>
      <c r="J46" s="206" t="s">
        <v>230</v>
      </c>
    </row>
    <row r="47" spans="1:10" x14ac:dyDescent="0.25">
      <c r="A47" s="504"/>
      <c r="B47" s="199" t="s">
        <v>1061</v>
      </c>
      <c r="C47" s="200" t="s">
        <v>596</v>
      </c>
      <c r="D47" s="201" t="s">
        <v>60</v>
      </c>
      <c r="E47" s="202">
        <v>1</v>
      </c>
      <c r="F47" s="201">
        <v>0</v>
      </c>
      <c r="G47" s="203">
        <f t="shared" si="0"/>
        <v>0</v>
      </c>
      <c r="H47" s="204">
        <f t="shared" si="1"/>
        <v>0</v>
      </c>
      <c r="I47" s="205" t="s">
        <v>315</v>
      </c>
      <c r="J47" s="206" t="s">
        <v>230</v>
      </c>
    </row>
    <row r="48" spans="1:10" x14ac:dyDescent="0.25">
      <c r="A48" s="504"/>
      <c r="B48" s="199" t="s">
        <v>1044</v>
      </c>
      <c r="C48" s="200" t="s">
        <v>1045</v>
      </c>
      <c r="D48" s="201" t="s">
        <v>60</v>
      </c>
      <c r="E48" s="202">
        <v>1</v>
      </c>
      <c r="F48" s="201">
        <v>0</v>
      </c>
      <c r="G48" s="203">
        <f t="shared" si="0"/>
        <v>0</v>
      </c>
      <c r="H48" s="204">
        <f t="shared" si="1"/>
        <v>0</v>
      </c>
      <c r="I48" s="205" t="s">
        <v>15</v>
      </c>
      <c r="J48" s="206" t="s">
        <v>230</v>
      </c>
    </row>
    <row r="49" spans="1:12" x14ac:dyDescent="0.25">
      <c r="A49" s="504"/>
      <c r="B49" s="40" t="s">
        <v>1084</v>
      </c>
      <c r="C49" s="41" t="s">
        <v>586</v>
      </c>
      <c r="D49" s="42" t="s">
        <v>54</v>
      </c>
      <c r="E49" s="43">
        <v>2</v>
      </c>
      <c r="F49" s="42">
        <v>2</v>
      </c>
      <c r="G49" s="44">
        <f>F49*$F$2</f>
        <v>76</v>
      </c>
      <c r="H49" s="45">
        <f t="shared" si="1"/>
        <v>63.333333333333336</v>
      </c>
      <c r="I49" s="47" t="s">
        <v>1189</v>
      </c>
      <c r="J49" s="46" t="s">
        <v>231</v>
      </c>
      <c r="L49">
        <f>H49*E49</f>
        <v>126.66666666666667</v>
      </c>
    </row>
    <row r="50" spans="1:12" x14ac:dyDescent="0.25">
      <c r="A50" s="504"/>
      <c r="B50" s="40" t="s">
        <v>1085</v>
      </c>
      <c r="C50" s="48" t="s">
        <v>588</v>
      </c>
      <c r="D50" s="42" t="s">
        <v>54</v>
      </c>
      <c r="E50" s="42">
        <v>2</v>
      </c>
      <c r="F50" s="42">
        <v>2</v>
      </c>
      <c r="G50" s="44">
        <f t="shared" ref="G50:G73" si="2">F50*$F$2</f>
        <v>76</v>
      </c>
      <c r="H50" s="45">
        <f t="shared" si="1"/>
        <v>63.333333333333336</v>
      </c>
      <c r="I50" s="47" t="s">
        <v>1189</v>
      </c>
      <c r="J50" s="46" t="s">
        <v>231</v>
      </c>
      <c r="L50">
        <f>H50*E50</f>
        <v>126.66666666666667</v>
      </c>
    </row>
    <row r="51" spans="1:12" x14ac:dyDescent="0.25">
      <c r="A51" s="504"/>
      <c r="B51" s="40" t="s">
        <v>1086</v>
      </c>
      <c r="C51" s="48" t="s">
        <v>590</v>
      </c>
      <c r="D51" s="42" t="s">
        <v>54</v>
      </c>
      <c r="E51" s="42">
        <v>2</v>
      </c>
      <c r="F51" s="42">
        <v>4</v>
      </c>
      <c r="G51" s="44">
        <f t="shared" si="2"/>
        <v>152</v>
      </c>
      <c r="H51" s="45">
        <f t="shared" si="1"/>
        <v>126.66666666666667</v>
      </c>
      <c r="I51" s="47" t="s">
        <v>1189</v>
      </c>
      <c r="J51" s="46" t="s">
        <v>231</v>
      </c>
      <c r="L51">
        <f>H51*E51</f>
        <v>253.33333333333334</v>
      </c>
    </row>
    <row r="52" spans="1:12" x14ac:dyDescent="0.25">
      <c r="A52" s="504"/>
      <c r="B52" s="40" t="s">
        <v>591</v>
      </c>
      <c r="C52" s="48" t="s">
        <v>592</v>
      </c>
      <c r="D52" s="42" t="s">
        <v>60</v>
      </c>
      <c r="E52" s="42">
        <v>2</v>
      </c>
      <c r="F52" s="42">
        <v>2</v>
      </c>
      <c r="G52" s="44">
        <f>F52*$F$2</f>
        <v>76</v>
      </c>
      <c r="H52" s="45">
        <f t="shared" si="1"/>
        <v>63.333333333333336</v>
      </c>
      <c r="I52" s="47" t="s">
        <v>1189</v>
      </c>
      <c r="J52" s="46" t="s">
        <v>231</v>
      </c>
      <c r="L52">
        <f>H52*E52</f>
        <v>126.66666666666667</v>
      </c>
    </row>
    <row r="53" spans="1:12" x14ac:dyDescent="0.25">
      <c r="A53" s="504"/>
      <c r="B53" s="40" t="s">
        <v>1089</v>
      </c>
      <c r="C53" s="48" t="s">
        <v>1090</v>
      </c>
      <c r="D53" s="42" t="s">
        <v>54</v>
      </c>
      <c r="E53" s="42">
        <v>2</v>
      </c>
      <c r="F53" s="42">
        <v>2</v>
      </c>
      <c r="G53" s="44">
        <f t="shared" si="2"/>
        <v>76</v>
      </c>
      <c r="H53" s="45">
        <f t="shared" si="1"/>
        <v>63.333333333333336</v>
      </c>
      <c r="I53" s="47" t="s">
        <v>1189</v>
      </c>
      <c r="J53" s="46" t="s">
        <v>231</v>
      </c>
      <c r="L53">
        <f>H53*E53</f>
        <v>126.66666666666667</v>
      </c>
    </row>
    <row r="54" spans="1:12" ht="15" customHeight="1" x14ac:dyDescent="0.25">
      <c r="A54" s="504" t="s">
        <v>1064</v>
      </c>
      <c r="B54" s="190" t="s">
        <v>249</v>
      </c>
      <c r="C54" s="191" t="s">
        <v>250</v>
      </c>
      <c r="D54" s="192" t="s">
        <v>60</v>
      </c>
      <c r="E54" s="193">
        <v>1</v>
      </c>
      <c r="F54" s="192">
        <v>4</v>
      </c>
      <c r="G54" s="194">
        <f t="shared" si="2"/>
        <v>152</v>
      </c>
      <c r="H54" s="195">
        <f t="shared" si="1"/>
        <v>126.66666666666667</v>
      </c>
      <c r="I54" s="196" t="s">
        <v>14</v>
      </c>
      <c r="J54" s="197" t="s">
        <v>230</v>
      </c>
    </row>
    <row r="55" spans="1:12" x14ac:dyDescent="0.25">
      <c r="A55" s="504"/>
      <c r="B55" s="190" t="s">
        <v>12</v>
      </c>
      <c r="C55" s="191" t="s">
        <v>253</v>
      </c>
      <c r="D55" s="192" t="s">
        <v>54</v>
      </c>
      <c r="E55" s="193">
        <v>1</v>
      </c>
      <c r="F55" s="192">
        <v>2</v>
      </c>
      <c r="G55" s="194">
        <f t="shared" si="2"/>
        <v>76</v>
      </c>
      <c r="H55" s="195">
        <f t="shared" si="1"/>
        <v>63.333333333333336</v>
      </c>
      <c r="I55" s="196" t="s">
        <v>12</v>
      </c>
      <c r="J55" s="197" t="s">
        <v>230</v>
      </c>
    </row>
    <row r="56" spans="1:12" x14ac:dyDescent="0.25">
      <c r="A56" s="504"/>
      <c r="B56" s="190" t="s">
        <v>1031</v>
      </c>
      <c r="C56" s="191" t="s">
        <v>1032</v>
      </c>
      <c r="D56" s="192" t="s">
        <v>54</v>
      </c>
      <c r="E56" s="193">
        <v>1</v>
      </c>
      <c r="F56" s="192">
        <v>2</v>
      </c>
      <c r="G56" s="194">
        <f t="shared" si="2"/>
        <v>76</v>
      </c>
      <c r="H56" s="195">
        <f t="shared" si="1"/>
        <v>63.333333333333336</v>
      </c>
      <c r="I56" s="196" t="s">
        <v>13</v>
      </c>
      <c r="J56" s="197" t="s">
        <v>575</v>
      </c>
    </row>
    <row r="57" spans="1:12" x14ac:dyDescent="0.25">
      <c r="A57" s="504"/>
      <c r="B57" s="190" t="s">
        <v>1033</v>
      </c>
      <c r="C57" s="191" t="s">
        <v>1034</v>
      </c>
      <c r="D57" s="192" t="s">
        <v>54</v>
      </c>
      <c r="E57" s="193">
        <v>1</v>
      </c>
      <c r="F57" s="192">
        <v>0</v>
      </c>
      <c r="G57" s="194">
        <f t="shared" si="2"/>
        <v>0</v>
      </c>
      <c r="H57" s="195">
        <f t="shared" si="1"/>
        <v>0</v>
      </c>
      <c r="I57" s="196" t="s">
        <v>13</v>
      </c>
      <c r="J57" s="197" t="s">
        <v>575</v>
      </c>
    </row>
    <row r="58" spans="1:12" x14ac:dyDescent="0.25">
      <c r="A58" s="504"/>
      <c r="B58" s="190" t="s">
        <v>1091</v>
      </c>
      <c r="C58" s="191" t="s">
        <v>1092</v>
      </c>
      <c r="D58" s="192" t="s">
        <v>54</v>
      </c>
      <c r="E58" s="193">
        <v>1</v>
      </c>
      <c r="F58" s="192">
        <v>2</v>
      </c>
      <c r="G58" s="194">
        <f t="shared" si="2"/>
        <v>76</v>
      </c>
      <c r="H58" s="195">
        <f t="shared" si="1"/>
        <v>63.333333333333336</v>
      </c>
      <c r="I58" s="196" t="s">
        <v>13</v>
      </c>
      <c r="J58" s="197" t="s">
        <v>575</v>
      </c>
    </row>
    <row r="59" spans="1:12" x14ac:dyDescent="0.25">
      <c r="A59" s="504"/>
      <c r="B59" s="190" t="s">
        <v>15</v>
      </c>
      <c r="C59" s="191" t="s">
        <v>256</v>
      </c>
      <c r="D59" s="192" t="s">
        <v>54</v>
      </c>
      <c r="E59" s="193">
        <v>1</v>
      </c>
      <c r="F59" s="192">
        <v>0</v>
      </c>
      <c r="G59" s="194">
        <f t="shared" si="2"/>
        <v>0</v>
      </c>
      <c r="H59" s="195">
        <f t="shared" si="1"/>
        <v>0</v>
      </c>
      <c r="I59" s="196" t="s">
        <v>15</v>
      </c>
      <c r="J59" s="197" t="s">
        <v>230</v>
      </c>
    </row>
    <row r="60" spans="1:12" x14ac:dyDescent="0.25">
      <c r="A60" s="504"/>
      <c r="B60" s="190" t="s">
        <v>1035</v>
      </c>
      <c r="C60" s="191" t="s">
        <v>1036</v>
      </c>
      <c r="D60" s="192" t="s">
        <v>60</v>
      </c>
      <c r="E60" s="193">
        <v>1</v>
      </c>
      <c r="F60" s="192">
        <v>2</v>
      </c>
      <c r="G60" s="194">
        <f t="shared" si="2"/>
        <v>76</v>
      </c>
      <c r="H60" s="195">
        <f t="shared" si="1"/>
        <v>63.333333333333336</v>
      </c>
      <c r="I60" s="196" t="s">
        <v>21</v>
      </c>
      <c r="J60" s="197" t="s">
        <v>230</v>
      </c>
    </row>
    <row r="61" spans="1:12" x14ac:dyDescent="0.25">
      <c r="A61" s="504"/>
      <c r="B61" s="190" t="s">
        <v>1037</v>
      </c>
      <c r="C61" s="191" t="s">
        <v>1038</v>
      </c>
      <c r="D61" s="192" t="s">
        <v>60</v>
      </c>
      <c r="E61" s="193">
        <v>1</v>
      </c>
      <c r="F61" s="192">
        <v>2</v>
      </c>
      <c r="G61" s="194">
        <f t="shared" si="2"/>
        <v>76</v>
      </c>
      <c r="H61" s="195">
        <f t="shared" si="1"/>
        <v>63.333333333333336</v>
      </c>
      <c r="I61" s="196" t="s">
        <v>21</v>
      </c>
      <c r="J61" s="197" t="s">
        <v>230</v>
      </c>
    </row>
    <row r="62" spans="1:12" x14ac:dyDescent="0.25">
      <c r="A62" s="504"/>
      <c r="B62" s="190" t="s">
        <v>1041</v>
      </c>
      <c r="C62" s="191" t="s">
        <v>258</v>
      </c>
      <c r="D62" s="192" t="s">
        <v>60</v>
      </c>
      <c r="E62" s="193">
        <v>1</v>
      </c>
      <c r="F62" s="192">
        <v>2</v>
      </c>
      <c r="G62" s="194">
        <f t="shared" si="2"/>
        <v>76</v>
      </c>
      <c r="H62" s="195">
        <f t="shared" si="1"/>
        <v>63.333333333333336</v>
      </c>
      <c r="I62" s="196" t="s">
        <v>5</v>
      </c>
      <c r="J62" s="197" t="s">
        <v>230</v>
      </c>
    </row>
    <row r="63" spans="1:12" x14ac:dyDescent="0.25">
      <c r="A63" s="504"/>
      <c r="B63" s="190" t="s">
        <v>6</v>
      </c>
      <c r="C63" s="191" t="s">
        <v>259</v>
      </c>
      <c r="D63" s="192" t="s">
        <v>60</v>
      </c>
      <c r="E63" s="193">
        <v>1</v>
      </c>
      <c r="F63" s="192">
        <v>2</v>
      </c>
      <c r="G63" s="194">
        <f t="shared" si="2"/>
        <v>76</v>
      </c>
      <c r="H63" s="195">
        <f t="shared" si="1"/>
        <v>63.333333333333336</v>
      </c>
      <c r="I63" s="196" t="s">
        <v>6</v>
      </c>
      <c r="J63" s="197" t="s">
        <v>230</v>
      </c>
    </row>
    <row r="64" spans="1:12" x14ac:dyDescent="0.25">
      <c r="A64" s="504"/>
      <c r="B64" s="190" t="s">
        <v>7</v>
      </c>
      <c r="C64" s="191" t="s">
        <v>1042</v>
      </c>
      <c r="D64" s="192" t="s">
        <v>60</v>
      </c>
      <c r="E64" s="193">
        <v>1</v>
      </c>
      <c r="F64" s="192">
        <v>2</v>
      </c>
      <c r="G64" s="194">
        <f t="shared" si="2"/>
        <v>76</v>
      </c>
      <c r="H64" s="195">
        <f t="shared" si="1"/>
        <v>63.333333333333336</v>
      </c>
      <c r="I64" s="196" t="s">
        <v>7</v>
      </c>
      <c r="J64" s="197" t="s">
        <v>230</v>
      </c>
    </row>
    <row r="65" spans="1:12" x14ac:dyDescent="0.25">
      <c r="A65" s="504"/>
      <c r="B65" s="190" t="s">
        <v>9</v>
      </c>
      <c r="C65" s="191" t="s">
        <v>261</v>
      </c>
      <c r="D65" s="192" t="s">
        <v>60</v>
      </c>
      <c r="E65" s="193">
        <v>1</v>
      </c>
      <c r="F65" s="192">
        <v>2</v>
      </c>
      <c r="G65" s="194">
        <f t="shared" si="2"/>
        <v>76</v>
      </c>
      <c r="H65" s="195">
        <f t="shared" si="1"/>
        <v>63.333333333333336</v>
      </c>
      <c r="I65" s="196" t="s">
        <v>9</v>
      </c>
      <c r="J65" s="197" t="s">
        <v>230</v>
      </c>
    </row>
    <row r="66" spans="1:12" x14ac:dyDescent="0.25">
      <c r="A66" s="504"/>
      <c r="B66" s="190" t="s">
        <v>10</v>
      </c>
      <c r="C66" s="191" t="s">
        <v>262</v>
      </c>
      <c r="D66" s="192" t="s">
        <v>60</v>
      </c>
      <c r="E66" s="193">
        <v>1</v>
      </c>
      <c r="F66" s="192">
        <v>2</v>
      </c>
      <c r="G66" s="194">
        <f t="shared" si="2"/>
        <v>76</v>
      </c>
      <c r="H66" s="195">
        <f t="shared" si="1"/>
        <v>63.333333333333336</v>
      </c>
      <c r="I66" s="196" t="s">
        <v>10</v>
      </c>
      <c r="J66" s="197" t="s">
        <v>230</v>
      </c>
    </row>
    <row r="67" spans="1:12" x14ac:dyDescent="0.25">
      <c r="A67" s="504"/>
      <c r="B67" s="190" t="s">
        <v>8</v>
      </c>
      <c r="C67" s="191" t="s">
        <v>263</v>
      </c>
      <c r="D67" s="192" t="s">
        <v>60</v>
      </c>
      <c r="E67" s="193">
        <v>1</v>
      </c>
      <c r="F67" s="192">
        <v>2</v>
      </c>
      <c r="G67" s="194">
        <f t="shared" si="2"/>
        <v>76</v>
      </c>
      <c r="H67" s="195">
        <f t="shared" si="1"/>
        <v>63.333333333333336</v>
      </c>
      <c r="I67" s="196" t="s">
        <v>8</v>
      </c>
      <c r="J67" s="197" t="s">
        <v>230</v>
      </c>
    </row>
    <row r="68" spans="1:12" x14ac:dyDescent="0.25">
      <c r="A68" s="504"/>
      <c r="B68" s="190" t="s">
        <v>11</v>
      </c>
      <c r="C68" s="191" t="s">
        <v>264</v>
      </c>
      <c r="D68" s="192" t="s">
        <v>60</v>
      </c>
      <c r="E68" s="193">
        <v>1</v>
      </c>
      <c r="F68" s="192">
        <v>2</v>
      </c>
      <c r="G68" s="194">
        <f t="shared" si="2"/>
        <v>76</v>
      </c>
      <c r="H68" s="195">
        <f t="shared" si="1"/>
        <v>63.333333333333336</v>
      </c>
      <c r="I68" s="196" t="s">
        <v>11</v>
      </c>
      <c r="J68" s="197" t="s">
        <v>230</v>
      </c>
    </row>
    <row r="69" spans="1:12" x14ac:dyDescent="0.25">
      <c r="A69" s="504"/>
      <c r="B69" s="190" t="s">
        <v>1076</v>
      </c>
      <c r="C69" s="191" t="s">
        <v>1077</v>
      </c>
      <c r="D69" s="192" t="s">
        <v>60</v>
      </c>
      <c r="E69" s="193">
        <v>1</v>
      </c>
      <c r="F69" s="192">
        <v>0</v>
      </c>
      <c r="G69" s="194">
        <f t="shared" si="2"/>
        <v>0</v>
      </c>
      <c r="H69" s="195">
        <f t="shared" ref="H69:H79" si="3">(G69)*$C$86/60</f>
        <v>0</v>
      </c>
      <c r="I69" s="196" t="s">
        <v>9</v>
      </c>
      <c r="J69" s="197" t="s">
        <v>230</v>
      </c>
    </row>
    <row r="70" spans="1:12" x14ac:dyDescent="0.25">
      <c r="A70" s="504"/>
      <c r="B70" s="199" t="s">
        <v>1039</v>
      </c>
      <c r="C70" s="200" t="s">
        <v>1080</v>
      </c>
      <c r="D70" s="201" t="s">
        <v>60</v>
      </c>
      <c r="E70" s="202">
        <v>1</v>
      </c>
      <c r="F70" s="201">
        <v>0</v>
      </c>
      <c r="G70" s="203">
        <f t="shared" si="2"/>
        <v>0</v>
      </c>
      <c r="H70" s="204">
        <f t="shared" si="3"/>
        <v>0</v>
      </c>
      <c r="I70" s="205" t="s">
        <v>7</v>
      </c>
      <c r="J70" s="206" t="s">
        <v>230</v>
      </c>
    </row>
    <row r="71" spans="1:12" x14ac:dyDescent="0.25">
      <c r="A71" s="504"/>
      <c r="B71" s="199" t="s">
        <v>1078</v>
      </c>
      <c r="C71" s="200" t="s">
        <v>1081</v>
      </c>
      <c r="D71" s="201" t="s">
        <v>60</v>
      </c>
      <c r="E71" s="202">
        <v>1</v>
      </c>
      <c r="F71" s="201">
        <v>0</v>
      </c>
      <c r="G71" s="203">
        <f t="shared" si="2"/>
        <v>0</v>
      </c>
      <c r="H71" s="204">
        <f t="shared" si="3"/>
        <v>0</v>
      </c>
      <c r="I71" s="205" t="s">
        <v>9</v>
      </c>
      <c r="J71" s="206" t="s">
        <v>230</v>
      </c>
    </row>
    <row r="72" spans="1:12" x14ac:dyDescent="0.25">
      <c r="A72" s="504"/>
      <c r="B72" s="199" t="s">
        <v>1061</v>
      </c>
      <c r="C72" s="200" t="s">
        <v>596</v>
      </c>
      <c r="D72" s="201" t="s">
        <v>60</v>
      </c>
      <c r="E72" s="202">
        <v>1</v>
      </c>
      <c r="F72" s="201">
        <v>2</v>
      </c>
      <c r="G72" s="203">
        <f t="shared" si="2"/>
        <v>76</v>
      </c>
      <c r="H72" s="204">
        <f t="shared" si="3"/>
        <v>63.333333333333336</v>
      </c>
      <c r="I72" s="205" t="s">
        <v>315</v>
      </c>
      <c r="J72" s="206" t="s">
        <v>230</v>
      </c>
    </row>
    <row r="73" spans="1:12" x14ac:dyDescent="0.25">
      <c r="A73" s="504"/>
      <c r="B73" s="199" t="s">
        <v>1044</v>
      </c>
      <c r="C73" s="200" t="s">
        <v>1045</v>
      </c>
      <c r="D73" s="201" t="s">
        <v>60</v>
      </c>
      <c r="E73" s="202">
        <v>1</v>
      </c>
      <c r="F73" s="201">
        <v>2</v>
      </c>
      <c r="G73" s="203">
        <f t="shared" si="2"/>
        <v>76</v>
      </c>
      <c r="H73" s="204">
        <f t="shared" si="3"/>
        <v>63.333333333333336</v>
      </c>
      <c r="I73" s="205" t="s">
        <v>15</v>
      </c>
      <c r="J73" s="206" t="s">
        <v>230</v>
      </c>
    </row>
    <row r="74" spans="1:12" x14ac:dyDescent="0.25">
      <c r="A74" s="504"/>
      <c r="B74" s="40" t="s">
        <v>1087</v>
      </c>
      <c r="C74" s="41" t="s">
        <v>594</v>
      </c>
      <c r="D74" s="42" t="s">
        <v>54</v>
      </c>
      <c r="E74" s="43">
        <v>2</v>
      </c>
      <c r="F74" s="42">
        <v>4</v>
      </c>
      <c r="G74" s="44">
        <f>F74*$F$2</f>
        <v>152</v>
      </c>
      <c r="H74" s="45">
        <f t="shared" si="3"/>
        <v>126.66666666666667</v>
      </c>
      <c r="I74" s="47" t="s">
        <v>1189</v>
      </c>
      <c r="J74" s="46" t="s">
        <v>231</v>
      </c>
      <c r="L74">
        <f t="shared" ref="L74:L79" si="4">H74*E74</f>
        <v>253.33333333333334</v>
      </c>
    </row>
    <row r="75" spans="1:12" x14ac:dyDescent="0.25">
      <c r="A75" s="504"/>
      <c r="B75" s="40" t="s">
        <v>1088</v>
      </c>
      <c r="C75" s="48" t="s">
        <v>598</v>
      </c>
      <c r="D75" s="42" t="s">
        <v>54</v>
      </c>
      <c r="E75" s="42">
        <v>2</v>
      </c>
      <c r="F75" s="42">
        <v>2</v>
      </c>
      <c r="G75" s="44">
        <f>F75*$F$2</f>
        <v>76</v>
      </c>
      <c r="H75" s="45">
        <f t="shared" si="3"/>
        <v>63.333333333333336</v>
      </c>
      <c r="I75" s="47" t="s">
        <v>1189</v>
      </c>
      <c r="J75" s="46" t="s">
        <v>231</v>
      </c>
      <c r="L75">
        <f t="shared" si="4"/>
        <v>126.66666666666667</v>
      </c>
    </row>
    <row r="76" spans="1:12" ht="15.75" thickBot="1" x14ac:dyDescent="0.3">
      <c r="A76" s="504"/>
      <c r="B76" s="40" t="s">
        <v>1089</v>
      </c>
      <c r="C76" s="48" t="s">
        <v>1090</v>
      </c>
      <c r="D76" s="42" t="s">
        <v>54</v>
      </c>
      <c r="E76" s="42">
        <v>2</v>
      </c>
      <c r="F76" s="42">
        <v>2</v>
      </c>
      <c r="G76" s="44">
        <f>F76*$F$2</f>
        <v>76</v>
      </c>
      <c r="H76" s="45">
        <f t="shared" si="3"/>
        <v>63.333333333333336</v>
      </c>
      <c r="I76" s="47" t="s">
        <v>1189</v>
      </c>
      <c r="J76" s="46" t="s">
        <v>231</v>
      </c>
      <c r="L76">
        <f t="shared" si="4"/>
        <v>126.66666666666667</v>
      </c>
    </row>
    <row r="77" spans="1:12" ht="15.75" thickBot="1" x14ac:dyDescent="0.3">
      <c r="A77" s="506" t="s">
        <v>297</v>
      </c>
      <c r="B77" s="507"/>
      <c r="C77" s="42" t="s">
        <v>298</v>
      </c>
      <c r="D77" s="42" t="s">
        <v>60</v>
      </c>
      <c r="E77" s="42">
        <v>1</v>
      </c>
      <c r="F77" s="42">
        <v>2</v>
      </c>
      <c r="G77" s="44">
        <f t="shared" si="0"/>
        <v>76</v>
      </c>
      <c r="H77" s="45">
        <f t="shared" si="3"/>
        <v>63.333333333333336</v>
      </c>
      <c r="I77" s="47" t="s">
        <v>16</v>
      </c>
      <c r="J77" s="46" t="s">
        <v>230</v>
      </c>
      <c r="L77">
        <f t="shared" si="4"/>
        <v>63.333333333333336</v>
      </c>
    </row>
    <row r="78" spans="1:12" ht="15.75" thickBot="1" x14ac:dyDescent="0.3">
      <c r="A78" s="598" t="s">
        <v>1070</v>
      </c>
      <c r="B78" s="599"/>
      <c r="C78" s="42" t="s">
        <v>1071</v>
      </c>
      <c r="D78" s="42" t="s">
        <v>60</v>
      </c>
      <c r="E78" s="42">
        <v>1</v>
      </c>
      <c r="F78" s="42">
        <v>2</v>
      </c>
      <c r="G78" s="44">
        <f t="shared" si="0"/>
        <v>76</v>
      </c>
      <c r="H78" s="45">
        <f t="shared" si="3"/>
        <v>63.333333333333336</v>
      </c>
      <c r="I78" s="47" t="s">
        <v>15</v>
      </c>
      <c r="J78" s="46" t="s">
        <v>230</v>
      </c>
      <c r="L78">
        <f t="shared" si="4"/>
        <v>63.333333333333336</v>
      </c>
    </row>
    <row r="79" spans="1:12" ht="15.75" thickBot="1" x14ac:dyDescent="0.3">
      <c r="A79" s="506" t="s">
        <v>300</v>
      </c>
      <c r="B79" s="507"/>
      <c r="C79" s="42" t="s">
        <v>301</v>
      </c>
      <c r="D79" s="42" t="s">
        <v>60</v>
      </c>
      <c r="E79" s="42">
        <v>1</v>
      </c>
      <c r="F79" s="42">
        <v>2</v>
      </c>
      <c r="G79" s="44">
        <f t="shared" si="0"/>
        <v>76</v>
      </c>
      <c r="H79" s="45">
        <f t="shared" si="3"/>
        <v>63.333333333333336</v>
      </c>
      <c r="I79" s="47" t="s">
        <v>17</v>
      </c>
      <c r="J79" s="46" t="s">
        <v>230</v>
      </c>
      <c r="L79">
        <f t="shared" si="4"/>
        <v>63.333333333333336</v>
      </c>
    </row>
    <row r="80" spans="1:12" ht="16.5" thickBot="1" x14ac:dyDescent="0.3">
      <c r="A80" s="508" t="s">
        <v>302</v>
      </c>
      <c r="B80" s="509"/>
      <c r="C80" s="509"/>
      <c r="D80" s="509"/>
      <c r="E80" s="510"/>
      <c r="F80" s="53">
        <f>SUM(F5:F76)*F2</f>
        <v>4104</v>
      </c>
      <c r="G80" s="53">
        <f>SUM(G5:G79)</f>
        <v>4332</v>
      </c>
      <c r="H80" s="54"/>
      <c r="I80" s="36"/>
    </row>
    <row r="81" spans="1:9" ht="16.5" thickBot="1" x14ac:dyDescent="0.3">
      <c r="A81" s="508" t="s">
        <v>303</v>
      </c>
      <c r="B81" s="509"/>
      <c r="C81" s="509"/>
      <c r="D81" s="509"/>
      <c r="E81" s="510"/>
      <c r="F81" s="55">
        <f>(F80*$C$86)/60</f>
        <v>3420</v>
      </c>
      <c r="G81" s="53" t="s">
        <v>304</v>
      </c>
      <c r="H81" s="55" t="e">
        <f>SUM(F81+#REF!+#REF!)</f>
        <v>#REF!</v>
      </c>
      <c r="I81" s="36"/>
    </row>
    <row r="82" spans="1:9" ht="16.5" thickBot="1" x14ac:dyDescent="0.3">
      <c r="A82" s="508" t="s">
        <v>305</v>
      </c>
      <c r="B82" s="509"/>
      <c r="C82" s="509"/>
      <c r="D82" s="509"/>
      <c r="E82" s="509"/>
      <c r="F82" s="509"/>
      <c r="G82" s="510"/>
      <c r="H82" s="56" t="e">
        <f>H81</f>
        <v>#REF!</v>
      </c>
      <c r="I82" s="57"/>
    </row>
    <row r="83" spans="1:9" ht="15.75" thickBot="1" x14ac:dyDescent="0.3">
      <c r="A83" s="506" t="s">
        <v>306</v>
      </c>
      <c r="B83" s="511"/>
      <c r="C83" s="511"/>
      <c r="D83" s="511"/>
      <c r="E83" s="511"/>
      <c r="F83" s="511"/>
      <c r="G83" s="512"/>
      <c r="H83" s="58">
        <v>150</v>
      </c>
      <c r="I83" s="59"/>
    </row>
    <row r="84" spans="1:9" ht="15.75" thickBot="1" x14ac:dyDescent="0.3">
      <c r="A84" s="506" t="s">
        <v>1072</v>
      </c>
      <c r="B84" s="511"/>
      <c r="C84" s="511"/>
      <c r="D84" s="511"/>
      <c r="E84" s="511"/>
      <c r="F84" s="511"/>
      <c r="G84" s="512"/>
      <c r="H84" s="58">
        <v>80</v>
      </c>
      <c r="I84" s="59"/>
    </row>
    <row r="85" spans="1:9" ht="16.5" thickBot="1" x14ac:dyDescent="0.3">
      <c r="A85" s="508" t="s">
        <v>308</v>
      </c>
      <c r="B85" s="509"/>
      <c r="C85" s="509"/>
      <c r="D85" s="509"/>
      <c r="E85" s="509"/>
      <c r="F85" s="509"/>
      <c r="G85" s="510"/>
      <c r="H85" s="55" t="e">
        <f>ROUNDDOWN(SUM(H82:H84,H77:H79),0)</f>
        <v>#REF!</v>
      </c>
      <c r="I85" s="36"/>
    </row>
    <row r="86" spans="1:9" ht="15.75" x14ac:dyDescent="0.25">
      <c r="A86" s="505" t="s">
        <v>309</v>
      </c>
      <c r="B86" s="505"/>
      <c r="C86" s="38">
        <v>50</v>
      </c>
      <c r="D86" s="60" t="s">
        <v>310</v>
      </c>
      <c r="E86" s="60"/>
      <c r="F86" s="60"/>
      <c r="G86" s="60"/>
      <c r="H86" s="60"/>
      <c r="I86" s="36"/>
    </row>
    <row r="88" spans="1:9" x14ac:dyDescent="0.25">
      <c r="F88" s="219">
        <f>SUMPRODUCT(H5:H76,E5:E76)/F81</f>
        <v>1.2962962962962967</v>
      </c>
    </row>
  </sheetData>
  <mergeCells count="18">
    <mergeCell ref="A5:A28"/>
    <mergeCell ref="A86:B86"/>
    <mergeCell ref="A29:A53"/>
    <mergeCell ref="A54:A76"/>
    <mergeCell ref="A77:B77"/>
    <mergeCell ref="A78:B78"/>
    <mergeCell ref="A79:B79"/>
    <mergeCell ref="A80:E80"/>
    <mergeCell ref="A81:E81"/>
    <mergeCell ref="A82:G82"/>
    <mergeCell ref="A83:G83"/>
    <mergeCell ref="A84:G84"/>
    <mergeCell ref="A85:G85"/>
    <mergeCell ref="A2:C2"/>
    <mergeCell ref="B3:B4"/>
    <mergeCell ref="C3:C4"/>
    <mergeCell ref="I3:I4"/>
    <mergeCell ref="J3:J4"/>
  </mergeCells>
  <dataValidations count="2">
    <dataValidation type="list" allowBlank="1" showInputMessage="1" showErrorMessage="1" sqref="I5:I79" xr:uid="{00000000-0002-0000-2300-000000000000}">
      <formula1>Áreas</formula1>
    </dataValidation>
    <dataValidation type="list" allowBlank="1" showInputMessage="1" showErrorMessage="1" sqref="J5:J79" xr:uid="{00000000-0002-0000-2300-000001000000}">
      <formula1>Ambientes</formula1>
    </dataValidation>
  </dataValidations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27">
    <tabColor theme="6" tint="-0.249977111117893"/>
  </sheetPr>
  <dimension ref="A1:L88"/>
  <sheetViews>
    <sheetView topLeftCell="A16" workbookViewId="0">
      <selection activeCell="J34" sqref="J34"/>
    </sheetView>
  </sheetViews>
  <sheetFormatPr defaultColWidth="9.140625" defaultRowHeight="15" x14ac:dyDescent="0.25"/>
  <cols>
    <col min="1" max="1" width="7.140625" customWidth="1"/>
    <col min="2" max="2" width="68.28515625" bestFit="1" customWidth="1"/>
    <col min="6" max="6" width="9.5703125" bestFit="1" customWidth="1"/>
    <col min="9" max="9" width="14.42578125" bestFit="1" customWidth="1"/>
    <col min="10" max="10" width="35.140625" bestFit="1" customWidth="1"/>
  </cols>
  <sheetData>
    <row r="1" spans="1:10" x14ac:dyDescent="0.25">
      <c r="A1" s="36"/>
      <c r="B1" s="36"/>
      <c r="C1" s="36"/>
      <c r="D1" s="36"/>
      <c r="E1" s="36"/>
      <c r="F1" s="36"/>
      <c r="G1" s="36"/>
      <c r="H1" s="36"/>
      <c r="I1" s="36"/>
    </row>
    <row r="2" spans="1:10" ht="15.75" x14ac:dyDescent="0.25">
      <c r="A2" s="513" t="s">
        <v>1095</v>
      </c>
      <c r="B2" s="513"/>
      <c r="C2" s="513"/>
      <c r="D2" s="37" t="s">
        <v>237</v>
      </c>
      <c r="E2" s="38"/>
      <c r="F2" s="38">
        <v>38</v>
      </c>
      <c r="G2" s="38"/>
      <c r="H2" s="38"/>
      <c r="I2" s="36"/>
    </row>
    <row r="3" spans="1:10" x14ac:dyDescent="0.25">
      <c r="A3" s="65"/>
      <c r="B3" s="514" t="s">
        <v>44</v>
      </c>
      <c r="C3" s="514" t="s">
        <v>238</v>
      </c>
      <c r="D3" s="39" t="s">
        <v>239</v>
      </c>
      <c r="E3" s="39" t="s">
        <v>240</v>
      </c>
      <c r="F3" s="39" t="s">
        <v>241</v>
      </c>
      <c r="G3" s="39" t="s">
        <v>242</v>
      </c>
      <c r="H3" s="39" t="s">
        <v>242</v>
      </c>
      <c r="I3" s="514" t="s">
        <v>243</v>
      </c>
      <c r="J3" s="514" t="s">
        <v>224</v>
      </c>
    </row>
    <row r="4" spans="1:10" x14ac:dyDescent="0.25">
      <c r="A4" s="65"/>
      <c r="B4" s="514"/>
      <c r="C4" s="514"/>
      <c r="D4" s="39" t="s">
        <v>244</v>
      </c>
      <c r="E4" s="39" t="s">
        <v>245</v>
      </c>
      <c r="F4" s="39" t="s">
        <v>246</v>
      </c>
      <c r="G4" s="39" t="s">
        <v>247</v>
      </c>
      <c r="H4" s="39" t="s">
        <v>248</v>
      </c>
      <c r="I4" s="514"/>
      <c r="J4" s="514"/>
    </row>
    <row r="5" spans="1:10" x14ac:dyDescent="0.25">
      <c r="A5" s="504" t="s">
        <v>1043</v>
      </c>
      <c r="B5" s="190" t="s">
        <v>249</v>
      </c>
      <c r="C5" s="191" t="s">
        <v>250</v>
      </c>
      <c r="D5" s="192" t="s">
        <v>60</v>
      </c>
      <c r="E5" s="193">
        <v>1</v>
      </c>
      <c r="F5" s="192">
        <v>4</v>
      </c>
      <c r="G5" s="194">
        <f t="shared" ref="G5:G79" si="0">F5*$F$2</f>
        <v>152</v>
      </c>
      <c r="H5" s="195">
        <f t="shared" ref="H5:H36" si="1">(G5)*$C$86/60</f>
        <v>126.66666666666667</v>
      </c>
      <c r="I5" s="196" t="s">
        <v>14</v>
      </c>
      <c r="J5" s="197" t="s">
        <v>230</v>
      </c>
    </row>
    <row r="6" spans="1:10" x14ac:dyDescent="0.25">
      <c r="A6" s="504"/>
      <c r="B6" s="190" t="s">
        <v>12</v>
      </c>
      <c r="C6" s="191" t="s">
        <v>253</v>
      </c>
      <c r="D6" s="192" t="s">
        <v>54</v>
      </c>
      <c r="E6" s="193">
        <v>1</v>
      </c>
      <c r="F6" s="192">
        <v>0</v>
      </c>
      <c r="G6" s="194">
        <f t="shared" si="0"/>
        <v>0</v>
      </c>
      <c r="H6" s="195">
        <f t="shared" si="1"/>
        <v>0</v>
      </c>
      <c r="I6" s="196" t="s">
        <v>12</v>
      </c>
      <c r="J6" s="197" t="s">
        <v>230</v>
      </c>
    </row>
    <row r="7" spans="1:10" x14ac:dyDescent="0.25">
      <c r="A7" s="504"/>
      <c r="B7" s="190" t="s">
        <v>1031</v>
      </c>
      <c r="C7" s="191" t="s">
        <v>1032</v>
      </c>
      <c r="D7" s="192" t="s">
        <v>54</v>
      </c>
      <c r="E7" s="193">
        <v>1</v>
      </c>
      <c r="F7" s="192">
        <v>2</v>
      </c>
      <c r="G7" s="194">
        <f t="shared" si="0"/>
        <v>76</v>
      </c>
      <c r="H7" s="195">
        <f t="shared" si="1"/>
        <v>63.333333333333336</v>
      </c>
      <c r="I7" s="196" t="s">
        <v>13</v>
      </c>
      <c r="J7" s="197" t="s">
        <v>575</v>
      </c>
    </row>
    <row r="8" spans="1:10" x14ac:dyDescent="0.25">
      <c r="A8" s="504"/>
      <c r="B8" s="190" t="s">
        <v>1033</v>
      </c>
      <c r="C8" s="191" t="s">
        <v>1034</v>
      </c>
      <c r="D8" s="192" t="s">
        <v>54</v>
      </c>
      <c r="E8" s="193">
        <v>1</v>
      </c>
      <c r="F8" s="192">
        <v>2</v>
      </c>
      <c r="G8" s="194">
        <f t="shared" si="0"/>
        <v>76</v>
      </c>
      <c r="H8" s="195">
        <f t="shared" si="1"/>
        <v>63.333333333333336</v>
      </c>
      <c r="I8" s="196" t="s">
        <v>13</v>
      </c>
      <c r="J8" s="197" t="s">
        <v>575</v>
      </c>
    </row>
    <row r="9" spans="1:10" x14ac:dyDescent="0.25">
      <c r="A9" s="504"/>
      <c r="B9" s="190" t="s">
        <v>1091</v>
      </c>
      <c r="C9" s="191" t="s">
        <v>1092</v>
      </c>
      <c r="D9" s="192" t="s">
        <v>54</v>
      </c>
      <c r="E9" s="193">
        <v>1</v>
      </c>
      <c r="F9" s="192">
        <v>0</v>
      </c>
      <c r="G9" s="194">
        <f t="shared" si="0"/>
        <v>0</v>
      </c>
      <c r="H9" s="195">
        <f t="shared" si="1"/>
        <v>0</v>
      </c>
      <c r="I9" s="196" t="s">
        <v>13</v>
      </c>
      <c r="J9" s="197" t="s">
        <v>575</v>
      </c>
    </row>
    <row r="10" spans="1:10" x14ac:dyDescent="0.25">
      <c r="A10" s="504"/>
      <c r="B10" s="190" t="s">
        <v>15</v>
      </c>
      <c r="C10" s="191" t="s">
        <v>256</v>
      </c>
      <c r="D10" s="192" t="s">
        <v>54</v>
      </c>
      <c r="E10" s="193">
        <v>1</v>
      </c>
      <c r="F10" s="192">
        <v>2</v>
      </c>
      <c r="G10" s="194">
        <f t="shared" si="0"/>
        <v>76</v>
      </c>
      <c r="H10" s="195">
        <f t="shared" si="1"/>
        <v>63.333333333333336</v>
      </c>
      <c r="I10" s="196" t="s">
        <v>15</v>
      </c>
      <c r="J10" s="197" t="s">
        <v>230</v>
      </c>
    </row>
    <row r="11" spans="1:10" x14ac:dyDescent="0.25">
      <c r="A11" s="504"/>
      <c r="B11" s="190" t="s">
        <v>1035</v>
      </c>
      <c r="C11" s="191" t="s">
        <v>1036</v>
      </c>
      <c r="D11" s="192" t="s">
        <v>60</v>
      </c>
      <c r="E11" s="193">
        <v>1</v>
      </c>
      <c r="F11" s="192">
        <v>2</v>
      </c>
      <c r="G11" s="194">
        <f t="shared" si="0"/>
        <v>76</v>
      </c>
      <c r="H11" s="195">
        <f t="shared" si="1"/>
        <v>63.333333333333336</v>
      </c>
      <c r="I11" s="196" t="s">
        <v>21</v>
      </c>
      <c r="J11" s="197" t="s">
        <v>230</v>
      </c>
    </row>
    <row r="12" spans="1:10" x14ac:dyDescent="0.25">
      <c r="A12" s="504"/>
      <c r="B12" s="190" t="s">
        <v>1037</v>
      </c>
      <c r="C12" s="191" t="s">
        <v>1038</v>
      </c>
      <c r="D12" s="192" t="s">
        <v>60</v>
      </c>
      <c r="E12" s="193">
        <v>1</v>
      </c>
      <c r="F12" s="192">
        <v>2</v>
      </c>
      <c r="G12" s="194">
        <f t="shared" si="0"/>
        <v>76</v>
      </c>
      <c r="H12" s="195">
        <f t="shared" si="1"/>
        <v>63.333333333333336</v>
      </c>
      <c r="I12" s="196" t="s">
        <v>21</v>
      </c>
      <c r="J12" s="197" t="s">
        <v>230</v>
      </c>
    </row>
    <row r="13" spans="1:10" x14ac:dyDescent="0.25">
      <c r="A13" s="504"/>
      <c r="B13" s="190" t="s">
        <v>5</v>
      </c>
      <c r="C13" s="191" t="s">
        <v>258</v>
      </c>
      <c r="D13" s="192" t="s">
        <v>60</v>
      </c>
      <c r="E13" s="193">
        <v>1</v>
      </c>
      <c r="F13" s="192">
        <v>0</v>
      </c>
      <c r="G13" s="194">
        <f t="shared" si="0"/>
        <v>0</v>
      </c>
      <c r="H13" s="195">
        <f t="shared" si="1"/>
        <v>0</v>
      </c>
      <c r="I13" s="196" t="s">
        <v>5</v>
      </c>
      <c r="J13" s="197" t="s">
        <v>230</v>
      </c>
    </row>
    <row r="14" spans="1:10" x14ac:dyDescent="0.25">
      <c r="A14" s="504"/>
      <c r="B14" s="190" t="s">
        <v>6</v>
      </c>
      <c r="C14" s="191" t="s">
        <v>259</v>
      </c>
      <c r="D14" s="192" t="s">
        <v>60</v>
      </c>
      <c r="E14" s="193">
        <v>1</v>
      </c>
      <c r="F14" s="192">
        <v>2</v>
      </c>
      <c r="G14" s="194">
        <f t="shared" si="0"/>
        <v>76</v>
      </c>
      <c r="H14" s="195">
        <f t="shared" si="1"/>
        <v>63.333333333333336</v>
      </c>
      <c r="I14" s="196" t="s">
        <v>6</v>
      </c>
      <c r="J14" s="197" t="s">
        <v>230</v>
      </c>
    </row>
    <row r="15" spans="1:10" x14ac:dyDescent="0.25">
      <c r="A15" s="504"/>
      <c r="B15" s="190" t="s">
        <v>7</v>
      </c>
      <c r="C15" s="191" t="s">
        <v>1042</v>
      </c>
      <c r="D15" s="192" t="s">
        <v>60</v>
      </c>
      <c r="E15" s="193">
        <v>1</v>
      </c>
      <c r="F15" s="192">
        <v>2</v>
      </c>
      <c r="G15" s="194">
        <f t="shared" si="0"/>
        <v>76</v>
      </c>
      <c r="H15" s="195">
        <f t="shared" si="1"/>
        <v>63.333333333333336</v>
      </c>
      <c r="I15" s="196" t="s">
        <v>7</v>
      </c>
      <c r="J15" s="197" t="s">
        <v>230</v>
      </c>
    </row>
    <row r="16" spans="1:10" x14ac:dyDescent="0.25">
      <c r="A16" s="504"/>
      <c r="B16" s="190" t="s">
        <v>9</v>
      </c>
      <c r="C16" s="191" t="s">
        <v>261</v>
      </c>
      <c r="D16" s="192" t="s">
        <v>60</v>
      </c>
      <c r="E16" s="193">
        <v>1</v>
      </c>
      <c r="F16" s="192">
        <v>0</v>
      </c>
      <c r="G16" s="194">
        <f t="shared" si="0"/>
        <v>0</v>
      </c>
      <c r="H16" s="195">
        <f t="shared" si="1"/>
        <v>0</v>
      </c>
      <c r="I16" s="196" t="s">
        <v>9</v>
      </c>
      <c r="J16" s="197" t="s">
        <v>230</v>
      </c>
    </row>
    <row r="17" spans="1:12" x14ac:dyDescent="0.25">
      <c r="A17" s="504"/>
      <c r="B17" s="190" t="s">
        <v>10</v>
      </c>
      <c r="C17" s="191" t="s">
        <v>262</v>
      </c>
      <c r="D17" s="192" t="s">
        <v>60</v>
      </c>
      <c r="E17" s="193">
        <v>1</v>
      </c>
      <c r="F17" s="192">
        <v>0</v>
      </c>
      <c r="G17" s="194">
        <f t="shared" si="0"/>
        <v>0</v>
      </c>
      <c r="H17" s="195">
        <f t="shared" si="1"/>
        <v>0</v>
      </c>
      <c r="I17" s="196" t="s">
        <v>10</v>
      </c>
      <c r="J17" s="197" t="s">
        <v>230</v>
      </c>
    </row>
    <row r="18" spans="1:12" x14ac:dyDescent="0.25">
      <c r="A18" s="504"/>
      <c r="B18" s="190" t="s">
        <v>8</v>
      </c>
      <c r="C18" s="191" t="s">
        <v>263</v>
      </c>
      <c r="D18" s="192" t="s">
        <v>60</v>
      </c>
      <c r="E18" s="193">
        <v>1</v>
      </c>
      <c r="F18" s="192">
        <v>0</v>
      </c>
      <c r="G18" s="194">
        <f t="shared" si="0"/>
        <v>0</v>
      </c>
      <c r="H18" s="195">
        <f t="shared" si="1"/>
        <v>0</v>
      </c>
      <c r="I18" s="196" t="s">
        <v>8</v>
      </c>
      <c r="J18" s="197" t="s">
        <v>230</v>
      </c>
    </row>
    <row r="19" spans="1:12" x14ac:dyDescent="0.25">
      <c r="A19" s="504"/>
      <c r="B19" s="190" t="s">
        <v>11</v>
      </c>
      <c r="C19" s="191" t="s">
        <v>264</v>
      </c>
      <c r="D19" s="192" t="s">
        <v>60</v>
      </c>
      <c r="E19" s="193">
        <v>1</v>
      </c>
      <c r="F19" s="192">
        <v>0</v>
      </c>
      <c r="G19" s="194">
        <f t="shared" si="0"/>
        <v>0</v>
      </c>
      <c r="H19" s="195">
        <f t="shared" si="1"/>
        <v>0</v>
      </c>
      <c r="I19" s="196" t="s">
        <v>11</v>
      </c>
      <c r="J19" s="197" t="s">
        <v>230</v>
      </c>
    </row>
    <row r="20" spans="1:12" x14ac:dyDescent="0.25">
      <c r="A20" s="504"/>
      <c r="B20" s="190" t="s">
        <v>1076</v>
      </c>
      <c r="C20" s="191" t="s">
        <v>1077</v>
      </c>
      <c r="D20" s="192" t="s">
        <v>60</v>
      </c>
      <c r="E20" s="193">
        <v>1</v>
      </c>
      <c r="F20" s="192">
        <v>2</v>
      </c>
      <c r="G20" s="194">
        <f t="shared" si="0"/>
        <v>76</v>
      </c>
      <c r="H20" s="195">
        <f t="shared" si="1"/>
        <v>63.333333333333336</v>
      </c>
      <c r="I20" s="196" t="s">
        <v>9</v>
      </c>
      <c r="J20" s="197" t="s">
        <v>230</v>
      </c>
    </row>
    <row r="21" spans="1:12" x14ac:dyDescent="0.25">
      <c r="A21" s="504"/>
      <c r="B21" s="199" t="s">
        <v>1039</v>
      </c>
      <c r="C21" s="200" t="s">
        <v>1080</v>
      </c>
      <c r="D21" s="201" t="s">
        <v>60</v>
      </c>
      <c r="E21" s="202">
        <v>1</v>
      </c>
      <c r="F21" s="201">
        <v>2</v>
      </c>
      <c r="G21" s="203">
        <f t="shared" si="0"/>
        <v>76</v>
      </c>
      <c r="H21" s="204">
        <f t="shared" si="1"/>
        <v>63.333333333333336</v>
      </c>
      <c r="I21" s="205" t="s">
        <v>7</v>
      </c>
      <c r="J21" s="206" t="s">
        <v>230</v>
      </c>
    </row>
    <row r="22" spans="1:12" x14ac:dyDescent="0.25">
      <c r="A22" s="504"/>
      <c r="B22" s="199" t="s">
        <v>1078</v>
      </c>
      <c r="C22" s="200" t="s">
        <v>1081</v>
      </c>
      <c r="D22" s="201" t="s">
        <v>60</v>
      </c>
      <c r="E22" s="202">
        <v>1</v>
      </c>
      <c r="F22" s="201">
        <v>2</v>
      </c>
      <c r="G22" s="203">
        <f t="shared" si="0"/>
        <v>76</v>
      </c>
      <c r="H22" s="204">
        <f t="shared" si="1"/>
        <v>63.333333333333336</v>
      </c>
      <c r="I22" s="205" t="s">
        <v>9</v>
      </c>
      <c r="J22" s="206" t="s">
        <v>230</v>
      </c>
    </row>
    <row r="23" spans="1:12" x14ac:dyDescent="0.25">
      <c r="A23" s="504"/>
      <c r="B23" s="199" t="s">
        <v>1061</v>
      </c>
      <c r="C23" s="200" t="s">
        <v>596</v>
      </c>
      <c r="D23" s="201" t="s">
        <v>60</v>
      </c>
      <c r="E23" s="202">
        <v>1</v>
      </c>
      <c r="F23" s="201">
        <v>0</v>
      </c>
      <c r="G23" s="203">
        <f t="shared" si="0"/>
        <v>0</v>
      </c>
      <c r="H23" s="204">
        <f t="shared" si="1"/>
        <v>0</v>
      </c>
      <c r="I23" s="205" t="s">
        <v>315</v>
      </c>
      <c r="J23" s="206" t="s">
        <v>230</v>
      </c>
    </row>
    <row r="24" spans="1:12" x14ac:dyDescent="0.25">
      <c r="A24" s="504"/>
      <c r="B24" s="199" t="s">
        <v>1044</v>
      </c>
      <c r="C24" s="200" t="s">
        <v>1045</v>
      </c>
      <c r="D24" s="201" t="s">
        <v>60</v>
      </c>
      <c r="E24" s="202">
        <v>1</v>
      </c>
      <c r="F24" s="201">
        <v>0</v>
      </c>
      <c r="G24" s="203">
        <f t="shared" si="0"/>
        <v>0</v>
      </c>
      <c r="H24" s="204">
        <f t="shared" si="1"/>
        <v>0</v>
      </c>
      <c r="I24" s="205" t="s">
        <v>15</v>
      </c>
      <c r="J24" s="206" t="s">
        <v>230</v>
      </c>
    </row>
    <row r="25" spans="1:12" x14ac:dyDescent="0.25">
      <c r="A25" s="504"/>
      <c r="B25" s="40" t="s">
        <v>1079</v>
      </c>
      <c r="C25" s="41" t="s">
        <v>578</v>
      </c>
      <c r="D25" s="42" t="s">
        <v>54</v>
      </c>
      <c r="E25" s="43">
        <v>2</v>
      </c>
      <c r="F25" s="42">
        <v>4</v>
      </c>
      <c r="G25" s="44">
        <f>F25*$F$2</f>
        <v>152</v>
      </c>
      <c r="H25" s="45">
        <f t="shared" si="1"/>
        <v>126.66666666666667</v>
      </c>
      <c r="I25" s="47" t="s">
        <v>1189</v>
      </c>
      <c r="J25" s="46" t="s">
        <v>231</v>
      </c>
      <c r="L25">
        <f>H25*E25</f>
        <v>253.33333333333334</v>
      </c>
    </row>
    <row r="26" spans="1:12" x14ac:dyDescent="0.25">
      <c r="A26" s="504"/>
      <c r="B26" s="40" t="s">
        <v>1082</v>
      </c>
      <c r="C26" s="48" t="s">
        <v>580</v>
      </c>
      <c r="D26" s="42" t="s">
        <v>54</v>
      </c>
      <c r="E26" s="42">
        <v>2</v>
      </c>
      <c r="F26" s="42">
        <v>4</v>
      </c>
      <c r="G26" s="44">
        <f>F26*$F$2</f>
        <v>152</v>
      </c>
      <c r="H26" s="45">
        <f t="shared" si="1"/>
        <v>126.66666666666667</v>
      </c>
      <c r="I26" s="47" t="s">
        <v>1213</v>
      </c>
      <c r="J26" s="46" t="s">
        <v>231</v>
      </c>
      <c r="L26">
        <f>H26*E26</f>
        <v>253.33333333333334</v>
      </c>
    </row>
    <row r="27" spans="1:12" x14ac:dyDescent="0.25">
      <c r="A27" s="504"/>
      <c r="B27" s="40" t="s">
        <v>581</v>
      </c>
      <c r="C27" s="48" t="s">
        <v>582</v>
      </c>
      <c r="D27" s="42" t="s">
        <v>54</v>
      </c>
      <c r="E27" s="42">
        <v>2</v>
      </c>
      <c r="F27" s="42">
        <v>2</v>
      </c>
      <c r="G27" s="44">
        <f t="shared" si="0"/>
        <v>76</v>
      </c>
      <c r="H27" s="45">
        <f t="shared" si="1"/>
        <v>63.333333333333336</v>
      </c>
      <c r="I27" s="47" t="s">
        <v>1189</v>
      </c>
      <c r="J27" s="46" t="s">
        <v>231</v>
      </c>
      <c r="L27">
        <f>H27*E27</f>
        <v>126.66666666666667</v>
      </c>
    </row>
    <row r="28" spans="1:12" x14ac:dyDescent="0.25">
      <c r="A28" s="504"/>
      <c r="B28" s="40" t="s">
        <v>1083</v>
      </c>
      <c r="C28" s="48" t="s">
        <v>584</v>
      </c>
      <c r="D28" s="42" t="s">
        <v>54</v>
      </c>
      <c r="E28" s="42">
        <v>2</v>
      </c>
      <c r="F28" s="42">
        <v>2</v>
      </c>
      <c r="G28" s="44">
        <f t="shared" si="0"/>
        <v>76</v>
      </c>
      <c r="H28" s="45">
        <f t="shared" si="1"/>
        <v>63.333333333333336</v>
      </c>
      <c r="I28" s="47" t="s">
        <v>1213</v>
      </c>
      <c r="J28" s="46" t="s">
        <v>231</v>
      </c>
      <c r="L28">
        <f>H28*E28</f>
        <v>126.66666666666667</v>
      </c>
    </row>
    <row r="29" spans="1:12" ht="15" customHeight="1" x14ac:dyDescent="0.25">
      <c r="A29" s="504" t="s">
        <v>274</v>
      </c>
      <c r="B29" s="190" t="s">
        <v>249</v>
      </c>
      <c r="C29" s="191" t="s">
        <v>250</v>
      </c>
      <c r="D29" s="192" t="s">
        <v>60</v>
      </c>
      <c r="E29" s="193">
        <v>1</v>
      </c>
      <c r="F29" s="192">
        <v>4</v>
      </c>
      <c r="G29" s="194">
        <f t="shared" si="0"/>
        <v>152</v>
      </c>
      <c r="H29" s="195">
        <f t="shared" si="1"/>
        <v>126.66666666666667</v>
      </c>
      <c r="I29" s="196" t="s">
        <v>14</v>
      </c>
      <c r="J29" s="197" t="s">
        <v>230</v>
      </c>
    </row>
    <row r="30" spans="1:12" x14ac:dyDescent="0.25">
      <c r="A30" s="504"/>
      <c r="B30" s="190" t="s">
        <v>12</v>
      </c>
      <c r="C30" s="191" t="s">
        <v>253</v>
      </c>
      <c r="D30" s="192" t="s">
        <v>54</v>
      </c>
      <c r="E30" s="193">
        <v>1</v>
      </c>
      <c r="F30" s="192">
        <v>2</v>
      </c>
      <c r="G30" s="194">
        <f t="shared" si="0"/>
        <v>76</v>
      </c>
      <c r="H30" s="195">
        <f t="shared" si="1"/>
        <v>63.333333333333336</v>
      </c>
      <c r="I30" s="196" t="s">
        <v>12</v>
      </c>
      <c r="J30" s="197" t="s">
        <v>230</v>
      </c>
    </row>
    <row r="31" spans="1:12" x14ac:dyDescent="0.25">
      <c r="A31" s="504"/>
      <c r="B31" s="190" t="s">
        <v>1031</v>
      </c>
      <c r="C31" s="191" t="s">
        <v>1032</v>
      </c>
      <c r="D31" s="192" t="s">
        <v>54</v>
      </c>
      <c r="E31" s="193">
        <v>1</v>
      </c>
      <c r="F31" s="192">
        <v>0</v>
      </c>
      <c r="G31" s="194">
        <f t="shared" si="0"/>
        <v>0</v>
      </c>
      <c r="H31" s="195">
        <f t="shared" si="1"/>
        <v>0</v>
      </c>
      <c r="I31" s="196" t="s">
        <v>13</v>
      </c>
      <c r="J31" s="197" t="s">
        <v>575</v>
      </c>
    </row>
    <row r="32" spans="1:12" x14ac:dyDescent="0.25">
      <c r="A32" s="504"/>
      <c r="B32" s="190" t="s">
        <v>1033</v>
      </c>
      <c r="C32" s="191" t="s">
        <v>1034</v>
      </c>
      <c r="D32" s="192" t="s">
        <v>54</v>
      </c>
      <c r="E32" s="193">
        <v>1</v>
      </c>
      <c r="F32" s="192">
        <v>0</v>
      </c>
      <c r="G32" s="194">
        <f t="shared" si="0"/>
        <v>0</v>
      </c>
      <c r="H32" s="195">
        <f t="shared" si="1"/>
        <v>0</v>
      </c>
      <c r="I32" s="196" t="s">
        <v>13</v>
      </c>
      <c r="J32" s="197" t="s">
        <v>575</v>
      </c>
    </row>
    <row r="33" spans="1:10" x14ac:dyDescent="0.25">
      <c r="A33" s="504"/>
      <c r="B33" s="190" t="s">
        <v>1091</v>
      </c>
      <c r="C33" s="191" t="s">
        <v>1092</v>
      </c>
      <c r="D33" s="192" t="s">
        <v>54</v>
      </c>
      <c r="E33" s="193">
        <v>1</v>
      </c>
      <c r="F33" s="192">
        <v>2</v>
      </c>
      <c r="G33" s="194">
        <f>F33*$F$2</f>
        <v>76</v>
      </c>
      <c r="H33" s="195">
        <f t="shared" si="1"/>
        <v>63.333333333333336</v>
      </c>
      <c r="I33" s="196" t="s">
        <v>13</v>
      </c>
      <c r="J33" s="197" t="s">
        <v>575</v>
      </c>
    </row>
    <row r="34" spans="1:10" x14ac:dyDescent="0.25">
      <c r="A34" s="504"/>
      <c r="B34" s="190" t="s">
        <v>15</v>
      </c>
      <c r="C34" s="191" t="s">
        <v>256</v>
      </c>
      <c r="D34" s="192" t="s">
        <v>54</v>
      </c>
      <c r="E34" s="193">
        <v>1</v>
      </c>
      <c r="F34" s="192">
        <v>0</v>
      </c>
      <c r="G34" s="194">
        <f t="shared" si="0"/>
        <v>0</v>
      </c>
      <c r="H34" s="195">
        <f t="shared" si="1"/>
        <v>0</v>
      </c>
      <c r="I34" s="196" t="s">
        <v>15</v>
      </c>
      <c r="J34" s="197" t="s">
        <v>230</v>
      </c>
    </row>
    <row r="35" spans="1:10" x14ac:dyDescent="0.25">
      <c r="A35" s="504"/>
      <c r="B35" s="190" t="s">
        <v>1035</v>
      </c>
      <c r="C35" s="191" t="s">
        <v>1036</v>
      </c>
      <c r="D35" s="192" t="s">
        <v>60</v>
      </c>
      <c r="E35" s="193">
        <v>1</v>
      </c>
      <c r="F35" s="192">
        <v>2</v>
      </c>
      <c r="G35" s="194">
        <f t="shared" si="0"/>
        <v>76</v>
      </c>
      <c r="H35" s="195">
        <f t="shared" si="1"/>
        <v>63.333333333333336</v>
      </c>
      <c r="I35" s="196" t="s">
        <v>21</v>
      </c>
      <c r="J35" s="197" t="s">
        <v>230</v>
      </c>
    </row>
    <row r="36" spans="1:10" x14ac:dyDescent="0.25">
      <c r="A36" s="504"/>
      <c r="B36" s="190" t="s">
        <v>1037</v>
      </c>
      <c r="C36" s="191" t="s">
        <v>1038</v>
      </c>
      <c r="D36" s="192" t="s">
        <v>60</v>
      </c>
      <c r="E36" s="193">
        <v>1</v>
      </c>
      <c r="F36" s="192">
        <v>2</v>
      </c>
      <c r="G36" s="194">
        <f t="shared" si="0"/>
        <v>76</v>
      </c>
      <c r="H36" s="195">
        <f t="shared" si="1"/>
        <v>63.333333333333336</v>
      </c>
      <c r="I36" s="196" t="s">
        <v>21</v>
      </c>
      <c r="J36" s="197" t="s">
        <v>230</v>
      </c>
    </row>
    <row r="37" spans="1:10" x14ac:dyDescent="0.25">
      <c r="A37" s="504"/>
      <c r="B37" s="190" t="s">
        <v>1041</v>
      </c>
      <c r="C37" s="191" t="s">
        <v>258</v>
      </c>
      <c r="D37" s="192" t="s">
        <v>60</v>
      </c>
      <c r="E37" s="193">
        <v>1</v>
      </c>
      <c r="F37" s="192">
        <v>2</v>
      </c>
      <c r="G37" s="194">
        <f t="shared" si="0"/>
        <v>76</v>
      </c>
      <c r="H37" s="195">
        <f t="shared" ref="H37:H68" si="2">(G37)*$C$86/60</f>
        <v>63.333333333333336</v>
      </c>
      <c r="I37" s="196" t="s">
        <v>5</v>
      </c>
      <c r="J37" s="197" t="s">
        <v>230</v>
      </c>
    </row>
    <row r="38" spans="1:10" x14ac:dyDescent="0.25">
      <c r="A38" s="504"/>
      <c r="B38" s="190" t="s">
        <v>6</v>
      </c>
      <c r="C38" s="191" t="s">
        <v>259</v>
      </c>
      <c r="D38" s="192" t="s">
        <v>60</v>
      </c>
      <c r="E38" s="193">
        <v>1</v>
      </c>
      <c r="F38" s="192">
        <v>2</v>
      </c>
      <c r="G38" s="194">
        <f t="shared" si="0"/>
        <v>76</v>
      </c>
      <c r="H38" s="195">
        <f t="shared" si="2"/>
        <v>63.333333333333336</v>
      </c>
      <c r="I38" s="196" t="s">
        <v>6</v>
      </c>
      <c r="J38" s="197" t="s">
        <v>230</v>
      </c>
    </row>
    <row r="39" spans="1:10" x14ac:dyDescent="0.25">
      <c r="A39" s="504"/>
      <c r="B39" s="190" t="s">
        <v>7</v>
      </c>
      <c r="C39" s="191" t="s">
        <v>1042</v>
      </c>
      <c r="D39" s="192" t="s">
        <v>60</v>
      </c>
      <c r="E39" s="193">
        <v>1</v>
      </c>
      <c r="F39" s="192">
        <v>2</v>
      </c>
      <c r="G39" s="194">
        <f t="shared" si="0"/>
        <v>76</v>
      </c>
      <c r="H39" s="195">
        <f t="shared" si="2"/>
        <v>63.333333333333336</v>
      </c>
      <c r="I39" s="196" t="s">
        <v>7</v>
      </c>
      <c r="J39" s="197" t="s">
        <v>230</v>
      </c>
    </row>
    <row r="40" spans="1:10" x14ac:dyDescent="0.25">
      <c r="A40" s="504"/>
      <c r="B40" s="190" t="s">
        <v>9</v>
      </c>
      <c r="C40" s="191" t="s">
        <v>261</v>
      </c>
      <c r="D40" s="192" t="s">
        <v>60</v>
      </c>
      <c r="E40" s="193">
        <v>1</v>
      </c>
      <c r="F40" s="192">
        <v>2</v>
      </c>
      <c r="G40" s="194">
        <f t="shared" si="0"/>
        <v>76</v>
      </c>
      <c r="H40" s="195">
        <f t="shared" si="2"/>
        <v>63.333333333333336</v>
      </c>
      <c r="I40" s="196" t="s">
        <v>9</v>
      </c>
      <c r="J40" s="197" t="s">
        <v>230</v>
      </c>
    </row>
    <row r="41" spans="1:10" x14ac:dyDescent="0.25">
      <c r="A41" s="504"/>
      <c r="B41" s="190" t="s">
        <v>10</v>
      </c>
      <c r="C41" s="191" t="s">
        <v>262</v>
      </c>
      <c r="D41" s="192" t="s">
        <v>60</v>
      </c>
      <c r="E41" s="193">
        <v>1</v>
      </c>
      <c r="F41" s="192">
        <v>2</v>
      </c>
      <c r="G41" s="194">
        <f t="shared" si="0"/>
        <v>76</v>
      </c>
      <c r="H41" s="195">
        <f t="shared" si="2"/>
        <v>63.333333333333336</v>
      </c>
      <c r="I41" s="196" t="s">
        <v>10</v>
      </c>
      <c r="J41" s="197" t="s">
        <v>230</v>
      </c>
    </row>
    <row r="42" spans="1:10" x14ac:dyDescent="0.25">
      <c r="A42" s="504"/>
      <c r="B42" s="190" t="s">
        <v>8</v>
      </c>
      <c r="C42" s="191" t="s">
        <v>263</v>
      </c>
      <c r="D42" s="192" t="s">
        <v>60</v>
      </c>
      <c r="E42" s="193">
        <v>1</v>
      </c>
      <c r="F42" s="192">
        <v>2</v>
      </c>
      <c r="G42" s="194">
        <f t="shared" si="0"/>
        <v>76</v>
      </c>
      <c r="H42" s="195">
        <f t="shared" si="2"/>
        <v>63.333333333333336</v>
      </c>
      <c r="I42" s="196" t="s">
        <v>8</v>
      </c>
      <c r="J42" s="197" t="s">
        <v>230</v>
      </c>
    </row>
    <row r="43" spans="1:10" x14ac:dyDescent="0.25">
      <c r="A43" s="504"/>
      <c r="B43" s="190" t="s">
        <v>11</v>
      </c>
      <c r="C43" s="191" t="s">
        <v>264</v>
      </c>
      <c r="D43" s="192" t="s">
        <v>60</v>
      </c>
      <c r="E43" s="193">
        <v>1</v>
      </c>
      <c r="F43" s="192">
        <v>2</v>
      </c>
      <c r="G43" s="194">
        <f t="shared" si="0"/>
        <v>76</v>
      </c>
      <c r="H43" s="195">
        <f t="shared" si="2"/>
        <v>63.333333333333336</v>
      </c>
      <c r="I43" s="196" t="s">
        <v>11</v>
      </c>
      <c r="J43" s="197" t="s">
        <v>230</v>
      </c>
    </row>
    <row r="44" spans="1:10" x14ac:dyDescent="0.25">
      <c r="A44" s="504"/>
      <c r="B44" s="190" t="s">
        <v>1076</v>
      </c>
      <c r="C44" s="191" t="s">
        <v>1077</v>
      </c>
      <c r="D44" s="192" t="s">
        <v>60</v>
      </c>
      <c r="E44" s="193">
        <v>1</v>
      </c>
      <c r="F44" s="192">
        <v>0</v>
      </c>
      <c r="G44" s="194">
        <f t="shared" si="0"/>
        <v>0</v>
      </c>
      <c r="H44" s="195">
        <f t="shared" si="2"/>
        <v>0</v>
      </c>
      <c r="I44" s="196" t="s">
        <v>9</v>
      </c>
      <c r="J44" s="197" t="s">
        <v>230</v>
      </c>
    </row>
    <row r="45" spans="1:10" x14ac:dyDescent="0.25">
      <c r="A45" s="504"/>
      <c r="B45" s="199" t="s">
        <v>1039</v>
      </c>
      <c r="C45" s="200" t="s">
        <v>1080</v>
      </c>
      <c r="D45" s="201" t="s">
        <v>60</v>
      </c>
      <c r="E45" s="202">
        <v>1</v>
      </c>
      <c r="F45" s="201">
        <v>0</v>
      </c>
      <c r="G45" s="203">
        <f t="shared" si="0"/>
        <v>0</v>
      </c>
      <c r="H45" s="204">
        <f t="shared" si="2"/>
        <v>0</v>
      </c>
      <c r="I45" s="205" t="s">
        <v>7</v>
      </c>
      <c r="J45" s="206" t="s">
        <v>230</v>
      </c>
    </row>
    <row r="46" spans="1:10" x14ac:dyDescent="0.25">
      <c r="A46" s="504"/>
      <c r="B46" s="199" t="s">
        <v>1078</v>
      </c>
      <c r="C46" s="200" t="s">
        <v>1081</v>
      </c>
      <c r="D46" s="201" t="s">
        <v>60</v>
      </c>
      <c r="E46" s="202">
        <v>1</v>
      </c>
      <c r="F46" s="201">
        <v>0</v>
      </c>
      <c r="G46" s="203">
        <f t="shared" si="0"/>
        <v>0</v>
      </c>
      <c r="H46" s="204">
        <f t="shared" si="2"/>
        <v>0</v>
      </c>
      <c r="I46" s="205" t="s">
        <v>9</v>
      </c>
      <c r="J46" s="206" t="s">
        <v>230</v>
      </c>
    </row>
    <row r="47" spans="1:10" x14ac:dyDescent="0.25">
      <c r="A47" s="504"/>
      <c r="B47" s="199" t="s">
        <v>1061</v>
      </c>
      <c r="C47" s="200" t="s">
        <v>596</v>
      </c>
      <c r="D47" s="201" t="s">
        <v>60</v>
      </c>
      <c r="E47" s="202">
        <v>1</v>
      </c>
      <c r="F47" s="201">
        <v>0</v>
      </c>
      <c r="G47" s="203">
        <f t="shared" si="0"/>
        <v>0</v>
      </c>
      <c r="H47" s="204">
        <f t="shared" si="2"/>
        <v>0</v>
      </c>
      <c r="I47" s="205" t="s">
        <v>315</v>
      </c>
      <c r="J47" s="206" t="s">
        <v>230</v>
      </c>
    </row>
    <row r="48" spans="1:10" x14ac:dyDescent="0.25">
      <c r="A48" s="504"/>
      <c r="B48" s="199" t="s">
        <v>1044</v>
      </c>
      <c r="C48" s="200" t="s">
        <v>1045</v>
      </c>
      <c r="D48" s="201" t="s">
        <v>60</v>
      </c>
      <c r="E48" s="202">
        <v>1</v>
      </c>
      <c r="F48" s="201">
        <v>0</v>
      </c>
      <c r="G48" s="203">
        <f t="shared" si="0"/>
        <v>0</v>
      </c>
      <c r="H48" s="204">
        <f t="shared" si="2"/>
        <v>0</v>
      </c>
      <c r="I48" s="205" t="s">
        <v>15</v>
      </c>
      <c r="J48" s="206" t="s">
        <v>230</v>
      </c>
    </row>
    <row r="49" spans="1:12" x14ac:dyDescent="0.25">
      <c r="A49" s="504"/>
      <c r="B49" s="40" t="s">
        <v>1084</v>
      </c>
      <c r="C49" s="41" t="s">
        <v>586</v>
      </c>
      <c r="D49" s="42" t="s">
        <v>54</v>
      </c>
      <c r="E49" s="43">
        <v>2</v>
      </c>
      <c r="F49" s="42">
        <v>2</v>
      </c>
      <c r="G49" s="44">
        <f>F49*$F$2</f>
        <v>76</v>
      </c>
      <c r="H49" s="45">
        <f t="shared" si="2"/>
        <v>63.333333333333336</v>
      </c>
      <c r="I49" s="47" t="s">
        <v>1189</v>
      </c>
      <c r="J49" s="46" t="s">
        <v>231</v>
      </c>
      <c r="L49">
        <f>H49*E49</f>
        <v>126.66666666666667</v>
      </c>
    </row>
    <row r="50" spans="1:12" x14ac:dyDescent="0.25">
      <c r="A50" s="504"/>
      <c r="B50" s="40" t="s">
        <v>1085</v>
      </c>
      <c r="C50" s="48" t="s">
        <v>588</v>
      </c>
      <c r="D50" s="42" t="s">
        <v>54</v>
      </c>
      <c r="E50" s="42">
        <v>2</v>
      </c>
      <c r="F50" s="42">
        <v>2</v>
      </c>
      <c r="G50" s="44">
        <f t="shared" ref="G50:G73" si="3">F50*$F$2</f>
        <v>76</v>
      </c>
      <c r="H50" s="45">
        <f t="shared" si="2"/>
        <v>63.333333333333336</v>
      </c>
      <c r="I50" s="47" t="s">
        <v>1189</v>
      </c>
      <c r="J50" s="46" t="s">
        <v>231</v>
      </c>
      <c r="L50">
        <f>H50*E50</f>
        <v>126.66666666666667</v>
      </c>
    </row>
    <row r="51" spans="1:12" x14ac:dyDescent="0.25">
      <c r="A51" s="504"/>
      <c r="B51" s="40" t="s">
        <v>1086</v>
      </c>
      <c r="C51" s="48" t="s">
        <v>590</v>
      </c>
      <c r="D51" s="42" t="s">
        <v>54</v>
      </c>
      <c r="E51" s="42">
        <v>2</v>
      </c>
      <c r="F51" s="42">
        <v>4</v>
      </c>
      <c r="G51" s="44">
        <f t="shared" si="3"/>
        <v>152</v>
      </c>
      <c r="H51" s="45">
        <f t="shared" si="2"/>
        <v>126.66666666666667</v>
      </c>
      <c r="I51" s="47" t="s">
        <v>1189</v>
      </c>
      <c r="J51" s="46" t="s">
        <v>231</v>
      </c>
      <c r="L51">
        <f>H51*E51</f>
        <v>253.33333333333334</v>
      </c>
    </row>
    <row r="52" spans="1:12" x14ac:dyDescent="0.25">
      <c r="A52" s="504"/>
      <c r="B52" s="40" t="s">
        <v>591</v>
      </c>
      <c r="C52" s="48" t="s">
        <v>592</v>
      </c>
      <c r="D52" s="42" t="s">
        <v>60</v>
      </c>
      <c r="E52" s="42">
        <v>2</v>
      </c>
      <c r="F52" s="42">
        <v>2</v>
      </c>
      <c r="G52" s="44">
        <f>F52*$F$2</f>
        <v>76</v>
      </c>
      <c r="H52" s="45">
        <f t="shared" si="2"/>
        <v>63.333333333333336</v>
      </c>
      <c r="I52" s="47" t="s">
        <v>1189</v>
      </c>
      <c r="J52" s="46" t="s">
        <v>231</v>
      </c>
      <c r="L52">
        <f>H52*E52</f>
        <v>126.66666666666667</v>
      </c>
    </row>
    <row r="53" spans="1:12" x14ac:dyDescent="0.25">
      <c r="A53" s="504"/>
      <c r="B53" s="40" t="s">
        <v>1089</v>
      </c>
      <c r="C53" s="48" t="s">
        <v>1090</v>
      </c>
      <c r="D53" s="42" t="s">
        <v>54</v>
      </c>
      <c r="E53" s="42">
        <v>2</v>
      </c>
      <c r="F53" s="42">
        <v>2</v>
      </c>
      <c r="G53" s="44">
        <f t="shared" si="3"/>
        <v>76</v>
      </c>
      <c r="H53" s="45">
        <f t="shared" si="2"/>
        <v>63.333333333333336</v>
      </c>
      <c r="I53" s="47" t="s">
        <v>1189</v>
      </c>
      <c r="J53" s="46" t="s">
        <v>231</v>
      </c>
      <c r="L53">
        <f>H53*E53</f>
        <v>126.66666666666667</v>
      </c>
    </row>
    <row r="54" spans="1:12" ht="15" customHeight="1" x14ac:dyDescent="0.25">
      <c r="A54" s="504" t="s">
        <v>1064</v>
      </c>
      <c r="B54" s="190" t="s">
        <v>249</v>
      </c>
      <c r="C54" s="191" t="s">
        <v>250</v>
      </c>
      <c r="D54" s="192" t="s">
        <v>60</v>
      </c>
      <c r="E54" s="193">
        <v>1</v>
      </c>
      <c r="F54" s="192">
        <v>4</v>
      </c>
      <c r="G54" s="194">
        <f t="shared" si="3"/>
        <v>152</v>
      </c>
      <c r="H54" s="195">
        <f t="shared" si="2"/>
        <v>126.66666666666667</v>
      </c>
      <c r="I54" s="196" t="s">
        <v>14</v>
      </c>
      <c r="J54" s="197" t="s">
        <v>230</v>
      </c>
    </row>
    <row r="55" spans="1:12" x14ac:dyDescent="0.25">
      <c r="A55" s="504"/>
      <c r="B55" s="190" t="s">
        <v>12</v>
      </c>
      <c r="C55" s="191" t="s">
        <v>253</v>
      </c>
      <c r="D55" s="192" t="s">
        <v>54</v>
      </c>
      <c r="E55" s="193">
        <v>1</v>
      </c>
      <c r="F55" s="192">
        <v>2</v>
      </c>
      <c r="G55" s="194">
        <f t="shared" si="3"/>
        <v>76</v>
      </c>
      <c r="H55" s="195">
        <f t="shared" si="2"/>
        <v>63.333333333333336</v>
      </c>
      <c r="I55" s="196" t="s">
        <v>12</v>
      </c>
      <c r="J55" s="197" t="s">
        <v>230</v>
      </c>
    </row>
    <row r="56" spans="1:12" x14ac:dyDescent="0.25">
      <c r="A56" s="504"/>
      <c r="B56" s="190" t="s">
        <v>1031</v>
      </c>
      <c r="C56" s="191" t="s">
        <v>1032</v>
      </c>
      <c r="D56" s="192" t="s">
        <v>54</v>
      </c>
      <c r="E56" s="193">
        <v>1</v>
      </c>
      <c r="F56" s="192">
        <v>2</v>
      </c>
      <c r="G56" s="194">
        <f t="shared" si="3"/>
        <v>76</v>
      </c>
      <c r="H56" s="195">
        <f t="shared" si="2"/>
        <v>63.333333333333336</v>
      </c>
      <c r="I56" s="196" t="s">
        <v>13</v>
      </c>
      <c r="J56" s="197" t="s">
        <v>575</v>
      </c>
    </row>
    <row r="57" spans="1:12" x14ac:dyDescent="0.25">
      <c r="A57" s="504"/>
      <c r="B57" s="190" t="s">
        <v>1033</v>
      </c>
      <c r="C57" s="191" t="s">
        <v>1034</v>
      </c>
      <c r="D57" s="192" t="s">
        <v>54</v>
      </c>
      <c r="E57" s="193">
        <v>1</v>
      </c>
      <c r="F57" s="192">
        <v>0</v>
      </c>
      <c r="G57" s="194">
        <f t="shared" si="3"/>
        <v>0</v>
      </c>
      <c r="H57" s="195">
        <f t="shared" si="2"/>
        <v>0</v>
      </c>
      <c r="I57" s="196" t="s">
        <v>13</v>
      </c>
      <c r="J57" s="197" t="s">
        <v>575</v>
      </c>
    </row>
    <row r="58" spans="1:12" x14ac:dyDescent="0.25">
      <c r="A58" s="504"/>
      <c r="B58" s="190" t="s">
        <v>1091</v>
      </c>
      <c r="C58" s="191" t="s">
        <v>1092</v>
      </c>
      <c r="D58" s="192" t="s">
        <v>54</v>
      </c>
      <c r="E58" s="193">
        <v>1</v>
      </c>
      <c r="F58" s="192">
        <v>0</v>
      </c>
      <c r="G58" s="194">
        <f t="shared" si="3"/>
        <v>0</v>
      </c>
      <c r="H58" s="195">
        <f t="shared" si="2"/>
        <v>0</v>
      </c>
      <c r="I58" s="196" t="s">
        <v>13</v>
      </c>
      <c r="J58" s="197" t="s">
        <v>575</v>
      </c>
    </row>
    <row r="59" spans="1:12" x14ac:dyDescent="0.25">
      <c r="A59" s="504"/>
      <c r="B59" s="190" t="s">
        <v>15</v>
      </c>
      <c r="C59" s="191" t="s">
        <v>256</v>
      </c>
      <c r="D59" s="192" t="s">
        <v>54</v>
      </c>
      <c r="E59" s="193">
        <v>1</v>
      </c>
      <c r="F59" s="192">
        <v>0</v>
      </c>
      <c r="G59" s="194">
        <f t="shared" si="3"/>
        <v>0</v>
      </c>
      <c r="H59" s="195">
        <f t="shared" si="2"/>
        <v>0</v>
      </c>
      <c r="I59" s="196" t="s">
        <v>15</v>
      </c>
      <c r="J59" s="197" t="s">
        <v>230</v>
      </c>
    </row>
    <row r="60" spans="1:12" x14ac:dyDescent="0.25">
      <c r="A60" s="504"/>
      <c r="B60" s="190" t="s">
        <v>1035</v>
      </c>
      <c r="C60" s="191" t="s">
        <v>1036</v>
      </c>
      <c r="D60" s="192" t="s">
        <v>60</v>
      </c>
      <c r="E60" s="193">
        <v>1</v>
      </c>
      <c r="F60" s="192">
        <v>2</v>
      </c>
      <c r="G60" s="194">
        <f t="shared" si="3"/>
        <v>76</v>
      </c>
      <c r="H60" s="195">
        <f t="shared" si="2"/>
        <v>63.333333333333336</v>
      </c>
      <c r="I60" s="196" t="s">
        <v>21</v>
      </c>
      <c r="J60" s="197" t="s">
        <v>230</v>
      </c>
    </row>
    <row r="61" spans="1:12" x14ac:dyDescent="0.25">
      <c r="A61" s="504"/>
      <c r="B61" s="190" t="s">
        <v>1037</v>
      </c>
      <c r="C61" s="191" t="s">
        <v>1038</v>
      </c>
      <c r="D61" s="192" t="s">
        <v>60</v>
      </c>
      <c r="E61" s="193">
        <v>1</v>
      </c>
      <c r="F61" s="192">
        <v>2</v>
      </c>
      <c r="G61" s="194">
        <f t="shared" si="3"/>
        <v>76</v>
      </c>
      <c r="H61" s="195">
        <f t="shared" si="2"/>
        <v>63.333333333333336</v>
      </c>
      <c r="I61" s="196" t="s">
        <v>21</v>
      </c>
      <c r="J61" s="197" t="s">
        <v>230</v>
      </c>
    </row>
    <row r="62" spans="1:12" x14ac:dyDescent="0.25">
      <c r="A62" s="504"/>
      <c r="B62" s="190" t="s">
        <v>1041</v>
      </c>
      <c r="C62" s="191" t="s">
        <v>258</v>
      </c>
      <c r="D62" s="192" t="s">
        <v>60</v>
      </c>
      <c r="E62" s="193">
        <v>1</v>
      </c>
      <c r="F62" s="192">
        <v>2</v>
      </c>
      <c r="G62" s="194">
        <f t="shared" si="3"/>
        <v>76</v>
      </c>
      <c r="H62" s="195">
        <f t="shared" si="2"/>
        <v>63.333333333333336</v>
      </c>
      <c r="I62" s="196" t="s">
        <v>5</v>
      </c>
      <c r="J62" s="197" t="s">
        <v>230</v>
      </c>
    </row>
    <row r="63" spans="1:12" x14ac:dyDescent="0.25">
      <c r="A63" s="504"/>
      <c r="B63" s="190" t="s">
        <v>6</v>
      </c>
      <c r="C63" s="191" t="s">
        <v>259</v>
      </c>
      <c r="D63" s="192" t="s">
        <v>60</v>
      </c>
      <c r="E63" s="193">
        <v>1</v>
      </c>
      <c r="F63" s="192">
        <v>2</v>
      </c>
      <c r="G63" s="194">
        <f t="shared" si="3"/>
        <v>76</v>
      </c>
      <c r="H63" s="195">
        <f t="shared" si="2"/>
        <v>63.333333333333336</v>
      </c>
      <c r="I63" s="196" t="s">
        <v>6</v>
      </c>
      <c r="J63" s="197" t="s">
        <v>230</v>
      </c>
    </row>
    <row r="64" spans="1:12" x14ac:dyDescent="0.25">
      <c r="A64" s="504"/>
      <c r="B64" s="190" t="s">
        <v>7</v>
      </c>
      <c r="C64" s="191" t="s">
        <v>1042</v>
      </c>
      <c r="D64" s="192" t="s">
        <v>60</v>
      </c>
      <c r="E64" s="193">
        <v>1</v>
      </c>
      <c r="F64" s="192">
        <v>2</v>
      </c>
      <c r="G64" s="194">
        <f t="shared" si="3"/>
        <v>76</v>
      </c>
      <c r="H64" s="195">
        <f t="shared" si="2"/>
        <v>63.333333333333336</v>
      </c>
      <c r="I64" s="196" t="s">
        <v>7</v>
      </c>
      <c r="J64" s="197" t="s">
        <v>230</v>
      </c>
    </row>
    <row r="65" spans="1:12" x14ac:dyDescent="0.25">
      <c r="A65" s="504"/>
      <c r="B65" s="190" t="s">
        <v>9</v>
      </c>
      <c r="C65" s="191" t="s">
        <v>261</v>
      </c>
      <c r="D65" s="192" t="s">
        <v>60</v>
      </c>
      <c r="E65" s="193">
        <v>1</v>
      </c>
      <c r="F65" s="192">
        <v>2</v>
      </c>
      <c r="G65" s="194">
        <f t="shared" si="3"/>
        <v>76</v>
      </c>
      <c r="H65" s="195">
        <f t="shared" si="2"/>
        <v>63.333333333333336</v>
      </c>
      <c r="I65" s="196" t="s">
        <v>9</v>
      </c>
      <c r="J65" s="197" t="s">
        <v>230</v>
      </c>
    </row>
    <row r="66" spans="1:12" x14ac:dyDescent="0.25">
      <c r="A66" s="504"/>
      <c r="B66" s="190" t="s">
        <v>10</v>
      </c>
      <c r="C66" s="191" t="s">
        <v>262</v>
      </c>
      <c r="D66" s="192" t="s">
        <v>60</v>
      </c>
      <c r="E66" s="193">
        <v>1</v>
      </c>
      <c r="F66" s="192">
        <v>2</v>
      </c>
      <c r="G66" s="194">
        <f t="shared" si="3"/>
        <v>76</v>
      </c>
      <c r="H66" s="195">
        <f t="shared" si="2"/>
        <v>63.333333333333336</v>
      </c>
      <c r="I66" s="196" t="s">
        <v>10</v>
      </c>
      <c r="J66" s="197" t="s">
        <v>230</v>
      </c>
    </row>
    <row r="67" spans="1:12" x14ac:dyDescent="0.25">
      <c r="A67" s="504"/>
      <c r="B67" s="190" t="s">
        <v>8</v>
      </c>
      <c r="C67" s="191" t="s">
        <v>263</v>
      </c>
      <c r="D67" s="192" t="s">
        <v>60</v>
      </c>
      <c r="E67" s="193">
        <v>1</v>
      </c>
      <c r="F67" s="192">
        <v>2</v>
      </c>
      <c r="G67" s="194">
        <f t="shared" si="3"/>
        <v>76</v>
      </c>
      <c r="H67" s="195">
        <f t="shared" si="2"/>
        <v>63.333333333333336</v>
      </c>
      <c r="I67" s="196" t="s">
        <v>8</v>
      </c>
      <c r="J67" s="197" t="s">
        <v>230</v>
      </c>
    </row>
    <row r="68" spans="1:12" x14ac:dyDescent="0.25">
      <c r="A68" s="504"/>
      <c r="B68" s="190" t="s">
        <v>11</v>
      </c>
      <c r="C68" s="191" t="s">
        <v>264</v>
      </c>
      <c r="D68" s="192" t="s">
        <v>60</v>
      </c>
      <c r="E68" s="193">
        <v>1</v>
      </c>
      <c r="F68" s="192">
        <v>2</v>
      </c>
      <c r="G68" s="194">
        <f t="shared" si="3"/>
        <v>76</v>
      </c>
      <c r="H68" s="195">
        <f t="shared" si="2"/>
        <v>63.333333333333336</v>
      </c>
      <c r="I68" s="196" t="s">
        <v>11</v>
      </c>
      <c r="J68" s="197" t="s">
        <v>230</v>
      </c>
    </row>
    <row r="69" spans="1:12" x14ac:dyDescent="0.25">
      <c r="A69" s="504"/>
      <c r="B69" s="190" t="s">
        <v>1076</v>
      </c>
      <c r="C69" s="191" t="s">
        <v>1077</v>
      </c>
      <c r="D69" s="192" t="s">
        <v>60</v>
      </c>
      <c r="E69" s="193">
        <v>1</v>
      </c>
      <c r="F69" s="192">
        <v>0</v>
      </c>
      <c r="G69" s="194">
        <f t="shared" si="3"/>
        <v>0</v>
      </c>
      <c r="H69" s="195">
        <f t="shared" ref="H69:H79" si="4">(G69)*$C$86/60</f>
        <v>0</v>
      </c>
      <c r="I69" s="196" t="s">
        <v>9</v>
      </c>
      <c r="J69" s="197" t="s">
        <v>230</v>
      </c>
    </row>
    <row r="70" spans="1:12" x14ac:dyDescent="0.25">
      <c r="A70" s="504"/>
      <c r="B70" s="199" t="s">
        <v>1039</v>
      </c>
      <c r="C70" s="200" t="s">
        <v>1080</v>
      </c>
      <c r="D70" s="201" t="s">
        <v>60</v>
      </c>
      <c r="E70" s="202">
        <v>1</v>
      </c>
      <c r="F70" s="201">
        <v>0</v>
      </c>
      <c r="G70" s="203">
        <f t="shared" si="3"/>
        <v>0</v>
      </c>
      <c r="H70" s="204">
        <f t="shared" si="4"/>
        <v>0</v>
      </c>
      <c r="I70" s="205" t="s">
        <v>7</v>
      </c>
      <c r="J70" s="206" t="s">
        <v>230</v>
      </c>
    </row>
    <row r="71" spans="1:12" x14ac:dyDescent="0.25">
      <c r="A71" s="504"/>
      <c r="B71" s="199" t="s">
        <v>1078</v>
      </c>
      <c r="C71" s="200" t="s">
        <v>1081</v>
      </c>
      <c r="D71" s="201" t="s">
        <v>60</v>
      </c>
      <c r="E71" s="202">
        <v>1</v>
      </c>
      <c r="F71" s="201">
        <v>0</v>
      </c>
      <c r="G71" s="203">
        <f t="shared" si="3"/>
        <v>0</v>
      </c>
      <c r="H71" s="204">
        <f t="shared" si="4"/>
        <v>0</v>
      </c>
      <c r="I71" s="205" t="s">
        <v>9</v>
      </c>
      <c r="J71" s="206" t="s">
        <v>230</v>
      </c>
    </row>
    <row r="72" spans="1:12" x14ac:dyDescent="0.25">
      <c r="A72" s="504"/>
      <c r="B72" s="199" t="s">
        <v>1061</v>
      </c>
      <c r="C72" s="200" t="s">
        <v>596</v>
      </c>
      <c r="D72" s="201" t="s">
        <v>60</v>
      </c>
      <c r="E72" s="202">
        <v>1</v>
      </c>
      <c r="F72" s="201">
        <v>2</v>
      </c>
      <c r="G72" s="203">
        <f t="shared" si="3"/>
        <v>76</v>
      </c>
      <c r="H72" s="204">
        <f t="shared" si="4"/>
        <v>63.333333333333336</v>
      </c>
      <c r="I72" s="205" t="s">
        <v>315</v>
      </c>
      <c r="J72" s="206" t="s">
        <v>230</v>
      </c>
    </row>
    <row r="73" spans="1:12" x14ac:dyDescent="0.25">
      <c r="A73" s="504"/>
      <c r="B73" s="199" t="s">
        <v>1044</v>
      </c>
      <c r="C73" s="200" t="s">
        <v>1045</v>
      </c>
      <c r="D73" s="201" t="s">
        <v>60</v>
      </c>
      <c r="E73" s="202">
        <v>1</v>
      </c>
      <c r="F73" s="201">
        <v>2</v>
      </c>
      <c r="G73" s="203">
        <f t="shared" si="3"/>
        <v>76</v>
      </c>
      <c r="H73" s="204">
        <f t="shared" si="4"/>
        <v>63.333333333333336</v>
      </c>
      <c r="I73" s="205" t="s">
        <v>15</v>
      </c>
      <c r="J73" s="206" t="s">
        <v>230</v>
      </c>
    </row>
    <row r="74" spans="1:12" x14ac:dyDescent="0.25">
      <c r="A74" s="504"/>
      <c r="B74" s="40" t="s">
        <v>1087</v>
      </c>
      <c r="C74" s="41" t="s">
        <v>594</v>
      </c>
      <c r="D74" s="42" t="s">
        <v>54</v>
      </c>
      <c r="E74" s="43">
        <v>2</v>
      </c>
      <c r="F74" s="42">
        <v>4</v>
      </c>
      <c r="G74" s="44">
        <f>F74*$F$2</f>
        <v>152</v>
      </c>
      <c r="H74" s="45">
        <f t="shared" si="4"/>
        <v>126.66666666666667</v>
      </c>
      <c r="I74" s="47" t="s">
        <v>1189</v>
      </c>
      <c r="J74" s="46" t="s">
        <v>231</v>
      </c>
      <c r="L74">
        <f t="shared" ref="L74:L79" si="5">H74*E74</f>
        <v>253.33333333333334</v>
      </c>
    </row>
    <row r="75" spans="1:12" x14ac:dyDescent="0.25">
      <c r="A75" s="504"/>
      <c r="B75" s="40" t="s">
        <v>1088</v>
      </c>
      <c r="C75" s="48" t="s">
        <v>598</v>
      </c>
      <c r="D75" s="42" t="s">
        <v>54</v>
      </c>
      <c r="E75" s="42">
        <v>2</v>
      </c>
      <c r="F75" s="42">
        <v>2</v>
      </c>
      <c r="G75" s="44">
        <f>F75*$F$2</f>
        <v>76</v>
      </c>
      <c r="H75" s="45">
        <f t="shared" si="4"/>
        <v>63.333333333333336</v>
      </c>
      <c r="I75" s="47" t="s">
        <v>1189</v>
      </c>
      <c r="J75" s="46" t="s">
        <v>231</v>
      </c>
      <c r="L75">
        <f t="shared" si="5"/>
        <v>126.66666666666667</v>
      </c>
    </row>
    <row r="76" spans="1:12" ht="15.75" thickBot="1" x14ac:dyDescent="0.3">
      <c r="A76" s="504"/>
      <c r="B76" s="40" t="s">
        <v>1089</v>
      </c>
      <c r="C76" s="48" t="s">
        <v>1090</v>
      </c>
      <c r="D76" s="42" t="s">
        <v>54</v>
      </c>
      <c r="E76" s="42">
        <v>2</v>
      </c>
      <c r="F76" s="42">
        <v>2</v>
      </c>
      <c r="G76" s="44">
        <f>F76*$F$2</f>
        <v>76</v>
      </c>
      <c r="H76" s="45">
        <f t="shared" si="4"/>
        <v>63.333333333333336</v>
      </c>
      <c r="I76" s="47" t="s">
        <v>1189</v>
      </c>
      <c r="J76" s="46" t="s">
        <v>231</v>
      </c>
      <c r="L76">
        <f t="shared" si="5"/>
        <v>126.66666666666667</v>
      </c>
    </row>
    <row r="77" spans="1:12" ht="15.75" thickBot="1" x14ac:dyDescent="0.3">
      <c r="A77" s="506" t="s">
        <v>297</v>
      </c>
      <c r="B77" s="507"/>
      <c r="C77" s="42" t="s">
        <v>298</v>
      </c>
      <c r="D77" s="42" t="s">
        <v>60</v>
      </c>
      <c r="E77" s="42">
        <v>1</v>
      </c>
      <c r="F77" s="42">
        <v>2</v>
      </c>
      <c r="G77" s="44">
        <f t="shared" si="0"/>
        <v>76</v>
      </c>
      <c r="H77" s="45">
        <f t="shared" si="4"/>
        <v>63.333333333333336</v>
      </c>
      <c r="I77" s="47" t="s">
        <v>16</v>
      </c>
      <c r="J77" s="46" t="s">
        <v>230</v>
      </c>
      <c r="L77">
        <f t="shared" si="5"/>
        <v>63.333333333333336</v>
      </c>
    </row>
    <row r="78" spans="1:12" ht="15.75" thickBot="1" x14ac:dyDescent="0.3">
      <c r="A78" s="598" t="s">
        <v>1070</v>
      </c>
      <c r="B78" s="599"/>
      <c r="C78" s="42" t="s">
        <v>1071</v>
      </c>
      <c r="D78" s="42" t="s">
        <v>60</v>
      </c>
      <c r="E78" s="42">
        <v>1</v>
      </c>
      <c r="F78" s="42">
        <v>2</v>
      </c>
      <c r="G78" s="44">
        <f t="shared" si="0"/>
        <v>76</v>
      </c>
      <c r="H78" s="45">
        <f t="shared" si="4"/>
        <v>63.333333333333336</v>
      </c>
      <c r="I78" s="47" t="s">
        <v>15</v>
      </c>
      <c r="J78" s="46" t="s">
        <v>230</v>
      </c>
      <c r="L78">
        <f t="shared" si="5"/>
        <v>63.333333333333336</v>
      </c>
    </row>
    <row r="79" spans="1:12" ht="15.75" thickBot="1" x14ac:dyDescent="0.3">
      <c r="A79" s="506" t="s">
        <v>300</v>
      </c>
      <c r="B79" s="507"/>
      <c r="C79" s="42" t="s">
        <v>301</v>
      </c>
      <c r="D79" s="42" t="s">
        <v>60</v>
      </c>
      <c r="E79" s="42">
        <v>1</v>
      </c>
      <c r="F79" s="42">
        <v>2</v>
      </c>
      <c r="G79" s="44">
        <f t="shared" si="0"/>
        <v>76</v>
      </c>
      <c r="H79" s="45">
        <f t="shared" si="4"/>
        <v>63.333333333333336</v>
      </c>
      <c r="I79" s="47" t="s">
        <v>17</v>
      </c>
      <c r="J79" s="46" t="s">
        <v>230</v>
      </c>
      <c r="L79">
        <f t="shared" si="5"/>
        <v>63.333333333333336</v>
      </c>
    </row>
    <row r="80" spans="1:12" ht="16.5" thickBot="1" x14ac:dyDescent="0.3">
      <c r="A80" s="508" t="s">
        <v>302</v>
      </c>
      <c r="B80" s="509"/>
      <c r="C80" s="509"/>
      <c r="D80" s="509"/>
      <c r="E80" s="510"/>
      <c r="F80" s="53">
        <f>SUM(F5:F76)*F2</f>
        <v>4256</v>
      </c>
      <c r="G80" s="53">
        <f>SUM(G5:G79)</f>
        <v>4484</v>
      </c>
      <c r="H80" s="54"/>
      <c r="I80" s="36"/>
    </row>
    <row r="81" spans="1:9" ht="16.5" thickBot="1" x14ac:dyDescent="0.3">
      <c r="A81" s="508" t="s">
        <v>303</v>
      </c>
      <c r="B81" s="509"/>
      <c r="C81" s="509"/>
      <c r="D81" s="509"/>
      <c r="E81" s="510"/>
      <c r="F81" s="55">
        <f>(F80*$C$86)/60</f>
        <v>3546.6666666666665</v>
      </c>
      <c r="G81" s="53" t="s">
        <v>304</v>
      </c>
      <c r="H81" s="55" t="e">
        <f>SUM(F81+#REF!+#REF!)</f>
        <v>#REF!</v>
      </c>
      <c r="I81" s="36"/>
    </row>
    <row r="82" spans="1:9" ht="16.5" thickBot="1" x14ac:dyDescent="0.3">
      <c r="A82" s="508" t="s">
        <v>305</v>
      </c>
      <c r="B82" s="509"/>
      <c r="C82" s="509"/>
      <c r="D82" s="509"/>
      <c r="E82" s="509"/>
      <c r="F82" s="509"/>
      <c r="G82" s="510"/>
      <c r="H82" s="56" t="e">
        <f>H81</f>
        <v>#REF!</v>
      </c>
      <c r="I82" s="57"/>
    </row>
    <row r="83" spans="1:9" ht="15.75" thickBot="1" x14ac:dyDescent="0.3">
      <c r="A83" s="506" t="s">
        <v>306</v>
      </c>
      <c r="B83" s="511"/>
      <c r="C83" s="511"/>
      <c r="D83" s="511"/>
      <c r="E83" s="511"/>
      <c r="F83" s="511"/>
      <c r="G83" s="512"/>
      <c r="H83" s="58">
        <v>150</v>
      </c>
      <c r="I83" s="59"/>
    </row>
    <row r="84" spans="1:9" ht="15.75" thickBot="1" x14ac:dyDescent="0.3">
      <c r="A84" s="506" t="s">
        <v>1072</v>
      </c>
      <c r="B84" s="511"/>
      <c r="C84" s="511"/>
      <c r="D84" s="511"/>
      <c r="E84" s="511"/>
      <c r="F84" s="511"/>
      <c r="G84" s="512"/>
      <c r="H84" s="58">
        <v>80</v>
      </c>
      <c r="I84" s="59"/>
    </row>
    <row r="85" spans="1:9" ht="16.5" thickBot="1" x14ac:dyDescent="0.3">
      <c r="A85" s="508" t="s">
        <v>308</v>
      </c>
      <c r="B85" s="509"/>
      <c r="C85" s="509"/>
      <c r="D85" s="509"/>
      <c r="E85" s="509"/>
      <c r="F85" s="509"/>
      <c r="G85" s="510"/>
      <c r="H85" s="55" t="e">
        <f>ROUNDDOWN(SUM(H82:H84,H77:H79),0)</f>
        <v>#REF!</v>
      </c>
      <c r="I85" s="36"/>
    </row>
    <row r="86" spans="1:9" ht="15.75" x14ac:dyDescent="0.25">
      <c r="A86" s="505" t="s">
        <v>309</v>
      </c>
      <c r="B86" s="505"/>
      <c r="C86" s="38">
        <v>50</v>
      </c>
      <c r="D86" s="60" t="s">
        <v>310</v>
      </c>
      <c r="E86" s="60"/>
      <c r="F86" s="60"/>
      <c r="G86" s="60"/>
      <c r="H86" s="60"/>
      <c r="I86" s="36"/>
    </row>
    <row r="88" spans="1:9" x14ac:dyDescent="0.25">
      <c r="F88" s="219">
        <f>SUMPRODUCT(H5:H76,E5:E76)/F81</f>
        <v>1.2857142857142865</v>
      </c>
    </row>
  </sheetData>
  <mergeCells count="18">
    <mergeCell ref="A2:C2"/>
    <mergeCell ref="B3:B4"/>
    <mergeCell ref="C3:C4"/>
    <mergeCell ref="I3:I4"/>
    <mergeCell ref="J3:J4"/>
    <mergeCell ref="A5:A28"/>
    <mergeCell ref="A86:B86"/>
    <mergeCell ref="A29:A53"/>
    <mergeCell ref="A54:A76"/>
    <mergeCell ref="A77:B77"/>
    <mergeCell ref="A78:B78"/>
    <mergeCell ref="A79:B79"/>
    <mergeCell ref="A80:E80"/>
    <mergeCell ref="A81:E81"/>
    <mergeCell ref="A82:G82"/>
    <mergeCell ref="A83:G83"/>
    <mergeCell ref="A84:G84"/>
    <mergeCell ref="A85:G85"/>
  </mergeCells>
  <dataValidations count="2">
    <dataValidation type="list" allowBlank="1" showInputMessage="1" showErrorMessage="1" sqref="J5:J79" xr:uid="{00000000-0002-0000-2400-000000000000}">
      <formula1>Ambientes</formula1>
    </dataValidation>
    <dataValidation type="list" allowBlank="1" showInputMessage="1" showErrorMessage="1" sqref="I5:I79" xr:uid="{00000000-0002-0000-24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4">
    <tabColor theme="9" tint="-0.249977111117893"/>
  </sheetPr>
  <dimension ref="A1:J35"/>
  <sheetViews>
    <sheetView topLeftCell="A4" workbookViewId="0">
      <selection activeCell="B15" activeCellId="1" sqref="B9 B15"/>
    </sheetView>
  </sheetViews>
  <sheetFormatPr defaultColWidth="9.140625" defaultRowHeight="15" x14ac:dyDescent="0.25"/>
  <cols>
    <col min="2" max="2" width="47.5703125" customWidth="1"/>
    <col min="9" max="9" width="15.42578125" bestFit="1" customWidth="1"/>
    <col min="10" max="10" width="26.5703125" bestFit="1" customWidth="1"/>
  </cols>
  <sheetData>
    <row r="1" spans="1:10" ht="15.75" thickBot="1" x14ac:dyDescent="0.3">
      <c r="A1" t="s">
        <v>711</v>
      </c>
    </row>
    <row r="2" spans="1:10" ht="29.25" thickBot="1" x14ac:dyDescent="0.3">
      <c r="A2" t="s">
        <v>1188</v>
      </c>
      <c r="F2" s="119" t="s">
        <v>48</v>
      </c>
    </row>
    <row r="3" spans="1:10" ht="29.25" thickBot="1" x14ac:dyDescent="0.3">
      <c r="A3" s="5"/>
      <c r="B3" s="6" t="s">
        <v>44</v>
      </c>
      <c r="C3" s="7" t="s">
        <v>45</v>
      </c>
      <c r="D3" s="7" t="s">
        <v>46</v>
      </c>
      <c r="E3" s="7" t="s">
        <v>47</v>
      </c>
      <c r="F3" s="120" t="s">
        <v>246</v>
      </c>
      <c r="G3" s="7" t="s">
        <v>49</v>
      </c>
      <c r="H3" s="7" t="s">
        <v>50</v>
      </c>
      <c r="I3" s="68" t="s">
        <v>313</v>
      </c>
      <c r="J3" s="121" t="s">
        <v>228</v>
      </c>
    </row>
    <row r="4" spans="1:10" ht="15" customHeight="1" x14ac:dyDescent="0.25">
      <c r="A4" s="537" t="s">
        <v>51</v>
      </c>
      <c r="B4" s="8" t="s">
        <v>58</v>
      </c>
      <c r="C4" s="9"/>
      <c r="D4" s="10" t="s">
        <v>60</v>
      </c>
      <c r="E4" s="9">
        <v>1</v>
      </c>
      <c r="F4" s="122">
        <v>4</v>
      </c>
      <c r="G4" s="12">
        <v>76</v>
      </c>
      <c r="H4" s="123">
        <v>63</v>
      </c>
      <c r="I4" s="124" t="s">
        <v>20</v>
      </c>
      <c r="J4" s="125" t="s">
        <v>230</v>
      </c>
    </row>
    <row r="5" spans="1:10" x14ac:dyDescent="0.25">
      <c r="A5" s="538"/>
      <c r="B5" s="14" t="s">
        <v>63</v>
      </c>
      <c r="C5" s="15"/>
      <c r="D5" s="16" t="s">
        <v>57</v>
      </c>
      <c r="E5" s="15">
        <v>2</v>
      </c>
      <c r="F5" s="126">
        <v>2</v>
      </c>
      <c r="G5" s="18">
        <v>38</v>
      </c>
      <c r="H5" s="127">
        <v>32</v>
      </c>
      <c r="I5" s="128" t="s">
        <v>20</v>
      </c>
      <c r="J5" s="129" t="s">
        <v>232</v>
      </c>
    </row>
    <row r="6" spans="1:10" x14ac:dyDescent="0.25">
      <c r="A6" s="538"/>
      <c r="B6" s="14" t="s">
        <v>71</v>
      </c>
      <c r="C6" s="15"/>
      <c r="D6" s="16" t="s">
        <v>60</v>
      </c>
      <c r="E6" s="15">
        <v>1</v>
      </c>
      <c r="F6" s="126">
        <v>4</v>
      </c>
      <c r="G6" s="18">
        <v>76</v>
      </c>
      <c r="H6" s="127">
        <v>63</v>
      </c>
      <c r="I6" s="128" t="s">
        <v>20</v>
      </c>
      <c r="J6" s="129" t="s">
        <v>230</v>
      </c>
    </row>
    <row r="7" spans="1:10" x14ac:dyDescent="0.25">
      <c r="A7" s="538"/>
      <c r="B7" s="14" t="s">
        <v>712</v>
      </c>
      <c r="C7" s="15"/>
      <c r="D7" s="16" t="s">
        <v>57</v>
      </c>
      <c r="E7" s="15">
        <v>2</v>
      </c>
      <c r="F7" s="126">
        <v>2</v>
      </c>
      <c r="G7" s="18">
        <v>38</v>
      </c>
      <c r="H7" s="127">
        <v>32</v>
      </c>
      <c r="I7" s="128" t="s">
        <v>20</v>
      </c>
      <c r="J7" s="129" t="s">
        <v>232</v>
      </c>
    </row>
    <row r="8" spans="1:10" x14ac:dyDescent="0.25">
      <c r="A8" s="538"/>
      <c r="B8" s="14" t="s">
        <v>492</v>
      </c>
      <c r="C8" s="15"/>
      <c r="D8" s="16" t="s">
        <v>60</v>
      </c>
      <c r="E8" s="15">
        <v>1</v>
      </c>
      <c r="F8" s="126">
        <v>4</v>
      </c>
      <c r="G8" s="18">
        <v>76</v>
      </c>
      <c r="H8" s="127">
        <v>63</v>
      </c>
      <c r="I8" s="128" t="s">
        <v>21</v>
      </c>
      <c r="J8" s="129" t="s">
        <v>230</v>
      </c>
    </row>
    <row r="9" spans="1:10" x14ac:dyDescent="0.25">
      <c r="A9" s="577"/>
      <c r="B9" s="130" t="s">
        <v>396</v>
      </c>
      <c r="C9" s="131"/>
      <c r="D9" s="132" t="s">
        <v>60</v>
      </c>
      <c r="E9" s="131">
        <v>1</v>
      </c>
      <c r="F9" s="133">
        <v>2</v>
      </c>
      <c r="G9" s="18">
        <v>38</v>
      </c>
      <c r="H9" s="127">
        <v>32</v>
      </c>
      <c r="I9" s="134" t="s">
        <v>15</v>
      </c>
      <c r="J9" s="135" t="s">
        <v>230</v>
      </c>
    </row>
    <row r="10" spans="1:10" ht="15.75" thickBot="1" x14ac:dyDescent="0.3">
      <c r="A10" s="541"/>
      <c r="B10" s="20" t="s">
        <v>343</v>
      </c>
      <c r="C10" s="21"/>
      <c r="D10" s="22" t="s">
        <v>60</v>
      </c>
      <c r="E10" s="21">
        <v>1</v>
      </c>
      <c r="F10" s="136">
        <v>2</v>
      </c>
      <c r="G10" s="24">
        <v>38</v>
      </c>
      <c r="H10" s="137">
        <v>32</v>
      </c>
      <c r="I10" s="138" t="s">
        <v>14</v>
      </c>
      <c r="J10" s="139" t="s">
        <v>230</v>
      </c>
    </row>
    <row r="11" spans="1:10" ht="15" customHeight="1" x14ac:dyDescent="0.25">
      <c r="A11" s="537" t="s">
        <v>67</v>
      </c>
      <c r="B11" s="8" t="s">
        <v>87</v>
      </c>
      <c r="C11" s="9"/>
      <c r="D11" s="10" t="s">
        <v>60</v>
      </c>
      <c r="E11" s="9">
        <v>1</v>
      </c>
      <c r="F11" s="122">
        <v>4</v>
      </c>
      <c r="G11" s="12">
        <v>76</v>
      </c>
      <c r="H11" s="123">
        <v>63</v>
      </c>
      <c r="I11" s="124" t="s">
        <v>20</v>
      </c>
      <c r="J11" s="125" t="s">
        <v>230</v>
      </c>
    </row>
    <row r="12" spans="1:10" x14ac:dyDescent="0.25">
      <c r="A12" s="540"/>
      <c r="B12" s="140" t="s">
        <v>89</v>
      </c>
      <c r="C12" s="141"/>
      <c r="D12" s="142" t="s">
        <v>57</v>
      </c>
      <c r="E12" s="141">
        <v>2</v>
      </c>
      <c r="F12" s="143">
        <v>2</v>
      </c>
      <c r="G12" s="18">
        <v>38</v>
      </c>
      <c r="H12" s="127">
        <v>32</v>
      </c>
      <c r="I12" s="144" t="s">
        <v>20</v>
      </c>
      <c r="J12" s="145" t="s">
        <v>232</v>
      </c>
    </row>
    <row r="13" spans="1:10" x14ac:dyDescent="0.25">
      <c r="A13" s="540"/>
      <c r="B13" s="140" t="s">
        <v>461</v>
      </c>
      <c r="C13" s="141"/>
      <c r="D13" s="142" t="s">
        <v>57</v>
      </c>
      <c r="E13" s="141">
        <v>2</v>
      </c>
      <c r="F13" s="143">
        <v>2</v>
      </c>
      <c r="G13" s="18">
        <v>38</v>
      </c>
      <c r="H13" s="127">
        <v>32</v>
      </c>
      <c r="I13" s="144" t="s">
        <v>20</v>
      </c>
      <c r="J13" s="145" t="s">
        <v>231</v>
      </c>
    </row>
    <row r="14" spans="1:10" x14ac:dyDescent="0.25">
      <c r="A14" s="540"/>
      <c r="B14" s="140" t="s">
        <v>713</v>
      </c>
      <c r="C14" s="141"/>
      <c r="D14" s="142" t="s">
        <v>60</v>
      </c>
      <c r="E14" s="141">
        <v>1</v>
      </c>
      <c r="F14" s="143">
        <v>2</v>
      </c>
      <c r="G14" s="18">
        <v>38</v>
      </c>
      <c r="H14" s="127">
        <v>32</v>
      </c>
      <c r="I14" s="144" t="s">
        <v>20</v>
      </c>
      <c r="J14" s="145" t="s">
        <v>230</v>
      </c>
    </row>
    <row r="15" spans="1:10" x14ac:dyDescent="0.25">
      <c r="A15" s="538"/>
      <c r="B15" s="14" t="s">
        <v>714</v>
      </c>
      <c r="C15" s="15"/>
      <c r="D15" s="16" t="s">
        <v>60</v>
      </c>
      <c r="E15" s="15">
        <v>1</v>
      </c>
      <c r="F15" s="126">
        <v>2</v>
      </c>
      <c r="G15" s="18">
        <v>38</v>
      </c>
      <c r="H15" s="127">
        <v>32</v>
      </c>
      <c r="I15" s="128" t="s">
        <v>15</v>
      </c>
      <c r="J15" s="129" t="s">
        <v>230</v>
      </c>
    </row>
    <row r="16" spans="1:10" x14ac:dyDescent="0.25">
      <c r="A16" s="538"/>
      <c r="B16" s="14" t="s">
        <v>715</v>
      </c>
      <c r="C16" s="15"/>
      <c r="D16" s="16" t="s">
        <v>60</v>
      </c>
      <c r="E16" s="15">
        <v>1</v>
      </c>
      <c r="F16" s="126">
        <v>2</v>
      </c>
      <c r="G16" s="18">
        <v>38</v>
      </c>
      <c r="H16" s="127">
        <v>32</v>
      </c>
      <c r="I16" s="128" t="s">
        <v>14</v>
      </c>
      <c r="J16" s="129" t="s">
        <v>230</v>
      </c>
    </row>
    <row r="17" spans="1:10" ht="15" customHeight="1" x14ac:dyDescent="0.25">
      <c r="A17" s="538"/>
      <c r="B17" s="14" t="s">
        <v>595</v>
      </c>
      <c r="C17" s="15"/>
      <c r="D17" s="16" t="s">
        <v>60</v>
      </c>
      <c r="E17" s="15">
        <v>1</v>
      </c>
      <c r="F17" s="126">
        <v>2</v>
      </c>
      <c r="G17" s="18">
        <v>38</v>
      </c>
      <c r="H17" s="127">
        <v>32</v>
      </c>
      <c r="I17" s="128" t="s">
        <v>315</v>
      </c>
      <c r="J17" s="129" t="s">
        <v>230</v>
      </c>
    </row>
    <row r="18" spans="1:10" ht="15.75" thickBot="1" x14ac:dyDescent="0.3">
      <c r="A18" s="541"/>
      <c r="B18" s="20" t="s">
        <v>716</v>
      </c>
      <c r="C18" s="21"/>
      <c r="D18" s="22" t="s">
        <v>57</v>
      </c>
      <c r="E18" s="21">
        <v>2</v>
      </c>
      <c r="F18" s="136">
        <v>4</v>
      </c>
      <c r="G18" s="24">
        <v>76</v>
      </c>
      <c r="H18" s="137">
        <v>63</v>
      </c>
      <c r="I18" s="138" t="s">
        <v>20</v>
      </c>
      <c r="J18" s="139" t="s">
        <v>232</v>
      </c>
    </row>
    <row r="19" spans="1:10" x14ac:dyDescent="0.25">
      <c r="A19" s="537" t="s">
        <v>85</v>
      </c>
      <c r="B19" s="8" t="s">
        <v>116</v>
      </c>
      <c r="C19" s="9"/>
      <c r="D19" s="10" t="s">
        <v>57</v>
      </c>
      <c r="E19" s="9">
        <v>1</v>
      </c>
      <c r="F19" s="122">
        <v>4</v>
      </c>
      <c r="G19" s="12">
        <v>76</v>
      </c>
      <c r="H19" s="123">
        <v>63</v>
      </c>
      <c r="I19" s="124" t="s">
        <v>20</v>
      </c>
      <c r="J19" s="125" t="s">
        <v>232</v>
      </c>
    </row>
    <row r="20" spans="1:10" x14ac:dyDescent="0.25">
      <c r="A20" s="538"/>
      <c r="B20" s="14" t="s">
        <v>1189</v>
      </c>
      <c r="C20" s="15"/>
      <c r="D20" s="16" t="s">
        <v>57</v>
      </c>
      <c r="E20" s="15">
        <v>1</v>
      </c>
      <c r="F20" s="126">
        <v>2</v>
      </c>
      <c r="G20" s="18">
        <v>38</v>
      </c>
      <c r="H20" s="127">
        <v>32</v>
      </c>
      <c r="I20" s="128" t="s">
        <v>20</v>
      </c>
      <c r="J20" s="129" t="s">
        <v>231</v>
      </c>
    </row>
    <row r="21" spans="1:10" x14ac:dyDescent="0.25">
      <c r="A21" s="538"/>
      <c r="B21" s="14" t="s">
        <v>718</v>
      </c>
      <c r="C21" s="15"/>
      <c r="D21" s="16" t="s">
        <v>57</v>
      </c>
      <c r="E21" s="15">
        <v>1</v>
      </c>
      <c r="F21" s="126">
        <v>2</v>
      </c>
      <c r="G21" s="18">
        <v>38</v>
      </c>
      <c r="H21" s="127">
        <v>32</v>
      </c>
      <c r="I21" s="128" t="s">
        <v>20</v>
      </c>
      <c r="J21" s="129" t="s">
        <v>232</v>
      </c>
    </row>
    <row r="22" spans="1:10" x14ac:dyDescent="0.25">
      <c r="A22" s="538"/>
      <c r="B22" s="14" t="s">
        <v>101</v>
      </c>
      <c r="C22" s="15"/>
      <c r="D22" s="16" t="s">
        <v>60</v>
      </c>
      <c r="E22" s="15">
        <v>1</v>
      </c>
      <c r="F22" s="126">
        <v>4</v>
      </c>
      <c r="G22" s="18">
        <v>76</v>
      </c>
      <c r="H22" s="127">
        <v>63</v>
      </c>
      <c r="I22" s="128" t="s">
        <v>20</v>
      </c>
      <c r="J22" s="129" t="s">
        <v>230</v>
      </c>
    </row>
    <row r="23" spans="1:10" x14ac:dyDescent="0.25">
      <c r="A23" s="538"/>
      <c r="B23" s="14" t="s">
        <v>103</v>
      </c>
      <c r="C23" s="15"/>
      <c r="D23" s="16" t="s">
        <v>57</v>
      </c>
      <c r="E23" s="15">
        <v>1</v>
      </c>
      <c r="F23" s="126">
        <v>2</v>
      </c>
      <c r="G23" s="18">
        <v>38</v>
      </c>
      <c r="H23" s="127">
        <v>32</v>
      </c>
      <c r="I23" s="128" t="s">
        <v>20</v>
      </c>
      <c r="J23" s="129" t="s">
        <v>232</v>
      </c>
    </row>
    <row r="24" spans="1:10" ht="15" customHeight="1" x14ac:dyDescent="0.25">
      <c r="A24" s="538"/>
      <c r="B24" s="14" t="s">
        <v>719</v>
      </c>
      <c r="C24" s="15"/>
      <c r="D24" s="16" t="s">
        <v>57</v>
      </c>
      <c r="E24" s="15">
        <v>1</v>
      </c>
      <c r="F24" s="126">
        <v>4</v>
      </c>
      <c r="G24" s="18">
        <v>76</v>
      </c>
      <c r="H24" s="127">
        <v>63</v>
      </c>
      <c r="I24" s="128" t="s">
        <v>20</v>
      </c>
      <c r="J24" s="129" t="s">
        <v>232</v>
      </c>
    </row>
    <row r="25" spans="1:10" ht="15.75" thickBot="1" x14ac:dyDescent="0.3">
      <c r="A25" s="541"/>
      <c r="B25" s="20" t="s">
        <v>720</v>
      </c>
      <c r="C25" s="21"/>
      <c r="D25" s="22" t="s">
        <v>57</v>
      </c>
      <c r="E25" s="21">
        <v>1</v>
      </c>
      <c r="F25" s="136">
        <v>2</v>
      </c>
      <c r="G25" s="24">
        <v>38</v>
      </c>
      <c r="H25" s="137">
        <v>32</v>
      </c>
      <c r="I25" s="138" t="s">
        <v>20</v>
      </c>
      <c r="J25" s="139" t="s">
        <v>231</v>
      </c>
    </row>
    <row r="26" spans="1:10" ht="16.5" x14ac:dyDescent="0.25">
      <c r="A26" s="537" t="s">
        <v>99</v>
      </c>
      <c r="B26" s="8" t="s">
        <v>721</v>
      </c>
      <c r="C26" s="9"/>
      <c r="D26" s="10" t="s">
        <v>57</v>
      </c>
      <c r="E26" s="9">
        <v>1</v>
      </c>
      <c r="F26" s="122">
        <v>4</v>
      </c>
      <c r="G26" s="12">
        <v>76</v>
      </c>
      <c r="H26" s="123">
        <v>63</v>
      </c>
      <c r="I26" s="124" t="s">
        <v>20</v>
      </c>
      <c r="J26" s="125" t="s">
        <v>231</v>
      </c>
    </row>
    <row r="27" spans="1:10" ht="16.5" x14ac:dyDescent="0.25">
      <c r="A27" s="538"/>
      <c r="B27" s="14" t="s">
        <v>322</v>
      </c>
      <c r="C27" s="15"/>
      <c r="D27" s="16" t="s">
        <v>57</v>
      </c>
      <c r="E27" s="15">
        <v>1</v>
      </c>
      <c r="F27" s="126">
        <v>4</v>
      </c>
      <c r="G27" s="18">
        <v>76</v>
      </c>
      <c r="H27" s="127">
        <v>63</v>
      </c>
      <c r="I27" s="128" t="s">
        <v>20</v>
      </c>
      <c r="J27" s="129" t="s">
        <v>233</v>
      </c>
    </row>
    <row r="28" spans="1:10" ht="16.5" x14ac:dyDescent="0.25">
      <c r="A28" s="538"/>
      <c r="B28" s="14" t="s">
        <v>93</v>
      </c>
      <c r="C28" s="15"/>
      <c r="D28" s="16" t="s">
        <v>57</v>
      </c>
      <c r="E28" s="15">
        <v>1</v>
      </c>
      <c r="F28" s="126">
        <v>4</v>
      </c>
      <c r="G28" s="18">
        <v>76</v>
      </c>
      <c r="H28" s="127">
        <v>63</v>
      </c>
      <c r="I28" s="128" t="s">
        <v>20</v>
      </c>
      <c r="J28" s="129" t="s">
        <v>231</v>
      </c>
    </row>
    <row r="29" spans="1:10" ht="16.5" x14ac:dyDescent="0.25">
      <c r="A29" s="538"/>
      <c r="B29" s="14" t="s">
        <v>722</v>
      </c>
      <c r="C29" s="15"/>
      <c r="D29" s="16" t="s">
        <v>57</v>
      </c>
      <c r="E29" s="15">
        <v>1</v>
      </c>
      <c r="F29" s="126">
        <v>4</v>
      </c>
      <c r="G29" s="18">
        <v>76</v>
      </c>
      <c r="H29" s="127">
        <v>63</v>
      </c>
      <c r="I29" s="128" t="s">
        <v>20</v>
      </c>
      <c r="J29" s="129" t="s">
        <v>232</v>
      </c>
    </row>
    <row r="30" spans="1:10" ht="17.25" thickBot="1" x14ac:dyDescent="0.3">
      <c r="A30" s="541"/>
      <c r="B30" s="20" t="s">
        <v>529</v>
      </c>
      <c r="C30" s="21"/>
      <c r="D30" s="22" t="s">
        <v>57</v>
      </c>
      <c r="E30" s="21">
        <v>1</v>
      </c>
      <c r="F30" s="136">
        <v>4</v>
      </c>
      <c r="G30" s="24">
        <v>76</v>
      </c>
      <c r="H30" s="137">
        <v>63</v>
      </c>
      <c r="I30" s="138" t="s">
        <v>20</v>
      </c>
      <c r="J30" s="139" t="s">
        <v>231</v>
      </c>
    </row>
    <row r="31" spans="1:10" ht="16.5" thickBot="1" x14ac:dyDescent="0.3">
      <c r="A31" s="508" t="s">
        <v>303</v>
      </c>
      <c r="B31" s="508"/>
      <c r="C31" s="508"/>
      <c r="D31" s="508"/>
      <c r="E31" s="508"/>
      <c r="F31" s="55" t="e">
        <f>(F30*#REF!*$C$36)/60</f>
        <v>#REF!</v>
      </c>
      <c r="G31" s="53" t="s">
        <v>304</v>
      </c>
      <c r="H31" s="55" t="e">
        <f>SUM(F31+#REF!+#REF!+#REF!)</f>
        <v>#REF!</v>
      </c>
      <c r="I31" s="36"/>
    </row>
    <row r="32" spans="1:10" ht="16.5" thickBot="1" x14ac:dyDescent="0.3">
      <c r="A32" s="61" t="s">
        <v>305</v>
      </c>
      <c r="B32" s="63"/>
      <c r="C32" s="63"/>
      <c r="D32" s="63"/>
      <c r="E32" s="63"/>
      <c r="F32" s="63"/>
      <c r="G32" s="64"/>
      <c r="H32" s="56" t="e">
        <f>H31</f>
        <v>#REF!</v>
      </c>
      <c r="I32" s="57"/>
    </row>
    <row r="33" spans="1:9" ht="16.5" thickBot="1" x14ac:dyDescent="0.3">
      <c r="A33" s="61" t="s">
        <v>306</v>
      </c>
      <c r="B33" s="63"/>
      <c r="C33" s="63"/>
      <c r="D33" s="63"/>
      <c r="E33" s="63"/>
      <c r="F33" s="63"/>
      <c r="G33" s="75"/>
      <c r="H33" s="58">
        <v>360</v>
      </c>
      <c r="I33" s="36"/>
    </row>
    <row r="34" spans="1:9" ht="16.5" thickBot="1" x14ac:dyDescent="0.3">
      <c r="A34" s="62" t="s">
        <v>308</v>
      </c>
      <c r="B34" s="76"/>
      <c r="C34" s="77"/>
      <c r="D34" s="77"/>
      <c r="E34" s="77"/>
      <c r="F34" s="77"/>
      <c r="G34" s="77"/>
      <c r="H34" s="55" t="e">
        <f>SUM(H32+H33)</f>
        <v>#REF!</v>
      </c>
      <c r="I34" s="36"/>
    </row>
    <row r="35" spans="1:9" ht="15.75" x14ac:dyDescent="0.25">
      <c r="A35" s="532" t="s">
        <v>309</v>
      </c>
      <c r="B35" s="532"/>
      <c r="C35" s="78">
        <v>50</v>
      </c>
      <c r="D35" s="79" t="s">
        <v>310</v>
      </c>
      <c r="E35" s="79"/>
      <c r="F35" s="79"/>
      <c r="G35" s="79"/>
      <c r="H35" s="80"/>
      <c r="I35" s="36"/>
    </row>
  </sheetData>
  <mergeCells count="6">
    <mergeCell ref="A35:B35"/>
    <mergeCell ref="A4:A10"/>
    <mergeCell ref="A11:A18"/>
    <mergeCell ref="A19:A25"/>
    <mergeCell ref="A26:A30"/>
    <mergeCell ref="A31:E31"/>
  </mergeCells>
  <dataValidations count="2">
    <dataValidation type="list" allowBlank="1" showInputMessage="1" showErrorMessage="1" sqref="J4:J30" xr:uid="{00000000-0002-0000-2500-000000000000}">
      <formula1>Ambientes</formula1>
    </dataValidation>
    <dataValidation type="list" allowBlank="1" showInputMessage="1" showErrorMessage="1" sqref="I4:I29" xr:uid="{00000000-0002-0000-2500-000001000000}">
      <formula1>Áreas</formula1>
    </dataValidation>
  </dataValidations>
  <pageMargins left="0.511811024" right="0.511811024" top="0.78740157499999996" bottom="0.78740157499999996" header="0.31496062000000002" footer="0.3149606200000000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46">
    <tabColor theme="5"/>
  </sheetPr>
  <dimension ref="A1:K97"/>
  <sheetViews>
    <sheetView topLeftCell="A52" workbookViewId="0">
      <selection activeCell="F17" sqref="F17"/>
    </sheetView>
  </sheetViews>
  <sheetFormatPr defaultColWidth="9.140625" defaultRowHeight="15" x14ac:dyDescent="0.25"/>
  <cols>
    <col min="1" max="1" width="9.7109375" bestFit="1" customWidth="1"/>
    <col min="2" max="2" width="40.7109375" customWidth="1"/>
    <col min="6" max="6" width="11.5703125" customWidth="1"/>
    <col min="9" max="9" width="21" customWidth="1"/>
    <col min="10" max="10" width="33.85546875" bestFit="1" customWidth="1"/>
  </cols>
  <sheetData>
    <row r="1" spans="1:11" x14ac:dyDescent="0.25">
      <c r="A1" s="559" t="s">
        <v>36</v>
      </c>
      <c r="B1" s="560"/>
      <c r="C1" s="560"/>
      <c r="D1" s="560"/>
      <c r="E1" s="560"/>
      <c r="F1" s="561"/>
      <c r="G1" s="562" t="str">
        <f>_xlfn.CONCAT("Carga horária mínima do curso: ",TEXT(H89,"0,0")," h")</f>
        <v>Carga horária mínima do curso: 3642,8 h</v>
      </c>
      <c r="H1" s="563"/>
    </row>
    <row r="2" spans="1:11" x14ac:dyDescent="0.25">
      <c r="A2" s="568" t="s">
        <v>37</v>
      </c>
      <c r="B2" s="569"/>
      <c r="C2" s="569"/>
      <c r="D2" s="569"/>
      <c r="E2" s="569"/>
      <c r="F2" s="570"/>
      <c r="G2" s="564"/>
      <c r="H2" s="565"/>
    </row>
    <row r="3" spans="1:11" x14ac:dyDescent="0.25">
      <c r="A3" s="571" t="s">
        <v>38</v>
      </c>
      <c r="B3" s="572"/>
      <c r="C3" s="572"/>
      <c r="D3" s="572"/>
      <c r="E3" s="572"/>
      <c r="F3" s="573"/>
      <c r="G3" s="564"/>
      <c r="H3" s="565"/>
    </row>
    <row r="4" spans="1:11" x14ac:dyDescent="0.25">
      <c r="A4" s="571" t="s">
        <v>39</v>
      </c>
      <c r="B4" s="572"/>
      <c r="C4" s="572"/>
      <c r="D4" s="572"/>
      <c r="E4" s="572"/>
      <c r="F4" s="573"/>
      <c r="G4" s="564"/>
      <c r="H4" s="565"/>
    </row>
    <row r="5" spans="1:11" ht="15.75" thickBot="1" x14ac:dyDescent="0.3">
      <c r="A5" s="574" t="s">
        <v>40</v>
      </c>
      <c r="B5" s="575"/>
      <c r="C5" s="575"/>
      <c r="D5" s="575"/>
      <c r="E5" s="575"/>
      <c r="F5" s="576"/>
      <c r="G5" s="566"/>
      <c r="H5" s="567"/>
    </row>
    <row r="6" spans="1:11" x14ac:dyDescent="0.25">
      <c r="A6" s="2"/>
      <c r="B6" s="3"/>
      <c r="C6" s="3"/>
      <c r="D6" s="3"/>
      <c r="E6" s="3"/>
      <c r="F6" s="4"/>
      <c r="G6" s="548" t="s">
        <v>41</v>
      </c>
      <c r="H6" s="549"/>
    </row>
    <row r="7" spans="1:11" ht="15.75" thickBot="1" x14ac:dyDescent="0.3">
      <c r="A7" s="550" t="s">
        <v>42</v>
      </c>
      <c r="B7" s="551"/>
      <c r="C7" s="551"/>
      <c r="D7" s="551"/>
      <c r="E7" s="552"/>
      <c r="F7" s="553"/>
      <c r="G7" s="554" t="s">
        <v>43</v>
      </c>
      <c r="H7" s="555"/>
    </row>
    <row r="8" spans="1:11" ht="29.2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1" x14ac:dyDescent="0.25">
      <c r="A9" s="537" t="s">
        <v>51</v>
      </c>
      <c r="B9" s="8" t="s">
        <v>52</v>
      </c>
      <c r="C9" s="9" t="s">
        <v>53</v>
      </c>
      <c r="D9" s="10" t="s">
        <v>54</v>
      </c>
      <c r="E9" s="9">
        <v>2</v>
      </c>
      <c r="F9" s="11">
        <v>2</v>
      </c>
      <c r="G9" s="12">
        <f t="shared" ref="G9:G72" si="0">$E$93*F9</f>
        <v>40</v>
      </c>
      <c r="H9" s="13">
        <f t="shared" ref="H9:H72" si="1">ROUND(G9*$C$93/60,1)</f>
        <v>33.299999999999997</v>
      </c>
      <c r="I9" s="69" t="s">
        <v>1213</v>
      </c>
      <c r="J9" s="69" t="s">
        <v>231</v>
      </c>
      <c r="K9" t="s">
        <v>1213</v>
      </c>
    </row>
    <row r="10" spans="1:11" x14ac:dyDescent="0.25">
      <c r="A10" s="538"/>
      <c r="B10" s="14" t="s">
        <v>55</v>
      </c>
      <c r="C10" s="15" t="s">
        <v>56</v>
      </c>
      <c r="D10" s="16" t="s">
        <v>57</v>
      </c>
      <c r="E10" s="15">
        <v>2</v>
      </c>
      <c r="F10" s="17">
        <v>4</v>
      </c>
      <c r="G10" s="18">
        <f t="shared" si="0"/>
        <v>80</v>
      </c>
      <c r="H10" s="19">
        <f t="shared" si="1"/>
        <v>66.7</v>
      </c>
      <c r="I10" s="70" t="s">
        <v>19</v>
      </c>
      <c r="J10" s="70" t="s">
        <v>231</v>
      </c>
    </row>
    <row r="11" spans="1:11" x14ac:dyDescent="0.25">
      <c r="A11" s="538"/>
      <c r="B11" s="14" t="s">
        <v>58</v>
      </c>
      <c r="C11" s="15" t="s">
        <v>59</v>
      </c>
      <c r="D11" s="16" t="s">
        <v>60</v>
      </c>
      <c r="E11" s="15">
        <v>1</v>
      </c>
      <c r="F11" s="17">
        <v>4</v>
      </c>
      <c r="G11" s="18">
        <f t="shared" si="0"/>
        <v>80</v>
      </c>
      <c r="H11" s="19">
        <f t="shared" si="1"/>
        <v>66.7</v>
      </c>
      <c r="I11" s="70" t="s">
        <v>20</v>
      </c>
      <c r="J11" s="70" t="s">
        <v>230</v>
      </c>
    </row>
    <row r="12" spans="1:11" x14ac:dyDescent="0.25">
      <c r="A12" s="538"/>
      <c r="B12" s="14" t="s">
        <v>68</v>
      </c>
      <c r="C12" s="15" t="s">
        <v>1028</v>
      </c>
      <c r="D12" s="16" t="s">
        <v>60</v>
      </c>
      <c r="E12" s="15">
        <v>1</v>
      </c>
      <c r="F12" s="17">
        <v>6</v>
      </c>
      <c r="G12" s="18">
        <f t="shared" si="0"/>
        <v>120</v>
      </c>
      <c r="H12" s="19">
        <f t="shared" si="1"/>
        <v>100</v>
      </c>
      <c r="I12" s="70" t="s">
        <v>19</v>
      </c>
      <c r="J12" s="70" t="s">
        <v>230</v>
      </c>
    </row>
    <row r="13" spans="1:11" x14ac:dyDescent="0.25">
      <c r="A13" s="538"/>
      <c r="B13" s="14" t="s">
        <v>61</v>
      </c>
      <c r="C13" s="15" t="s">
        <v>62</v>
      </c>
      <c r="D13" s="16" t="s">
        <v>54</v>
      </c>
      <c r="E13" s="15">
        <v>1</v>
      </c>
      <c r="F13" s="17">
        <v>2</v>
      </c>
      <c r="G13" s="18">
        <f t="shared" si="0"/>
        <v>40</v>
      </c>
      <c r="H13" s="19">
        <f t="shared" si="1"/>
        <v>33.299999999999997</v>
      </c>
      <c r="I13" s="70" t="s">
        <v>20</v>
      </c>
      <c r="J13" s="70" t="s">
        <v>230</v>
      </c>
    </row>
    <row r="14" spans="1:11" x14ac:dyDescent="0.25">
      <c r="A14" s="538"/>
      <c r="B14" s="14" t="s">
        <v>63</v>
      </c>
      <c r="C14" s="15" t="s">
        <v>64</v>
      </c>
      <c r="D14" s="16" t="s">
        <v>57</v>
      </c>
      <c r="E14" s="15">
        <v>2</v>
      </c>
      <c r="F14" s="17">
        <v>2</v>
      </c>
      <c r="G14" s="18">
        <f t="shared" si="0"/>
        <v>40</v>
      </c>
      <c r="H14" s="19">
        <f t="shared" si="1"/>
        <v>33.299999999999997</v>
      </c>
      <c r="I14" s="70" t="s">
        <v>20</v>
      </c>
      <c r="J14" s="70" t="s">
        <v>232</v>
      </c>
    </row>
    <row r="15" spans="1:11" ht="15.75" thickBot="1" x14ac:dyDescent="0.3">
      <c r="A15" s="541"/>
      <c r="B15" s="20" t="s">
        <v>65</v>
      </c>
      <c r="C15" s="21" t="s">
        <v>66</v>
      </c>
      <c r="D15" s="22" t="s">
        <v>60</v>
      </c>
      <c r="E15" s="21">
        <v>1</v>
      </c>
      <c r="F15" s="23">
        <v>2</v>
      </c>
      <c r="G15" s="24">
        <f t="shared" si="0"/>
        <v>40</v>
      </c>
      <c r="H15" s="25">
        <f t="shared" si="1"/>
        <v>33.299999999999997</v>
      </c>
      <c r="I15" s="71" t="s">
        <v>7</v>
      </c>
      <c r="J15" s="71" t="s">
        <v>230</v>
      </c>
    </row>
    <row r="16" spans="1:11" x14ac:dyDescent="0.25">
      <c r="A16" s="537" t="s">
        <v>67</v>
      </c>
      <c r="B16" s="8" t="s">
        <v>86</v>
      </c>
      <c r="C16" s="9" t="s">
        <v>1029</v>
      </c>
      <c r="D16" s="10" t="s">
        <v>60</v>
      </c>
      <c r="E16" s="9">
        <v>1</v>
      </c>
      <c r="F16" s="11">
        <v>4</v>
      </c>
      <c r="G16" s="12">
        <f t="shared" si="0"/>
        <v>80</v>
      </c>
      <c r="H16" s="13">
        <f t="shared" si="1"/>
        <v>66.7</v>
      </c>
      <c r="I16" s="69" t="s">
        <v>20</v>
      </c>
      <c r="J16" s="69" t="s">
        <v>230</v>
      </c>
    </row>
    <row r="17" spans="1:11" x14ac:dyDescent="0.25">
      <c r="A17" s="538"/>
      <c r="B17" s="14" t="s">
        <v>69</v>
      </c>
      <c r="C17" s="15" t="s">
        <v>70</v>
      </c>
      <c r="D17" s="16" t="s">
        <v>60</v>
      </c>
      <c r="E17" s="15">
        <v>1</v>
      </c>
      <c r="F17" s="17">
        <v>2</v>
      </c>
      <c r="G17" s="18">
        <f t="shared" si="0"/>
        <v>40</v>
      </c>
      <c r="H17" s="19">
        <f t="shared" si="1"/>
        <v>33.299999999999997</v>
      </c>
      <c r="I17" s="70" t="s">
        <v>20</v>
      </c>
      <c r="J17" s="70" t="s">
        <v>230</v>
      </c>
    </row>
    <row r="18" spans="1:11" x14ac:dyDescent="0.25">
      <c r="A18" s="538"/>
      <c r="B18" s="14" t="s">
        <v>71</v>
      </c>
      <c r="C18" s="15" t="s">
        <v>72</v>
      </c>
      <c r="D18" s="16" t="s">
        <v>57</v>
      </c>
      <c r="E18" s="15">
        <v>2</v>
      </c>
      <c r="F18" s="17">
        <v>4</v>
      </c>
      <c r="G18" s="18">
        <f t="shared" si="0"/>
        <v>80</v>
      </c>
      <c r="H18" s="19">
        <f t="shared" si="1"/>
        <v>66.7</v>
      </c>
      <c r="I18" s="70" t="s">
        <v>20</v>
      </c>
      <c r="J18" s="70" t="s">
        <v>232</v>
      </c>
    </row>
    <row r="19" spans="1:11" x14ac:dyDescent="0.25">
      <c r="A19" s="538"/>
      <c r="B19" s="14" t="s">
        <v>73</v>
      </c>
      <c r="C19" s="15" t="s">
        <v>74</v>
      </c>
      <c r="D19" s="16" t="s">
        <v>60</v>
      </c>
      <c r="E19" s="15">
        <v>1</v>
      </c>
      <c r="F19" s="17">
        <v>4</v>
      </c>
      <c r="G19" s="18">
        <f t="shared" si="0"/>
        <v>80</v>
      </c>
      <c r="H19" s="19">
        <f t="shared" si="1"/>
        <v>66.7</v>
      </c>
      <c r="I19" s="70" t="s">
        <v>19</v>
      </c>
      <c r="J19" s="70" t="s">
        <v>230</v>
      </c>
    </row>
    <row r="20" spans="1:11" x14ac:dyDescent="0.25">
      <c r="A20" s="538"/>
      <c r="B20" s="14" t="s">
        <v>75</v>
      </c>
      <c r="C20" s="15" t="s">
        <v>76</v>
      </c>
      <c r="D20" s="16" t="s">
        <v>57</v>
      </c>
      <c r="E20" s="15">
        <v>2</v>
      </c>
      <c r="F20" s="17">
        <v>2</v>
      </c>
      <c r="G20" s="18">
        <f t="shared" si="0"/>
        <v>40</v>
      </c>
      <c r="H20" s="19">
        <f t="shared" si="1"/>
        <v>33.299999999999997</v>
      </c>
      <c r="I20" s="70" t="s">
        <v>20</v>
      </c>
      <c r="J20" s="70" t="s">
        <v>232</v>
      </c>
    </row>
    <row r="21" spans="1:11" x14ac:dyDescent="0.25">
      <c r="A21" s="538"/>
      <c r="B21" s="14" t="s">
        <v>77</v>
      </c>
      <c r="C21" s="15" t="s">
        <v>78</v>
      </c>
      <c r="D21" s="16" t="s">
        <v>60</v>
      </c>
      <c r="E21" s="15">
        <v>1</v>
      </c>
      <c r="F21" s="17">
        <v>0</v>
      </c>
      <c r="G21" s="18">
        <f t="shared" si="0"/>
        <v>0</v>
      </c>
      <c r="H21" s="19">
        <f t="shared" si="1"/>
        <v>0</v>
      </c>
      <c r="I21" s="70" t="s">
        <v>8</v>
      </c>
      <c r="J21" s="70" t="s">
        <v>230</v>
      </c>
    </row>
    <row r="22" spans="1:11" x14ac:dyDescent="0.25">
      <c r="A22" s="538"/>
      <c r="B22" s="14" t="s">
        <v>79</v>
      </c>
      <c r="C22" s="15" t="s">
        <v>80</v>
      </c>
      <c r="D22" s="16" t="s">
        <v>57</v>
      </c>
      <c r="E22" s="15">
        <v>2</v>
      </c>
      <c r="F22" s="17">
        <v>4</v>
      </c>
      <c r="G22" s="18">
        <f t="shared" si="0"/>
        <v>80</v>
      </c>
      <c r="H22" s="19">
        <f t="shared" si="1"/>
        <v>66.7</v>
      </c>
      <c r="I22" s="70" t="s">
        <v>1213</v>
      </c>
      <c r="J22" s="70" t="s">
        <v>314</v>
      </c>
      <c r="K22" t="s">
        <v>1189</v>
      </c>
    </row>
    <row r="23" spans="1:11" x14ac:dyDescent="0.25">
      <c r="A23" s="538"/>
      <c r="B23" s="14" t="s">
        <v>81</v>
      </c>
      <c r="C23" s="15" t="s">
        <v>82</v>
      </c>
      <c r="D23" s="16" t="s">
        <v>54</v>
      </c>
      <c r="E23" s="15">
        <v>1</v>
      </c>
      <c r="F23" s="17">
        <v>2</v>
      </c>
      <c r="G23" s="18">
        <f t="shared" si="0"/>
        <v>40</v>
      </c>
      <c r="H23" s="19">
        <f t="shared" si="1"/>
        <v>33.299999999999997</v>
      </c>
      <c r="I23" s="70" t="s">
        <v>7</v>
      </c>
      <c r="J23" s="70" t="s">
        <v>230</v>
      </c>
    </row>
    <row r="24" spans="1:11" ht="15.75" thickBot="1" x14ac:dyDescent="0.3">
      <c r="A24" s="541"/>
      <c r="B24" s="20" t="s">
        <v>83</v>
      </c>
      <c r="C24" s="21" t="s">
        <v>84</v>
      </c>
      <c r="D24" s="22" t="s">
        <v>60</v>
      </c>
      <c r="E24" s="21">
        <v>1</v>
      </c>
      <c r="F24" s="23">
        <v>1</v>
      </c>
      <c r="G24" s="24">
        <f t="shared" si="0"/>
        <v>20</v>
      </c>
      <c r="H24" s="25">
        <f t="shared" si="1"/>
        <v>16.7</v>
      </c>
      <c r="I24" s="71" t="s">
        <v>19</v>
      </c>
      <c r="J24" s="71" t="s">
        <v>316</v>
      </c>
    </row>
    <row r="25" spans="1:11" x14ac:dyDescent="0.25">
      <c r="A25" s="537" t="s">
        <v>85</v>
      </c>
      <c r="B25" s="8" t="s">
        <v>100</v>
      </c>
      <c r="C25" s="9" t="s">
        <v>1030</v>
      </c>
      <c r="D25" s="10" t="s">
        <v>60</v>
      </c>
      <c r="E25" s="9">
        <v>1</v>
      </c>
      <c r="F25" s="11">
        <v>6</v>
      </c>
      <c r="G25" s="12">
        <f t="shared" si="0"/>
        <v>120</v>
      </c>
      <c r="H25" s="13">
        <f t="shared" si="1"/>
        <v>100</v>
      </c>
      <c r="I25" s="69" t="s">
        <v>20</v>
      </c>
      <c r="J25" s="69" t="s">
        <v>230</v>
      </c>
    </row>
    <row r="26" spans="1:11" x14ac:dyDescent="0.25">
      <c r="A26" s="538"/>
      <c r="B26" s="14" t="s">
        <v>87</v>
      </c>
      <c r="C26" s="15" t="s">
        <v>88</v>
      </c>
      <c r="D26" s="16" t="s">
        <v>60</v>
      </c>
      <c r="E26" s="15">
        <v>1</v>
      </c>
      <c r="F26" s="17">
        <v>4</v>
      </c>
      <c r="G26" s="18">
        <f t="shared" si="0"/>
        <v>80</v>
      </c>
      <c r="H26" s="19">
        <f t="shared" si="1"/>
        <v>66.7</v>
      </c>
      <c r="I26" s="70" t="s">
        <v>20</v>
      </c>
      <c r="J26" s="70" t="s">
        <v>230</v>
      </c>
    </row>
    <row r="27" spans="1:11" x14ac:dyDescent="0.25">
      <c r="A27" s="538"/>
      <c r="B27" s="14" t="s">
        <v>89</v>
      </c>
      <c r="C27" s="15" t="s">
        <v>90</v>
      </c>
      <c r="D27" s="16" t="s">
        <v>57</v>
      </c>
      <c r="E27" s="15">
        <v>2</v>
      </c>
      <c r="F27" s="17">
        <v>2</v>
      </c>
      <c r="G27" s="18">
        <f t="shared" si="0"/>
        <v>40</v>
      </c>
      <c r="H27" s="19">
        <f t="shared" si="1"/>
        <v>33.299999999999997</v>
      </c>
      <c r="I27" s="70" t="s">
        <v>20</v>
      </c>
      <c r="J27" s="70" t="s">
        <v>232</v>
      </c>
    </row>
    <row r="28" spans="1:11" x14ac:dyDescent="0.25">
      <c r="A28" s="538"/>
      <c r="B28" s="14" t="s">
        <v>91</v>
      </c>
      <c r="C28" s="15" t="s">
        <v>92</v>
      </c>
      <c r="D28" s="16" t="s">
        <v>60</v>
      </c>
      <c r="E28" s="15">
        <v>1</v>
      </c>
      <c r="F28" s="17">
        <v>4</v>
      </c>
      <c r="G28" s="18">
        <f t="shared" si="0"/>
        <v>80</v>
      </c>
      <c r="H28" s="19">
        <f t="shared" si="1"/>
        <v>66.7</v>
      </c>
      <c r="I28" s="70" t="s">
        <v>19</v>
      </c>
      <c r="J28" s="70" t="s">
        <v>230</v>
      </c>
    </row>
    <row r="29" spans="1:11" x14ac:dyDescent="0.25">
      <c r="A29" s="538"/>
      <c r="B29" s="14" t="s">
        <v>93</v>
      </c>
      <c r="C29" s="15" t="s">
        <v>94</v>
      </c>
      <c r="D29" s="15" t="s">
        <v>54</v>
      </c>
      <c r="E29" s="15">
        <v>2</v>
      </c>
      <c r="F29" s="17">
        <v>4</v>
      </c>
      <c r="G29" s="18">
        <f t="shared" si="0"/>
        <v>80</v>
      </c>
      <c r="H29" s="19">
        <f t="shared" si="1"/>
        <v>66.7</v>
      </c>
      <c r="I29" s="70" t="s">
        <v>20</v>
      </c>
      <c r="J29" s="70" t="s">
        <v>232</v>
      </c>
    </row>
    <row r="30" spans="1:11" x14ac:dyDescent="0.25">
      <c r="A30" s="538"/>
      <c r="B30" s="14" t="s">
        <v>95</v>
      </c>
      <c r="C30" s="15" t="s">
        <v>96</v>
      </c>
      <c r="D30" s="16" t="s">
        <v>60</v>
      </c>
      <c r="E30" s="15">
        <v>1</v>
      </c>
      <c r="F30" s="17">
        <v>2</v>
      </c>
      <c r="G30" s="18">
        <f t="shared" si="0"/>
        <v>40</v>
      </c>
      <c r="H30" s="19">
        <f t="shared" si="1"/>
        <v>33.299999999999997</v>
      </c>
      <c r="I30" s="70" t="s">
        <v>7</v>
      </c>
      <c r="J30" s="70" t="s">
        <v>230</v>
      </c>
    </row>
    <row r="31" spans="1:11" ht="15.75" thickBot="1" x14ac:dyDescent="0.3">
      <c r="A31" s="541"/>
      <c r="B31" s="20" t="s">
        <v>97</v>
      </c>
      <c r="C31" s="21" t="s">
        <v>98</v>
      </c>
      <c r="D31" s="22" t="s">
        <v>57</v>
      </c>
      <c r="E31" s="21">
        <v>2</v>
      </c>
      <c r="F31" s="23">
        <v>4</v>
      </c>
      <c r="G31" s="24">
        <f t="shared" si="0"/>
        <v>80</v>
      </c>
      <c r="H31" s="25">
        <f t="shared" si="1"/>
        <v>66.7</v>
      </c>
      <c r="I31" s="71" t="s">
        <v>19</v>
      </c>
      <c r="J31" s="71" t="s">
        <v>231</v>
      </c>
      <c r="K31" t="s">
        <v>1189</v>
      </c>
    </row>
    <row r="32" spans="1:11" x14ac:dyDescent="0.25">
      <c r="A32" s="556" t="s">
        <v>99</v>
      </c>
      <c r="B32" s="14" t="s">
        <v>101</v>
      </c>
      <c r="C32" s="15" t="s">
        <v>102</v>
      </c>
      <c r="D32" s="16" t="s">
        <v>60</v>
      </c>
      <c r="E32" s="15">
        <v>1</v>
      </c>
      <c r="F32" s="17">
        <v>2</v>
      </c>
      <c r="G32" s="18">
        <f t="shared" si="0"/>
        <v>40</v>
      </c>
      <c r="H32" s="19">
        <f t="shared" si="1"/>
        <v>33.299999999999997</v>
      </c>
      <c r="I32" s="70" t="s">
        <v>20</v>
      </c>
      <c r="J32" s="70" t="s">
        <v>230</v>
      </c>
    </row>
    <row r="33" spans="1:10" x14ac:dyDescent="0.25">
      <c r="A33" s="557"/>
      <c r="B33" s="14" t="s">
        <v>103</v>
      </c>
      <c r="C33" s="15" t="s">
        <v>104</v>
      </c>
      <c r="D33" s="16" t="s">
        <v>57</v>
      </c>
      <c r="E33" s="15">
        <v>2</v>
      </c>
      <c r="F33" s="17">
        <v>2</v>
      </c>
      <c r="G33" s="18">
        <f t="shared" si="0"/>
        <v>40</v>
      </c>
      <c r="H33" s="19">
        <f t="shared" si="1"/>
        <v>33.299999999999997</v>
      </c>
      <c r="I33" s="70" t="s">
        <v>20</v>
      </c>
      <c r="J33" s="70" t="s">
        <v>232</v>
      </c>
    </row>
    <row r="34" spans="1:10" x14ac:dyDescent="0.25">
      <c r="A34" s="557"/>
      <c r="B34" s="14" t="s">
        <v>105</v>
      </c>
      <c r="C34" s="15" t="s">
        <v>106</v>
      </c>
      <c r="D34" s="16" t="s">
        <v>60</v>
      </c>
      <c r="E34" s="15">
        <v>1</v>
      </c>
      <c r="F34" s="17">
        <v>2</v>
      </c>
      <c r="G34" s="18">
        <f t="shared" si="0"/>
        <v>40</v>
      </c>
      <c r="H34" s="19">
        <f t="shared" si="1"/>
        <v>33.299999999999997</v>
      </c>
      <c r="I34" s="70" t="s">
        <v>19</v>
      </c>
      <c r="J34" s="70" t="s">
        <v>230</v>
      </c>
    </row>
    <row r="35" spans="1:10" x14ac:dyDescent="0.25">
      <c r="A35" s="557"/>
      <c r="B35" s="14" t="s">
        <v>107</v>
      </c>
      <c r="C35" s="15" t="s">
        <v>108</v>
      </c>
      <c r="D35" s="16" t="s">
        <v>60</v>
      </c>
      <c r="E35" s="15">
        <v>1</v>
      </c>
      <c r="F35" s="17">
        <v>4</v>
      </c>
      <c r="G35" s="18">
        <f t="shared" si="0"/>
        <v>80</v>
      </c>
      <c r="H35" s="19">
        <f t="shared" si="1"/>
        <v>66.7</v>
      </c>
      <c r="I35" s="70" t="s">
        <v>20</v>
      </c>
      <c r="J35" s="70" t="s">
        <v>230</v>
      </c>
    </row>
    <row r="36" spans="1:10" x14ac:dyDescent="0.25">
      <c r="A36" s="557"/>
      <c r="B36" s="14" t="s">
        <v>109</v>
      </c>
      <c r="C36" s="15" t="s">
        <v>110</v>
      </c>
      <c r="D36" s="16" t="s">
        <v>57</v>
      </c>
      <c r="E36" s="15">
        <v>2</v>
      </c>
      <c r="F36" s="17">
        <v>4</v>
      </c>
      <c r="G36" s="18">
        <f t="shared" si="0"/>
        <v>80</v>
      </c>
      <c r="H36" s="19">
        <f t="shared" si="1"/>
        <v>66.7</v>
      </c>
      <c r="I36" s="70" t="s">
        <v>20</v>
      </c>
      <c r="J36" s="70" t="s">
        <v>231</v>
      </c>
    </row>
    <row r="37" spans="1:10" x14ac:dyDescent="0.25">
      <c r="A37" s="557"/>
      <c r="B37" s="14" t="s">
        <v>111</v>
      </c>
      <c r="C37" s="15" t="s">
        <v>112</v>
      </c>
      <c r="D37" s="16" t="s">
        <v>54</v>
      </c>
      <c r="E37" s="15">
        <v>1</v>
      </c>
      <c r="F37" s="17">
        <v>2</v>
      </c>
      <c r="G37" s="18">
        <f t="shared" si="0"/>
        <v>40</v>
      </c>
      <c r="H37" s="19">
        <f t="shared" si="1"/>
        <v>33.299999999999997</v>
      </c>
      <c r="I37" s="70" t="s">
        <v>19</v>
      </c>
      <c r="J37" s="70" t="s">
        <v>230</v>
      </c>
    </row>
    <row r="38" spans="1:10" ht="15.75" thickBot="1" x14ac:dyDescent="0.3">
      <c r="A38" s="558"/>
      <c r="B38" s="20" t="s">
        <v>113</v>
      </c>
      <c r="C38" s="21" t="s">
        <v>114</v>
      </c>
      <c r="D38" s="22" t="s">
        <v>60</v>
      </c>
      <c r="E38" s="21">
        <v>1</v>
      </c>
      <c r="F38" s="23">
        <v>4</v>
      </c>
      <c r="G38" s="24">
        <f t="shared" si="0"/>
        <v>80</v>
      </c>
      <c r="H38" s="25">
        <f t="shared" si="1"/>
        <v>66.7</v>
      </c>
      <c r="I38" s="71" t="s">
        <v>19</v>
      </c>
      <c r="J38" s="71" t="s">
        <v>230</v>
      </c>
    </row>
    <row r="39" spans="1:10" x14ac:dyDescent="0.25">
      <c r="A39" s="537" t="s">
        <v>115</v>
      </c>
      <c r="B39" s="8" t="s">
        <v>116</v>
      </c>
      <c r="C39" s="9" t="s">
        <v>117</v>
      </c>
      <c r="D39" s="10" t="s">
        <v>54</v>
      </c>
      <c r="E39" s="9">
        <v>2</v>
      </c>
      <c r="F39" s="11">
        <v>2</v>
      </c>
      <c r="G39" s="12">
        <f t="shared" si="0"/>
        <v>40</v>
      </c>
      <c r="H39" s="13">
        <f t="shared" si="1"/>
        <v>33.299999999999997</v>
      </c>
      <c r="I39" s="69" t="s">
        <v>20</v>
      </c>
      <c r="J39" s="69" t="s">
        <v>232</v>
      </c>
    </row>
    <row r="40" spans="1:10" ht="28.5" x14ac:dyDescent="0.25">
      <c r="A40" s="538"/>
      <c r="B40" s="14" t="s">
        <v>118</v>
      </c>
      <c r="C40" s="15" t="s">
        <v>119</v>
      </c>
      <c r="D40" s="16" t="s">
        <v>54</v>
      </c>
      <c r="E40" s="15">
        <v>2</v>
      </c>
      <c r="F40" s="17">
        <v>4</v>
      </c>
      <c r="G40" s="18">
        <f t="shared" si="0"/>
        <v>80</v>
      </c>
      <c r="H40" s="19">
        <f t="shared" si="1"/>
        <v>66.7</v>
      </c>
      <c r="I40" s="70" t="s">
        <v>20</v>
      </c>
      <c r="J40" s="70" t="s">
        <v>232</v>
      </c>
    </row>
    <row r="41" spans="1:10" x14ac:dyDescent="0.25">
      <c r="A41" s="538"/>
      <c r="B41" s="14" t="s">
        <v>120</v>
      </c>
      <c r="C41" s="15" t="s">
        <v>121</v>
      </c>
      <c r="D41" s="16" t="s">
        <v>60</v>
      </c>
      <c r="E41" s="15">
        <v>1</v>
      </c>
      <c r="F41" s="17">
        <v>2</v>
      </c>
      <c r="G41" s="18">
        <f t="shared" si="0"/>
        <v>40</v>
      </c>
      <c r="H41" s="19">
        <f t="shared" si="1"/>
        <v>33.299999999999997</v>
      </c>
      <c r="I41" s="70" t="s">
        <v>11</v>
      </c>
      <c r="J41" s="70" t="s">
        <v>230</v>
      </c>
    </row>
    <row r="42" spans="1:10" x14ac:dyDescent="0.25">
      <c r="A42" s="538"/>
      <c r="B42" s="14" t="s">
        <v>122</v>
      </c>
      <c r="C42" s="15" t="s">
        <v>123</v>
      </c>
      <c r="D42" s="16" t="s">
        <v>60</v>
      </c>
      <c r="E42" s="15">
        <v>1</v>
      </c>
      <c r="F42" s="17">
        <v>4</v>
      </c>
      <c r="G42" s="18">
        <f t="shared" si="0"/>
        <v>80</v>
      </c>
      <c r="H42" s="19">
        <f t="shared" si="1"/>
        <v>66.7</v>
      </c>
      <c r="I42" s="70" t="s">
        <v>19</v>
      </c>
      <c r="J42" s="70" t="s">
        <v>230</v>
      </c>
    </row>
    <row r="43" spans="1:10" x14ac:dyDescent="0.25">
      <c r="A43" s="538"/>
      <c r="B43" s="14" t="s">
        <v>124</v>
      </c>
      <c r="C43" s="15" t="s">
        <v>125</v>
      </c>
      <c r="D43" s="16" t="s">
        <v>60</v>
      </c>
      <c r="E43" s="15">
        <v>1</v>
      </c>
      <c r="F43" s="17">
        <v>2</v>
      </c>
      <c r="G43" s="18">
        <f t="shared" si="0"/>
        <v>40</v>
      </c>
      <c r="H43" s="19">
        <f t="shared" si="1"/>
        <v>33.299999999999997</v>
      </c>
      <c r="I43" s="70" t="s">
        <v>315</v>
      </c>
      <c r="J43" s="70" t="s">
        <v>230</v>
      </c>
    </row>
    <row r="44" spans="1:10" x14ac:dyDescent="0.25">
      <c r="A44" s="538"/>
      <c r="B44" s="14" t="s">
        <v>126</v>
      </c>
      <c r="C44" s="15" t="s">
        <v>127</v>
      </c>
      <c r="D44" s="16" t="s">
        <v>54</v>
      </c>
      <c r="E44" s="15">
        <v>1</v>
      </c>
      <c r="F44" s="17">
        <v>2</v>
      </c>
      <c r="G44" s="18">
        <f t="shared" si="0"/>
        <v>40</v>
      </c>
      <c r="H44" s="19">
        <f t="shared" si="1"/>
        <v>33.299999999999997</v>
      </c>
      <c r="I44" s="70" t="s">
        <v>19</v>
      </c>
      <c r="J44" s="70" t="s">
        <v>233</v>
      </c>
    </row>
    <row r="45" spans="1:10" x14ac:dyDescent="0.25">
      <c r="A45" s="538"/>
      <c r="B45" s="14" t="s">
        <v>128</v>
      </c>
      <c r="C45" s="15" t="s">
        <v>129</v>
      </c>
      <c r="D45" s="16" t="s">
        <v>60</v>
      </c>
      <c r="E45" s="15">
        <v>1</v>
      </c>
      <c r="F45" s="17">
        <v>2</v>
      </c>
      <c r="G45" s="18">
        <f t="shared" si="0"/>
        <v>40</v>
      </c>
      <c r="H45" s="19">
        <f t="shared" si="1"/>
        <v>33.299999999999997</v>
      </c>
      <c r="I45" s="70" t="s">
        <v>19</v>
      </c>
      <c r="J45" s="70" t="s">
        <v>230</v>
      </c>
    </row>
    <row r="46" spans="1:10" ht="15.75" thickBot="1" x14ac:dyDescent="0.3">
      <c r="A46" s="541"/>
      <c r="B46" s="20" t="s">
        <v>130</v>
      </c>
      <c r="C46" s="21" t="s">
        <v>131</v>
      </c>
      <c r="D46" s="22" t="s">
        <v>60</v>
      </c>
      <c r="E46" s="21">
        <v>1</v>
      </c>
      <c r="F46" s="23">
        <v>4</v>
      </c>
      <c r="G46" s="24">
        <f t="shared" si="0"/>
        <v>80</v>
      </c>
      <c r="H46" s="25">
        <f t="shared" si="1"/>
        <v>66.7</v>
      </c>
      <c r="I46" s="71" t="s">
        <v>19</v>
      </c>
      <c r="J46" s="71" t="s">
        <v>230</v>
      </c>
    </row>
    <row r="47" spans="1:10" ht="28.5" x14ac:dyDescent="0.25">
      <c r="A47" s="537" t="s">
        <v>132</v>
      </c>
      <c r="B47" s="8" t="s">
        <v>133</v>
      </c>
      <c r="C47" s="9" t="s">
        <v>134</v>
      </c>
      <c r="D47" s="10" t="s">
        <v>60</v>
      </c>
      <c r="E47" s="9">
        <v>1</v>
      </c>
      <c r="F47" s="11">
        <v>2</v>
      </c>
      <c r="G47" s="12">
        <f t="shared" si="0"/>
        <v>40</v>
      </c>
      <c r="H47" s="13">
        <f t="shared" si="1"/>
        <v>33.299999999999997</v>
      </c>
      <c r="I47" s="72" t="s">
        <v>19</v>
      </c>
      <c r="J47" s="72" t="s">
        <v>230</v>
      </c>
    </row>
    <row r="48" spans="1:10" x14ac:dyDescent="0.25">
      <c r="A48" s="538"/>
      <c r="B48" s="14" t="s">
        <v>135</v>
      </c>
      <c r="C48" s="15" t="s">
        <v>136</v>
      </c>
      <c r="D48" s="15" t="s">
        <v>57</v>
      </c>
      <c r="E48" s="15">
        <v>2</v>
      </c>
      <c r="F48" s="17">
        <v>2</v>
      </c>
      <c r="G48" s="18">
        <f t="shared" si="0"/>
        <v>40</v>
      </c>
      <c r="H48" s="19">
        <f t="shared" si="1"/>
        <v>33.299999999999997</v>
      </c>
      <c r="I48" s="70" t="s">
        <v>20</v>
      </c>
      <c r="J48" s="70" t="s">
        <v>232</v>
      </c>
    </row>
    <row r="49" spans="1:10" x14ac:dyDescent="0.25">
      <c r="A49" s="538"/>
      <c r="B49" s="14" t="s">
        <v>137</v>
      </c>
      <c r="C49" s="15" t="s">
        <v>138</v>
      </c>
      <c r="D49" s="15" t="s">
        <v>57</v>
      </c>
      <c r="E49" s="15">
        <v>2</v>
      </c>
      <c r="F49" s="17">
        <v>4</v>
      </c>
      <c r="G49" s="18">
        <f t="shared" si="0"/>
        <v>80</v>
      </c>
      <c r="H49" s="19">
        <f t="shared" si="1"/>
        <v>66.7</v>
      </c>
      <c r="I49" s="70" t="s">
        <v>20</v>
      </c>
      <c r="J49" s="70" t="s">
        <v>231</v>
      </c>
    </row>
    <row r="50" spans="1:10" x14ac:dyDescent="0.25">
      <c r="A50" s="538"/>
      <c r="B50" s="14" t="s">
        <v>139</v>
      </c>
      <c r="C50" s="15" t="s">
        <v>140</v>
      </c>
      <c r="D50" s="16" t="s">
        <v>60</v>
      </c>
      <c r="E50" s="15">
        <v>1</v>
      </c>
      <c r="F50" s="17">
        <v>0</v>
      </c>
      <c r="G50" s="18">
        <f t="shared" si="0"/>
        <v>0</v>
      </c>
      <c r="H50" s="19">
        <f t="shared" si="1"/>
        <v>0</v>
      </c>
      <c r="I50" s="70" t="s">
        <v>9</v>
      </c>
      <c r="J50" s="70" t="s">
        <v>230</v>
      </c>
    </row>
    <row r="51" spans="1:10" x14ac:dyDescent="0.25">
      <c r="A51" s="538"/>
      <c r="B51" s="14" t="s">
        <v>141</v>
      </c>
      <c r="C51" s="15" t="s">
        <v>142</v>
      </c>
      <c r="D51" s="16" t="s">
        <v>60</v>
      </c>
      <c r="E51" s="15">
        <v>1</v>
      </c>
      <c r="F51" s="17">
        <v>2</v>
      </c>
      <c r="G51" s="18">
        <f t="shared" si="0"/>
        <v>40</v>
      </c>
      <c r="H51" s="19">
        <f t="shared" si="1"/>
        <v>33.299999999999997</v>
      </c>
      <c r="I51" s="70" t="s">
        <v>19</v>
      </c>
      <c r="J51" s="70" t="s">
        <v>230</v>
      </c>
    </row>
    <row r="52" spans="1:10" x14ac:dyDescent="0.25">
      <c r="A52" s="538"/>
      <c r="B52" s="14" t="s">
        <v>143</v>
      </c>
      <c r="C52" s="15" t="s">
        <v>144</v>
      </c>
      <c r="D52" s="16" t="s">
        <v>60</v>
      </c>
      <c r="E52" s="15">
        <v>1</v>
      </c>
      <c r="F52" s="17">
        <v>2</v>
      </c>
      <c r="G52" s="18">
        <f t="shared" si="0"/>
        <v>40</v>
      </c>
      <c r="H52" s="19">
        <f t="shared" si="1"/>
        <v>33.299999999999997</v>
      </c>
      <c r="I52" s="70" t="s">
        <v>315</v>
      </c>
      <c r="J52" s="70" t="s">
        <v>230</v>
      </c>
    </row>
    <row r="53" spans="1:10" x14ac:dyDescent="0.25">
      <c r="A53" s="538"/>
      <c r="B53" s="14" t="s">
        <v>145</v>
      </c>
      <c r="C53" s="15" t="s">
        <v>146</v>
      </c>
      <c r="D53" s="16" t="s">
        <v>60</v>
      </c>
      <c r="E53" s="15">
        <v>1</v>
      </c>
      <c r="F53" s="17">
        <v>2</v>
      </c>
      <c r="G53" s="18">
        <f t="shared" si="0"/>
        <v>40</v>
      </c>
      <c r="H53" s="19">
        <f t="shared" si="1"/>
        <v>33.299999999999997</v>
      </c>
      <c r="I53" s="70" t="s">
        <v>21</v>
      </c>
      <c r="J53" s="70" t="s">
        <v>230</v>
      </c>
    </row>
    <row r="54" spans="1:10" x14ac:dyDescent="0.25">
      <c r="A54" s="538"/>
      <c r="B54" s="14" t="s">
        <v>147</v>
      </c>
      <c r="C54" s="15" t="s">
        <v>148</v>
      </c>
      <c r="D54" s="16" t="s">
        <v>60</v>
      </c>
      <c r="E54" s="15">
        <v>1</v>
      </c>
      <c r="F54" s="17">
        <v>4</v>
      </c>
      <c r="G54" s="18">
        <f t="shared" si="0"/>
        <v>80</v>
      </c>
      <c r="H54" s="19">
        <f t="shared" si="1"/>
        <v>66.7</v>
      </c>
      <c r="I54" s="70" t="s">
        <v>20</v>
      </c>
      <c r="J54" s="70" t="s">
        <v>230</v>
      </c>
    </row>
    <row r="55" spans="1:10" ht="15.75" thickBot="1" x14ac:dyDescent="0.3">
      <c r="A55" s="541"/>
      <c r="B55" s="20" t="s">
        <v>149</v>
      </c>
      <c r="C55" s="21" t="s">
        <v>150</v>
      </c>
      <c r="D55" s="22" t="s">
        <v>57</v>
      </c>
      <c r="E55" s="21">
        <v>2</v>
      </c>
      <c r="F55" s="23">
        <v>2</v>
      </c>
      <c r="G55" s="24">
        <f t="shared" si="0"/>
        <v>40</v>
      </c>
      <c r="H55" s="25">
        <f t="shared" si="1"/>
        <v>33.299999999999997</v>
      </c>
      <c r="I55" s="71" t="s">
        <v>20</v>
      </c>
      <c r="J55" s="71" t="s">
        <v>232</v>
      </c>
    </row>
    <row r="56" spans="1:10" x14ac:dyDescent="0.25">
      <c r="A56" s="537" t="s">
        <v>151</v>
      </c>
      <c r="B56" s="8" t="s">
        <v>152</v>
      </c>
      <c r="C56" s="9" t="s">
        <v>153</v>
      </c>
      <c r="D56" s="10" t="s">
        <v>57</v>
      </c>
      <c r="E56" s="9">
        <v>2</v>
      </c>
      <c r="F56" s="11">
        <v>2</v>
      </c>
      <c r="G56" s="12">
        <f t="shared" si="0"/>
        <v>40</v>
      </c>
      <c r="H56" s="13">
        <f t="shared" si="1"/>
        <v>33.299999999999997</v>
      </c>
      <c r="I56" s="69" t="s">
        <v>20</v>
      </c>
      <c r="J56" s="69" t="s">
        <v>232</v>
      </c>
    </row>
    <row r="57" spans="1:10" x14ac:dyDescent="0.25">
      <c r="A57" s="538"/>
      <c r="B57" s="14" t="s">
        <v>154</v>
      </c>
      <c r="C57" s="15" t="s">
        <v>155</v>
      </c>
      <c r="D57" s="16" t="s">
        <v>60</v>
      </c>
      <c r="E57" s="15">
        <v>1</v>
      </c>
      <c r="F57" s="17">
        <v>4</v>
      </c>
      <c r="G57" s="18">
        <f t="shared" si="0"/>
        <v>80</v>
      </c>
      <c r="H57" s="19">
        <f t="shared" si="1"/>
        <v>66.7</v>
      </c>
      <c r="I57" s="70" t="s">
        <v>20</v>
      </c>
      <c r="J57" s="70" t="s">
        <v>230</v>
      </c>
    </row>
    <row r="58" spans="1:10" x14ac:dyDescent="0.25">
      <c r="A58" s="538"/>
      <c r="B58" s="14" t="s">
        <v>156</v>
      </c>
      <c r="C58" s="15" t="s">
        <v>157</v>
      </c>
      <c r="D58" s="16" t="s">
        <v>60</v>
      </c>
      <c r="E58" s="15">
        <v>1</v>
      </c>
      <c r="F58" s="17">
        <v>2</v>
      </c>
      <c r="G58" s="18">
        <f t="shared" si="0"/>
        <v>40</v>
      </c>
      <c r="H58" s="19">
        <f t="shared" si="1"/>
        <v>33.299999999999997</v>
      </c>
      <c r="I58" s="70" t="s">
        <v>20</v>
      </c>
      <c r="J58" s="70" t="s">
        <v>230</v>
      </c>
    </row>
    <row r="59" spans="1:10" x14ac:dyDescent="0.25">
      <c r="A59" s="538"/>
      <c r="B59" s="14" t="s">
        <v>158</v>
      </c>
      <c r="C59" s="15" t="s">
        <v>159</v>
      </c>
      <c r="D59" s="16" t="s">
        <v>60</v>
      </c>
      <c r="E59" s="15">
        <v>1</v>
      </c>
      <c r="F59" s="17">
        <v>2</v>
      </c>
      <c r="G59" s="18">
        <f t="shared" si="0"/>
        <v>40</v>
      </c>
      <c r="H59" s="19">
        <f t="shared" si="1"/>
        <v>33.299999999999997</v>
      </c>
      <c r="I59" s="70" t="s">
        <v>19</v>
      </c>
      <c r="J59" s="70" t="s">
        <v>230</v>
      </c>
    </row>
    <row r="60" spans="1:10" x14ac:dyDescent="0.25">
      <c r="A60" s="538"/>
      <c r="B60" s="14" t="s">
        <v>160</v>
      </c>
      <c r="C60" s="15" t="s">
        <v>161</v>
      </c>
      <c r="D60" s="16" t="s">
        <v>60</v>
      </c>
      <c r="E60" s="15">
        <v>1</v>
      </c>
      <c r="F60" s="17">
        <v>2</v>
      </c>
      <c r="G60" s="18">
        <f t="shared" si="0"/>
        <v>40</v>
      </c>
      <c r="H60" s="19">
        <f t="shared" si="1"/>
        <v>33.299999999999997</v>
      </c>
      <c r="I60" s="70" t="s">
        <v>21</v>
      </c>
      <c r="J60" s="70" t="s">
        <v>230</v>
      </c>
    </row>
    <row r="61" spans="1:10" x14ac:dyDescent="0.25">
      <c r="A61" s="538"/>
      <c r="B61" s="14" t="s">
        <v>162</v>
      </c>
      <c r="C61" s="15" t="s">
        <v>163</v>
      </c>
      <c r="D61" s="16" t="s">
        <v>60</v>
      </c>
      <c r="E61" s="15">
        <v>1</v>
      </c>
      <c r="F61" s="17">
        <v>2</v>
      </c>
      <c r="G61" s="18">
        <f t="shared" si="0"/>
        <v>40</v>
      </c>
      <c r="H61" s="19">
        <f t="shared" si="1"/>
        <v>33.299999999999997</v>
      </c>
      <c r="I61" s="70" t="s">
        <v>315</v>
      </c>
      <c r="J61" s="70" t="s">
        <v>230</v>
      </c>
    </row>
    <row r="62" spans="1:10" x14ac:dyDescent="0.25">
      <c r="A62" s="538"/>
      <c r="B62" s="14" t="s">
        <v>164</v>
      </c>
      <c r="C62" s="15" t="s">
        <v>165</v>
      </c>
      <c r="D62" s="16" t="s">
        <v>57</v>
      </c>
      <c r="E62" s="15">
        <v>2</v>
      </c>
      <c r="F62" s="17">
        <v>2</v>
      </c>
      <c r="G62" s="18">
        <f t="shared" si="0"/>
        <v>40</v>
      </c>
      <c r="H62" s="19">
        <f t="shared" si="1"/>
        <v>33.299999999999997</v>
      </c>
      <c r="I62" s="70" t="s">
        <v>20</v>
      </c>
      <c r="J62" s="70" t="s">
        <v>232</v>
      </c>
    </row>
    <row r="63" spans="1:10" ht="15.75" thickBot="1" x14ac:dyDescent="0.3">
      <c r="A63" s="541"/>
      <c r="B63" s="20" t="s">
        <v>166</v>
      </c>
      <c r="C63" s="21" t="s">
        <v>167</v>
      </c>
      <c r="D63" s="22" t="s">
        <v>54</v>
      </c>
      <c r="E63" s="21">
        <v>1</v>
      </c>
      <c r="F63" s="23">
        <v>4</v>
      </c>
      <c r="G63" s="24">
        <f t="shared" si="0"/>
        <v>80</v>
      </c>
      <c r="H63" s="25">
        <f t="shared" si="1"/>
        <v>66.7</v>
      </c>
      <c r="I63" s="71" t="s">
        <v>20</v>
      </c>
      <c r="J63" s="71" t="s">
        <v>233</v>
      </c>
    </row>
    <row r="64" spans="1:10" x14ac:dyDescent="0.25">
      <c r="A64" s="537" t="s">
        <v>168</v>
      </c>
      <c r="B64" s="8" t="s">
        <v>169</v>
      </c>
      <c r="C64" s="9" t="s">
        <v>170</v>
      </c>
      <c r="D64" s="10" t="s">
        <v>60</v>
      </c>
      <c r="E64" s="9">
        <v>1</v>
      </c>
      <c r="F64" s="11">
        <v>4</v>
      </c>
      <c r="G64" s="12">
        <f t="shared" si="0"/>
        <v>80</v>
      </c>
      <c r="H64" s="13">
        <f t="shared" si="1"/>
        <v>66.7</v>
      </c>
      <c r="I64" s="69" t="s">
        <v>19</v>
      </c>
      <c r="J64" s="69" t="s">
        <v>230</v>
      </c>
    </row>
    <row r="65" spans="1:10" x14ac:dyDescent="0.25">
      <c r="A65" s="538"/>
      <c r="B65" s="14" t="s">
        <v>171</v>
      </c>
      <c r="C65" s="15" t="s">
        <v>172</v>
      </c>
      <c r="D65" s="16" t="s">
        <v>54</v>
      </c>
      <c r="E65" s="15">
        <v>2</v>
      </c>
      <c r="F65" s="17">
        <v>4</v>
      </c>
      <c r="G65" s="18">
        <f t="shared" si="0"/>
        <v>80</v>
      </c>
      <c r="H65" s="19">
        <f t="shared" si="1"/>
        <v>66.7</v>
      </c>
      <c r="I65" s="70" t="s">
        <v>20</v>
      </c>
      <c r="J65" s="70" t="s">
        <v>232</v>
      </c>
    </row>
    <row r="66" spans="1:10" ht="28.5" x14ac:dyDescent="0.25">
      <c r="A66" s="538"/>
      <c r="B66" s="14" t="s">
        <v>173</v>
      </c>
      <c r="C66" s="15" t="s">
        <v>174</v>
      </c>
      <c r="D66" s="16" t="s">
        <v>60</v>
      </c>
      <c r="E66" s="15">
        <v>1</v>
      </c>
      <c r="F66" s="17">
        <v>2</v>
      </c>
      <c r="G66" s="18">
        <f t="shared" si="0"/>
        <v>40</v>
      </c>
      <c r="H66" s="19">
        <f t="shared" si="1"/>
        <v>33.299999999999997</v>
      </c>
      <c r="I66" s="70" t="s">
        <v>20</v>
      </c>
      <c r="J66" s="70" t="s">
        <v>230</v>
      </c>
    </row>
    <row r="67" spans="1:10" x14ac:dyDescent="0.25">
      <c r="A67" s="538"/>
      <c r="B67" s="14" t="s">
        <v>175</v>
      </c>
      <c r="C67" s="15" t="s">
        <v>176</v>
      </c>
      <c r="D67" s="16" t="s">
        <v>57</v>
      </c>
      <c r="E67" s="15">
        <v>2</v>
      </c>
      <c r="F67" s="17">
        <v>2</v>
      </c>
      <c r="G67" s="18">
        <f t="shared" si="0"/>
        <v>40</v>
      </c>
      <c r="H67" s="19">
        <f t="shared" si="1"/>
        <v>33.299999999999997</v>
      </c>
      <c r="I67" s="70" t="s">
        <v>20</v>
      </c>
      <c r="J67" s="70" t="s">
        <v>233</v>
      </c>
    </row>
    <row r="68" spans="1:10" ht="28.5" x14ac:dyDescent="0.25">
      <c r="A68" s="538"/>
      <c r="B68" s="14" t="s">
        <v>177</v>
      </c>
      <c r="C68" s="15" t="s">
        <v>178</v>
      </c>
      <c r="D68" s="16" t="s">
        <v>60</v>
      </c>
      <c r="E68" s="15">
        <v>1</v>
      </c>
      <c r="F68" s="17">
        <v>0</v>
      </c>
      <c r="G68" s="18">
        <f t="shared" si="0"/>
        <v>0</v>
      </c>
      <c r="H68" s="19">
        <f t="shared" si="1"/>
        <v>0</v>
      </c>
      <c r="I68" s="73" t="s">
        <v>10</v>
      </c>
      <c r="J68" s="73" t="s">
        <v>230</v>
      </c>
    </row>
    <row r="69" spans="1:10" x14ac:dyDescent="0.25">
      <c r="A69" s="538"/>
      <c r="B69" s="14" t="s">
        <v>1211</v>
      </c>
      <c r="C69" s="15" t="s">
        <v>179</v>
      </c>
      <c r="D69" s="16" t="s">
        <v>60</v>
      </c>
      <c r="E69" s="15">
        <v>1</v>
      </c>
      <c r="F69" s="17">
        <v>2</v>
      </c>
      <c r="G69" s="18">
        <f t="shared" si="0"/>
        <v>40</v>
      </c>
      <c r="H69" s="19">
        <f t="shared" si="1"/>
        <v>33.299999999999997</v>
      </c>
      <c r="I69" s="70" t="s">
        <v>19</v>
      </c>
      <c r="J69" s="70" t="s">
        <v>230</v>
      </c>
    </row>
    <row r="70" spans="1:10" x14ac:dyDescent="0.25">
      <c r="A70" s="538"/>
      <c r="B70" s="14" t="s">
        <v>180</v>
      </c>
      <c r="C70" s="15" t="s">
        <v>181</v>
      </c>
      <c r="D70" s="16" t="s">
        <v>60</v>
      </c>
      <c r="E70" s="15">
        <v>1</v>
      </c>
      <c r="F70" s="17">
        <v>0</v>
      </c>
      <c r="G70" s="18">
        <f t="shared" si="0"/>
        <v>0</v>
      </c>
      <c r="H70" s="19">
        <f t="shared" si="1"/>
        <v>0</v>
      </c>
      <c r="I70" s="70" t="s">
        <v>19</v>
      </c>
      <c r="J70" s="70" t="s">
        <v>230</v>
      </c>
    </row>
    <row r="71" spans="1:10" ht="15.75" thickBot="1" x14ac:dyDescent="0.3">
      <c r="A71" s="541"/>
      <c r="B71" s="20" t="s">
        <v>182</v>
      </c>
      <c r="C71" s="21" t="s">
        <v>183</v>
      </c>
      <c r="D71" s="22" t="s">
        <v>60</v>
      </c>
      <c r="E71" s="21">
        <v>1</v>
      </c>
      <c r="F71" s="23">
        <v>4</v>
      </c>
      <c r="G71" s="24">
        <f t="shared" si="0"/>
        <v>80</v>
      </c>
      <c r="H71" s="25">
        <f t="shared" si="1"/>
        <v>66.7</v>
      </c>
      <c r="I71" s="71" t="s">
        <v>19</v>
      </c>
      <c r="J71" s="71" t="s">
        <v>230</v>
      </c>
    </row>
    <row r="72" spans="1:10" x14ac:dyDescent="0.25">
      <c r="A72" s="537" t="s">
        <v>184</v>
      </c>
      <c r="B72" s="8" t="s">
        <v>185</v>
      </c>
      <c r="C72" s="9" t="s">
        <v>186</v>
      </c>
      <c r="D72" s="10" t="s">
        <v>60</v>
      </c>
      <c r="E72" s="9">
        <v>1</v>
      </c>
      <c r="F72" s="11">
        <v>4</v>
      </c>
      <c r="G72" s="12">
        <f t="shared" si="0"/>
        <v>80</v>
      </c>
      <c r="H72" s="13">
        <f t="shared" si="1"/>
        <v>66.7</v>
      </c>
      <c r="I72" s="69" t="s">
        <v>20</v>
      </c>
      <c r="J72" s="69" t="s">
        <v>230</v>
      </c>
    </row>
    <row r="73" spans="1:10" x14ac:dyDescent="0.25">
      <c r="A73" s="538"/>
      <c r="B73" s="14" t="s">
        <v>187</v>
      </c>
      <c r="C73" s="15" t="s">
        <v>188</v>
      </c>
      <c r="D73" s="16" t="s">
        <v>60</v>
      </c>
      <c r="E73" s="15">
        <v>1</v>
      </c>
      <c r="F73" s="17">
        <v>2</v>
      </c>
      <c r="G73" s="18">
        <f t="shared" ref="G73:G84" si="2">$E$93*F73</f>
        <v>40</v>
      </c>
      <c r="H73" s="19">
        <f t="shared" ref="H73:H84" si="3">ROUND(G73*$C$93/60,1)</f>
        <v>33.299999999999997</v>
      </c>
      <c r="I73" s="70" t="s">
        <v>19</v>
      </c>
      <c r="J73" s="70" t="s">
        <v>230</v>
      </c>
    </row>
    <row r="74" spans="1:10" x14ac:dyDescent="0.25">
      <c r="A74" s="538"/>
      <c r="B74" s="14" t="s">
        <v>1212</v>
      </c>
      <c r="C74" s="15" t="s">
        <v>189</v>
      </c>
      <c r="D74" s="16" t="s">
        <v>60</v>
      </c>
      <c r="E74" s="15">
        <v>1</v>
      </c>
      <c r="F74" s="17">
        <v>2</v>
      </c>
      <c r="G74" s="18">
        <f t="shared" si="2"/>
        <v>40</v>
      </c>
      <c r="H74" s="19">
        <f t="shared" si="3"/>
        <v>33.299999999999997</v>
      </c>
      <c r="I74" s="70" t="s">
        <v>20</v>
      </c>
      <c r="J74" s="70" t="s">
        <v>230</v>
      </c>
    </row>
    <row r="75" spans="1:10" x14ac:dyDescent="0.25">
      <c r="A75" s="538"/>
      <c r="B75" s="14" t="s">
        <v>190</v>
      </c>
      <c r="C75" s="15" t="s">
        <v>191</v>
      </c>
      <c r="D75" s="16" t="s">
        <v>57</v>
      </c>
      <c r="E75" s="15">
        <v>2</v>
      </c>
      <c r="F75" s="17">
        <v>2</v>
      </c>
      <c r="G75" s="18">
        <f t="shared" si="2"/>
        <v>40</v>
      </c>
      <c r="H75" s="19">
        <f t="shared" si="3"/>
        <v>33.299999999999997</v>
      </c>
      <c r="I75" s="70" t="s">
        <v>20</v>
      </c>
      <c r="J75" s="70" t="s">
        <v>231</v>
      </c>
    </row>
    <row r="76" spans="1:10" x14ac:dyDescent="0.25">
      <c r="A76" s="538"/>
      <c r="B76" s="14" t="s">
        <v>192</v>
      </c>
      <c r="C76" s="15" t="s">
        <v>193</v>
      </c>
      <c r="D76" s="16" t="s">
        <v>54</v>
      </c>
      <c r="E76" s="15">
        <v>1</v>
      </c>
      <c r="F76" s="17">
        <v>4</v>
      </c>
      <c r="G76" s="18">
        <f t="shared" si="2"/>
        <v>80</v>
      </c>
      <c r="H76" s="19">
        <f t="shared" si="3"/>
        <v>66.7</v>
      </c>
      <c r="I76" s="70" t="s">
        <v>20</v>
      </c>
      <c r="J76" s="70" t="s">
        <v>230</v>
      </c>
    </row>
    <row r="77" spans="1:10" ht="15.75" thickBot="1" x14ac:dyDescent="0.3">
      <c r="A77" s="541"/>
      <c r="B77" s="20" t="s">
        <v>194</v>
      </c>
      <c r="C77" s="21" t="s">
        <v>195</v>
      </c>
      <c r="D77" s="22" t="s">
        <v>57</v>
      </c>
      <c r="E77" s="21">
        <v>2</v>
      </c>
      <c r="F77" s="23">
        <v>2</v>
      </c>
      <c r="G77" s="24">
        <f t="shared" si="2"/>
        <v>40</v>
      </c>
      <c r="H77" s="25">
        <f t="shared" si="3"/>
        <v>33.299999999999997</v>
      </c>
      <c r="I77" s="71" t="s">
        <v>19</v>
      </c>
      <c r="J77" s="71" t="s">
        <v>232</v>
      </c>
    </row>
    <row r="78" spans="1:10" x14ac:dyDescent="0.25">
      <c r="A78" s="537" t="s">
        <v>196</v>
      </c>
      <c r="B78" s="8" t="s">
        <v>197</v>
      </c>
      <c r="C78" s="9" t="s">
        <v>198</v>
      </c>
      <c r="D78" s="10" t="s">
        <v>60</v>
      </c>
      <c r="E78" s="9">
        <v>1</v>
      </c>
      <c r="F78" s="11">
        <v>4</v>
      </c>
      <c r="G78" s="12">
        <f t="shared" si="2"/>
        <v>80</v>
      </c>
      <c r="H78" s="13">
        <f t="shared" si="3"/>
        <v>66.7</v>
      </c>
      <c r="I78" s="69" t="s">
        <v>20</v>
      </c>
      <c r="J78" s="74" t="s">
        <v>230</v>
      </c>
    </row>
    <row r="79" spans="1:10" x14ac:dyDescent="0.25">
      <c r="A79" s="540"/>
      <c r="B79" s="14" t="s">
        <v>199</v>
      </c>
      <c r="C79" s="15" t="s">
        <v>200</v>
      </c>
      <c r="D79" s="16" t="s">
        <v>60</v>
      </c>
      <c r="E79" s="15">
        <v>1</v>
      </c>
      <c r="F79" s="17">
        <v>2</v>
      </c>
      <c r="G79" s="18">
        <f t="shared" si="2"/>
        <v>40</v>
      </c>
      <c r="H79" s="19">
        <f t="shared" si="3"/>
        <v>33.299999999999997</v>
      </c>
      <c r="I79" s="70" t="s">
        <v>20</v>
      </c>
      <c r="J79" s="70" t="s">
        <v>230</v>
      </c>
    </row>
    <row r="80" spans="1:10" x14ac:dyDescent="0.25">
      <c r="A80" s="538"/>
      <c r="B80" s="14" t="s">
        <v>201</v>
      </c>
      <c r="C80" s="15" t="s">
        <v>202</v>
      </c>
      <c r="D80" s="16" t="s">
        <v>60</v>
      </c>
      <c r="E80" s="15">
        <v>1</v>
      </c>
      <c r="F80" s="17">
        <v>2</v>
      </c>
      <c r="G80" s="18">
        <f t="shared" si="2"/>
        <v>40</v>
      </c>
      <c r="H80" s="19">
        <f t="shared" si="3"/>
        <v>33.299999999999997</v>
      </c>
      <c r="I80" s="70" t="s">
        <v>19</v>
      </c>
      <c r="J80" s="70" t="s">
        <v>230</v>
      </c>
    </row>
    <row r="81" spans="1:10" x14ac:dyDescent="0.25">
      <c r="A81" s="538"/>
      <c r="B81" s="14" t="s">
        <v>203</v>
      </c>
      <c r="C81" s="15" t="s">
        <v>204</v>
      </c>
      <c r="D81" s="15" t="s">
        <v>60</v>
      </c>
      <c r="E81" s="15">
        <v>1</v>
      </c>
      <c r="F81" s="17">
        <v>2</v>
      </c>
      <c r="G81" s="18">
        <f t="shared" si="2"/>
        <v>40</v>
      </c>
      <c r="H81" s="19">
        <f t="shared" si="3"/>
        <v>33.299999999999997</v>
      </c>
      <c r="I81" s="70" t="s">
        <v>19</v>
      </c>
      <c r="J81" s="70" t="s">
        <v>230</v>
      </c>
    </row>
    <row r="82" spans="1:10" x14ac:dyDescent="0.25">
      <c r="A82" s="538"/>
      <c r="B82" s="14" t="s">
        <v>205</v>
      </c>
      <c r="C82" s="15" t="s">
        <v>206</v>
      </c>
      <c r="D82" s="15" t="s">
        <v>54</v>
      </c>
      <c r="E82" s="15">
        <v>2</v>
      </c>
      <c r="F82" s="17">
        <v>2</v>
      </c>
      <c r="G82" s="18">
        <f t="shared" si="2"/>
        <v>40</v>
      </c>
      <c r="H82" s="19">
        <f t="shared" si="3"/>
        <v>33.299999999999997</v>
      </c>
      <c r="I82" s="70" t="s">
        <v>19</v>
      </c>
      <c r="J82" s="70" t="s">
        <v>230</v>
      </c>
    </row>
    <row r="83" spans="1:10" ht="28.5" x14ac:dyDescent="0.25">
      <c r="A83" s="538"/>
      <c r="B83" s="14" t="s">
        <v>207</v>
      </c>
      <c r="C83" s="15" t="s">
        <v>208</v>
      </c>
      <c r="D83" s="15" t="s">
        <v>54</v>
      </c>
      <c r="E83" s="15">
        <v>2</v>
      </c>
      <c r="F83" s="17">
        <v>2</v>
      </c>
      <c r="G83" s="18">
        <f t="shared" si="2"/>
        <v>40</v>
      </c>
      <c r="H83" s="19">
        <f t="shared" si="3"/>
        <v>33.299999999999997</v>
      </c>
      <c r="I83" s="70" t="s">
        <v>20</v>
      </c>
      <c r="J83" s="70" t="s">
        <v>231</v>
      </c>
    </row>
    <row r="84" spans="1:10" ht="15.75" thickBot="1" x14ac:dyDescent="0.3">
      <c r="A84" s="541"/>
      <c r="B84" s="20" t="s">
        <v>209</v>
      </c>
      <c r="C84" s="21" t="s">
        <v>210</v>
      </c>
      <c r="D84" s="21" t="s">
        <v>60</v>
      </c>
      <c r="E84" s="21">
        <v>1</v>
      </c>
      <c r="F84" s="23">
        <v>2</v>
      </c>
      <c r="G84" s="24">
        <f t="shared" si="2"/>
        <v>40</v>
      </c>
      <c r="H84" s="25">
        <f t="shared" si="3"/>
        <v>33.299999999999997</v>
      </c>
      <c r="I84" s="71" t="s">
        <v>19</v>
      </c>
      <c r="J84" s="71" t="s">
        <v>230</v>
      </c>
    </row>
    <row r="85" spans="1:10" ht="15.75" thickBot="1" x14ac:dyDescent="0.3">
      <c r="A85" s="546" t="s">
        <v>211</v>
      </c>
      <c r="B85" s="546"/>
      <c r="C85" s="546"/>
      <c r="D85" s="546"/>
      <c r="E85" s="546"/>
      <c r="F85" s="546"/>
      <c r="G85" s="26">
        <f>SUM(G9:G84)</f>
        <v>4060</v>
      </c>
      <c r="H85" s="26"/>
    </row>
    <row r="86" spans="1:10" ht="15.75" thickBot="1" x14ac:dyDescent="0.3">
      <c r="A86" s="546" t="s">
        <v>212</v>
      </c>
      <c r="B86" s="546"/>
      <c r="C86" s="546"/>
      <c r="D86" s="546"/>
      <c r="E86" s="546"/>
      <c r="F86" s="546"/>
      <c r="G86" s="546"/>
      <c r="H86" s="27">
        <f>SUM(H9:H84)</f>
        <v>3382.8000000000025</v>
      </c>
    </row>
    <row r="87" spans="1:10" ht="15.75" thickBot="1" x14ac:dyDescent="0.3">
      <c r="A87" s="546" t="s">
        <v>213</v>
      </c>
      <c r="B87" s="546"/>
      <c r="C87" s="546"/>
      <c r="D87" s="546"/>
      <c r="E87" s="546"/>
      <c r="F87" s="546"/>
      <c r="G87" s="546"/>
      <c r="H87" s="26">
        <v>100</v>
      </c>
    </row>
    <row r="88" spans="1:10" ht="15.75" thickBot="1" x14ac:dyDescent="0.3">
      <c r="A88" s="547" t="s">
        <v>214</v>
      </c>
      <c r="B88" s="547"/>
      <c r="C88" s="547"/>
      <c r="D88" s="547"/>
      <c r="E88" s="547"/>
      <c r="F88" s="547"/>
      <c r="G88" s="547"/>
      <c r="H88" s="26">
        <v>160</v>
      </c>
    </row>
    <row r="89" spans="1:10" ht="15.75" thickBot="1" x14ac:dyDescent="0.3">
      <c r="A89" s="545" t="s">
        <v>215</v>
      </c>
      <c r="B89" s="545"/>
      <c r="C89" s="545"/>
      <c r="D89" s="545"/>
      <c r="E89" s="545"/>
      <c r="F89" s="545"/>
      <c r="G89" s="545"/>
      <c r="H89" s="27">
        <f>SUM(H86:H88)</f>
        <v>3642.8000000000025</v>
      </c>
    </row>
    <row r="90" spans="1:10" ht="15.75" thickBot="1" x14ac:dyDescent="0.3">
      <c r="A90" s="546" t="s">
        <v>216</v>
      </c>
      <c r="B90" s="546"/>
      <c r="C90" s="26" t="s">
        <v>217</v>
      </c>
      <c r="D90" s="26" t="s">
        <v>54</v>
      </c>
      <c r="E90" s="26">
        <v>1</v>
      </c>
      <c r="F90" s="26">
        <v>2</v>
      </c>
      <c r="G90" s="28">
        <f>$E$93*F90</f>
        <v>40</v>
      </c>
      <c r="H90" s="29">
        <f>ROUND(G90*$C$93/60,)</f>
        <v>33</v>
      </c>
    </row>
    <row r="91" spans="1:10" ht="15.75" thickBot="1" x14ac:dyDescent="0.3">
      <c r="A91" s="546" t="s">
        <v>218</v>
      </c>
      <c r="B91" s="546"/>
      <c r="C91" s="26"/>
      <c r="D91" s="26"/>
      <c r="E91" s="26"/>
      <c r="F91" s="26"/>
      <c r="G91" s="26"/>
      <c r="H91" s="28">
        <v>100</v>
      </c>
    </row>
    <row r="92" spans="1:10" ht="15.75" thickBot="1" x14ac:dyDescent="0.3">
      <c r="A92" s="545" t="s">
        <v>219</v>
      </c>
      <c r="B92" s="545"/>
      <c r="C92" s="545"/>
      <c r="D92" s="545"/>
      <c r="E92" s="545"/>
      <c r="F92" s="545"/>
      <c r="G92" s="545"/>
      <c r="H92" s="27">
        <f>SUM(H89:H91)</f>
        <v>3775.8000000000025</v>
      </c>
    </row>
    <row r="93" spans="1:10" ht="15.75" thickBot="1" x14ac:dyDescent="0.3">
      <c r="A93" s="30"/>
      <c r="B93" s="31" t="s">
        <v>220</v>
      </c>
      <c r="C93" s="32">
        <v>50</v>
      </c>
      <c r="D93" s="33" t="s">
        <v>221</v>
      </c>
      <c r="E93" s="32">
        <v>20</v>
      </c>
      <c r="F93" s="33" t="s">
        <v>222</v>
      </c>
      <c r="G93" s="33"/>
      <c r="H93" s="34"/>
    </row>
    <row r="97" spans="5:5" x14ac:dyDescent="0.25">
      <c r="E97" s="219">
        <f>SUMPRODUCT(H5:H84,E5:E84)/H86</f>
        <v>1.325115289109613</v>
      </c>
    </row>
  </sheetData>
  <mergeCells count="28">
    <mergeCell ref="A89:G89"/>
    <mergeCell ref="A90:B90"/>
    <mergeCell ref="A91:B91"/>
    <mergeCell ref="A92:G92"/>
    <mergeCell ref="A72:A77"/>
    <mergeCell ref="A78:A84"/>
    <mergeCell ref="A85:F85"/>
    <mergeCell ref="A86:G86"/>
    <mergeCell ref="A87:G87"/>
    <mergeCell ref="A88:G88"/>
    <mergeCell ref="A64:A71"/>
    <mergeCell ref="G6:H6"/>
    <mergeCell ref="A7:D7"/>
    <mergeCell ref="E7:F7"/>
    <mergeCell ref="G7:H7"/>
    <mergeCell ref="A9:A15"/>
    <mergeCell ref="A16:A24"/>
    <mergeCell ref="A25:A31"/>
    <mergeCell ref="A32:A38"/>
    <mergeCell ref="A39:A46"/>
    <mergeCell ref="A47:A55"/>
    <mergeCell ref="A56:A63"/>
    <mergeCell ref="A1:F1"/>
    <mergeCell ref="G1:H5"/>
    <mergeCell ref="A2:F2"/>
    <mergeCell ref="A3:F3"/>
    <mergeCell ref="A4:F4"/>
    <mergeCell ref="A5:F5"/>
  </mergeCells>
  <dataValidations count="2">
    <dataValidation type="list" allowBlank="1" showInputMessage="1" showErrorMessage="1" sqref="I9:I84" xr:uid="{00000000-0002-0000-2600-000000000000}">
      <formula1>Áreas</formula1>
    </dataValidation>
    <dataValidation type="list" allowBlank="1" showInputMessage="1" showErrorMessage="1" sqref="J9:J93" xr:uid="{00000000-0002-0000-2600-000001000000}">
      <formula1>Ambientes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36">
    <tabColor theme="5"/>
  </sheetPr>
  <dimension ref="A1:J21"/>
  <sheetViews>
    <sheetView workbookViewId="0">
      <selection activeCell="J34" sqref="J34"/>
    </sheetView>
  </sheetViews>
  <sheetFormatPr defaultColWidth="9.140625" defaultRowHeight="15" x14ac:dyDescent="0.25"/>
  <cols>
    <col min="1" max="1" width="9.7109375" bestFit="1" customWidth="1"/>
    <col min="2" max="2" width="40.7109375" customWidth="1"/>
    <col min="6" max="6" width="14.5703125" customWidth="1"/>
    <col min="9" max="9" width="21" customWidth="1"/>
    <col min="10" max="10" width="33.85546875" bestFit="1" customWidth="1"/>
  </cols>
  <sheetData>
    <row r="1" spans="1:10" x14ac:dyDescent="0.25">
      <c r="A1" s="559" t="s">
        <v>36</v>
      </c>
      <c r="B1" s="560"/>
      <c r="C1" s="560"/>
      <c r="D1" s="560"/>
      <c r="E1" s="560"/>
      <c r="F1" s="561"/>
      <c r="G1" s="562" t="str">
        <f>_xlfn.CONCAT("Carga horária mínima do curso: ",TEXT(H17,"0,0")," h")</f>
        <v>Carga horária mínima do curso: 293,3 h</v>
      </c>
      <c r="H1" s="563"/>
    </row>
    <row r="2" spans="1:10" x14ac:dyDescent="0.25">
      <c r="A2" s="568" t="s">
        <v>37</v>
      </c>
      <c r="B2" s="569"/>
      <c r="C2" s="569"/>
      <c r="D2" s="569"/>
      <c r="E2" s="569"/>
      <c r="F2" s="570"/>
      <c r="G2" s="564"/>
      <c r="H2" s="565"/>
    </row>
    <row r="3" spans="1:10" x14ac:dyDescent="0.25">
      <c r="A3" s="571" t="s">
        <v>1194</v>
      </c>
      <c r="B3" s="572"/>
      <c r="C3" s="572"/>
      <c r="D3" s="572"/>
      <c r="E3" s="572"/>
      <c r="F3" s="573"/>
      <c r="G3" s="564"/>
      <c r="H3" s="565"/>
    </row>
    <row r="4" spans="1:10" x14ac:dyDescent="0.25">
      <c r="A4" s="571"/>
      <c r="B4" s="572"/>
      <c r="C4" s="572"/>
      <c r="D4" s="572"/>
      <c r="E4" s="572"/>
      <c r="F4" s="573"/>
      <c r="G4" s="564"/>
      <c r="H4" s="565"/>
    </row>
    <row r="5" spans="1:10" ht="15.75" thickBot="1" x14ac:dyDescent="0.3">
      <c r="A5" s="574" t="s">
        <v>40</v>
      </c>
      <c r="B5" s="575"/>
      <c r="C5" s="575"/>
      <c r="D5" s="575"/>
      <c r="E5" s="575"/>
      <c r="F5" s="576"/>
      <c r="G5" s="566"/>
      <c r="H5" s="567"/>
    </row>
    <row r="6" spans="1:10" x14ac:dyDescent="0.25">
      <c r="A6" s="2"/>
      <c r="B6" s="3"/>
      <c r="C6" s="3"/>
      <c r="D6" s="3"/>
      <c r="E6" s="3"/>
      <c r="F6" s="4"/>
      <c r="G6" s="548" t="s">
        <v>41</v>
      </c>
      <c r="H6" s="549"/>
    </row>
    <row r="7" spans="1:10" ht="15.75" thickBot="1" x14ac:dyDescent="0.3">
      <c r="A7" s="550" t="s">
        <v>42</v>
      </c>
      <c r="B7" s="551"/>
      <c r="C7" s="551"/>
      <c r="D7" s="551"/>
      <c r="E7" s="552"/>
      <c r="F7" s="553"/>
      <c r="G7" s="554" t="s">
        <v>43</v>
      </c>
      <c r="H7" s="555"/>
    </row>
    <row r="8" spans="1:10" ht="29.2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0" x14ac:dyDescent="0.25">
      <c r="A9" s="537" t="s">
        <v>1195</v>
      </c>
      <c r="B9" s="8" t="s">
        <v>1197</v>
      </c>
      <c r="C9" s="9" t="s">
        <v>1198</v>
      </c>
      <c r="D9" s="10" t="s">
        <v>60</v>
      </c>
      <c r="E9" s="9">
        <v>1</v>
      </c>
      <c r="F9" s="11">
        <v>2</v>
      </c>
      <c r="G9" s="12">
        <f>$E$21*F9</f>
        <v>40</v>
      </c>
      <c r="H9" s="13">
        <f>ROUND(G9*$C$21/60,1)</f>
        <v>33.299999999999997</v>
      </c>
      <c r="I9" s="69" t="s">
        <v>299</v>
      </c>
      <c r="J9" s="69" t="s">
        <v>230</v>
      </c>
    </row>
    <row r="10" spans="1:10" ht="15.75" thickBot="1" x14ac:dyDescent="0.3">
      <c r="A10" s="538"/>
      <c r="B10" s="14"/>
      <c r="C10" s="15"/>
      <c r="D10" s="16"/>
      <c r="E10" s="15"/>
      <c r="F10" s="17"/>
      <c r="G10" s="18">
        <f>$E$21*F10</f>
        <v>0</v>
      </c>
      <c r="H10" s="19">
        <f>ROUND(G10*$C$21/60,1)</f>
        <v>0</v>
      </c>
      <c r="I10" s="70"/>
      <c r="J10" s="70"/>
    </row>
    <row r="11" spans="1:10" x14ac:dyDescent="0.25">
      <c r="A11" s="537" t="s">
        <v>1196</v>
      </c>
      <c r="B11" s="8" t="s">
        <v>1200</v>
      </c>
      <c r="C11" s="9" t="s">
        <v>1199</v>
      </c>
      <c r="D11" s="10" t="s">
        <v>60</v>
      </c>
      <c r="E11" s="9">
        <v>1</v>
      </c>
      <c r="F11" s="11">
        <v>2</v>
      </c>
      <c r="G11" s="12">
        <f>$E$21*F11</f>
        <v>40</v>
      </c>
      <c r="H11" s="13">
        <f>ROUND(G11*$C$21/60,1)</f>
        <v>33.299999999999997</v>
      </c>
      <c r="I11" s="69" t="s">
        <v>299</v>
      </c>
      <c r="J11" s="69" t="s">
        <v>230</v>
      </c>
    </row>
    <row r="12" spans="1:10" ht="15.75" thickBot="1" x14ac:dyDescent="0.3">
      <c r="A12" s="539"/>
      <c r="B12" s="285"/>
      <c r="C12" s="286"/>
      <c r="D12" s="287"/>
      <c r="E12" s="286"/>
      <c r="F12" s="288"/>
      <c r="G12" s="289">
        <f>$E$21*F12</f>
        <v>0</v>
      </c>
      <c r="H12" s="290">
        <f>ROUND(G12*$C$21/60,1)</f>
        <v>0</v>
      </c>
      <c r="I12" s="291"/>
      <c r="J12" s="291"/>
    </row>
    <row r="13" spans="1:10" ht="17.25" thickBot="1" x14ac:dyDescent="0.3">
      <c r="A13" s="546" t="s">
        <v>211</v>
      </c>
      <c r="B13" s="546"/>
      <c r="C13" s="546"/>
      <c r="D13" s="546"/>
      <c r="E13" s="546"/>
      <c r="F13" s="546"/>
      <c r="G13" s="26">
        <f>SUM(G9:G12)</f>
        <v>80</v>
      </c>
      <c r="H13" s="26"/>
    </row>
    <row r="14" spans="1:10" ht="17.25" thickBot="1" x14ac:dyDescent="0.3">
      <c r="A14" s="546" t="s">
        <v>212</v>
      </c>
      <c r="B14" s="546"/>
      <c r="C14" s="546"/>
      <c r="D14" s="546"/>
      <c r="E14" s="546"/>
      <c r="F14" s="546"/>
      <c r="G14" s="546"/>
      <c r="H14" s="27">
        <f>SUM(H10:H12)</f>
        <v>33.299999999999997</v>
      </c>
    </row>
    <row r="15" spans="1:10" ht="15.75" thickBot="1" x14ac:dyDescent="0.3">
      <c r="A15" s="546" t="s">
        <v>213</v>
      </c>
      <c r="B15" s="546"/>
      <c r="C15" s="546"/>
      <c r="D15" s="546"/>
      <c r="E15" s="546"/>
      <c r="F15" s="546"/>
      <c r="G15" s="546"/>
      <c r="H15" s="26">
        <v>100</v>
      </c>
    </row>
    <row r="16" spans="1:10" ht="15.75" thickBot="1" x14ac:dyDescent="0.3">
      <c r="A16" s="547" t="s">
        <v>214</v>
      </c>
      <c r="B16" s="547"/>
      <c r="C16" s="547"/>
      <c r="D16" s="547"/>
      <c r="E16" s="547"/>
      <c r="F16" s="547"/>
      <c r="G16" s="547"/>
      <c r="H16" s="26">
        <v>160</v>
      </c>
    </row>
    <row r="17" spans="1:8" ht="15.75" thickBot="1" x14ac:dyDescent="0.3">
      <c r="A17" s="545" t="s">
        <v>215</v>
      </c>
      <c r="B17" s="545"/>
      <c r="C17" s="545"/>
      <c r="D17" s="545"/>
      <c r="E17" s="545"/>
      <c r="F17" s="545"/>
      <c r="G17" s="545"/>
      <c r="H17" s="27">
        <f>SUM(H14:H16)</f>
        <v>293.3</v>
      </c>
    </row>
    <row r="18" spans="1:8" ht="17.25" thickBot="1" x14ac:dyDescent="0.3">
      <c r="A18" s="546" t="s">
        <v>216</v>
      </c>
      <c r="B18" s="546"/>
      <c r="C18" s="26" t="s">
        <v>217</v>
      </c>
      <c r="D18" s="26" t="s">
        <v>54</v>
      </c>
      <c r="E18" s="26">
        <v>1</v>
      </c>
      <c r="F18" s="26">
        <v>2</v>
      </c>
      <c r="G18" s="28">
        <f>$E$21*F18</f>
        <v>40</v>
      </c>
      <c r="H18" s="29">
        <f>ROUND(G18*$C$21/60,)</f>
        <v>33</v>
      </c>
    </row>
    <row r="19" spans="1:8" ht="17.25" thickBot="1" x14ac:dyDescent="0.3">
      <c r="A19" s="546" t="s">
        <v>218</v>
      </c>
      <c r="B19" s="546"/>
      <c r="C19" s="26"/>
      <c r="D19" s="26"/>
      <c r="E19" s="26"/>
      <c r="F19" s="26"/>
      <c r="G19" s="26"/>
      <c r="H19" s="28">
        <v>100</v>
      </c>
    </row>
    <row r="20" spans="1:8" ht="15.75" thickBot="1" x14ac:dyDescent="0.3">
      <c r="A20" s="545" t="s">
        <v>219</v>
      </c>
      <c r="B20" s="545"/>
      <c r="C20" s="545"/>
      <c r="D20" s="545"/>
      <c r="E20" s="545"/>
      <c r="F20" s="545"/>
      <c r="G20" s="545"/>
      <c r="H20" s="27">
        <f>SUM(H17:H19)</f>
        <v>426.3</v>
      </c>
    </row>
    <row r="21" spans="1:8" ht="15.75" thickBot="1" x14ac:dyDescent="0.3">
      <c r="A21" s="30"/>
      <c r="B21" s="31" t="s">
        <v>220</v>
      </c>
      <c r="C21" s="32">
        <v>50</v>
      </c>
      <c r="D21" s="33" t="s">
        <v>221</v>
      </c>
      <c r="E21" s="32">
        <v>20</v>
      </c>
      <c r="F21" s="33" t="s">
        <v>222</v>
      </c>
      <c r="G21" s="33"/>
      <c r="H21" s="34"/>
    </row>
  </sheetData>
  <mergeCells count="20">
    <mergeCell ref="A18:B18"/>
    <mergeCell ref="A19:B19"/>
    <mergeCell ref="A20:G20"/>
    <mergeCell ref="A13:F13"/>
    <mergeCell ref="A14:G14"/>
    <mergeCell ref="A15:G15"/>
    <mergeCell ref="A16:G16"/>
    <mergeCell ref="A17:G17"/>
    <mergeCell ref="A11:A12"/>
    <mergeCell ref="A1:F1"/>
    <mergeCell ref="G1:H5"/>
    <mergeCell ref="A2:F2"/>
    <mergeCell ref="A3:F3"/>
    <mergeCell ref="A4:F4"/>
    <mergeCell ref="A5:F5"/>
    <mergeCell ref="G6:H6"/>
    <mergeCell ref="A7:D7"/>
    <mergeCell ref="E7:F7"/>
    <mergeCell ref="G7:H7"/>
    <mergeCell ref="A9:A10"/>
  </mergeCells>
  <dataValidations count="2">
    <dataValidation type="list" allowBlank="1" showInputMessage="1" showErrorMessage="1" sqref="I9:I12" xr:uid="{00000000-0002-0000-2700-000000000000}">
      <formula1>Áreas</formula1>
    </dataValidation>
    <dataValidation type="list" allowBlank="1" showInputMessage="1" showErrorMessage="1" sqref="J9:J21" xr:uid="{00000000-0002-0000-2700-000001000000}">
      <formula1>Ambientes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ilha35">
    <tabColor theme="5"/>
  </sheetPr>
  <dimension ref="A1:J23"/>
  <sheetViews>
    <sheetView workbookViewId="0">
      <selection activeCell="J34" sqref="J34"/>
    </sheetView>
  </sheetViews>
  <sheetFormatPr defaultColWidth="9.140625" defaultRowHeight="15" x14ac:dyDescent="0.25"/>
  <cols>
    <col min="1" max="1" width="9.7109375" bestFit="1" customWidth="1"/>
    <col min="2" max="2" width="40.7109375" customWidth="1"/>
    <col min="6" max="6" width="14.5703125" customWidth="1"/>
    <col min="9" max="9" width="21" customWidth="1"/>
    <col min="10" max="10" width="33.85546875" bestFit="1" customWidth="1"/>
  </cols>
  <sheetData>
    <row r="1" spans="1:10" x14ac:dyDescent="0.25">
      <c r="A1" s="559" t="s">
        <v>36</v>
      </c>
      <c r="B1" s="560"/>
      <c r="C1" s="560"/>
      <c r="D1" s="560"/>
      <c r="E1" s="560"/>
      <c r="F1" s="561"/>
      <c r="G1" s="562" t="str">
        <f>_xlfn.CONCAT("Carga horária mínima do curso: ",TEXT(H19,"0,0")," h")</f>
        <v>Carga horária mínima do curso: 326,6 h</v>
      </c>
      <c r="H1" s="563"/>
    </row>
    <row r="2" spans="1:10" x14ac:dyDescent="0.25">
      <c r="A2" s="568" t="s">
        <v>37</v>
      </c>
      <c r="B2" s="569"/>
      <c r="C2" s="569"/>
      <c r="D2" s="569"/>
      <c r="E2" s="569"/>
      <c r="F2" s="570"/>
      <c r="G2" s="564"/>
      <c r="H2" s="565"/>
    </row>
    <row r="3" spans="1:10" x14ac:dyDescent="0.25">
      <c r="A3" s="571" t="s">
        <v>1190</v>
      </c>
      <c r="B3" s="572"/>
      <c r="C3" s="572"/>
      <c r="D3" s="572"/>
      <c r="E3" s="572"/>
      <c r="F3" s="573"/>
      <c r="G3" s="564"/>
      <c r="H3" s="565"/>
    </row>
    <row r="4" spans="1:10" x14ac:dyDescent="0.25">
      <c r="A4" s="571"/>
      <c r="B4" s="572"/>
      <c r="C4" s="572"/>
      <c r="D4" s="572"/>
      <c r="E4" s="572"/>
      <c r="F4" s="573"/>
      <c r="G4" s="564"/>
      <c r="H4" s="565"/>
    </row>
    <row r="5" spans="1:10" ht="15.75" thickBot="1" x14ac:dyDescent="0.3">
      <c r="A5" s="574" t="s">
        <v>40</v>
      </c>
      <c r="B5" s="575"/>
      <c r="C5" s="575"/>
      <c r="D5" s="575"/>
      <c r="E5" s="575"/>
      <c r="F5" s="576"/>
      <c r="G5" s="566"/>
      <c r="H5" s="567"/>
    </row>
    <row r="6" spans="1:10" x14ac:dyDescent="0.25">
      <c r="A6" s="2"/>
      <c r="B6" s="3"/>
      <c r="C6" s="3"/>
      <c r="D6" s="3"/>
      <c r="E6" s="3"/>
      <c r="F6" s="4"/>
      <c r="G6" s="548" t="s">
        <v>41</v>
      </c>
      <c r="H6" s="549"/>
    </row>
    <row r="7" spans="1:10" ht="15.75" thickBot="1" x14ac:dyDescent="0.3">
      <c r="A7" s="550" t="s">
        <v>42</v>
      </c>
      <c r="B7" s="551"/>
      <c r="C7" s="551"/>
      <c r="D7" s="551"/>
      <c r="E7" s="552"/>
      <c r="F7" s="553"/>
      <c r="G7" s="554" t="s">
        <v>43</v>
      </c>
      <c r="H7" s="555"/>
    </row>
    <row r="8" spans="1:10" ht="29.25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0" x14ac:dyDescent="0.25">
      <c r="A9" s="537" t="s">
        <v>1191</v>
      </c>
      <c r="B9" s="8" t="s">
        <v>299</v>
      </c>
      <c r="C9" s="9" t="s">
        <v>298</v>
      </c>
      <c r="D9" s="10" t="s">
        <v>60</v>
      </c>
      <c r="E9" s="9">
        <v>1</v>
      </c>
      <c r="F9" s="11">
        <v>2</v>
      </c>
      <c r="G9" s="12">
        <f t="shared" ref="G9:G14" si="0">$E$23*F9</f>
        <v>40</v>
      </c>
      <c r="H9" s="13">
        <f t="shared" ref="H9:H14" si="1">ROUND(G9*$C$23/60,1)</f>
        <v>33.299999999999997</v>
      </c>
      <c r="I9" s="69" t="s">
        <v>299</v>
      </c>
      <c r="J9" s="69" t="s">
        <v>230</v>
      </c>
    </row>
    <row r="10" spans="1:10" ht="15.75" thickBot="1" x14ac:dyDescent="0.3">
      <c r="A10" s="538"/>
      <c r="B10" s="14"/>
      <c r="C10" s="15"/>
      <c r="D10" s="16"/>
      <c r="E10" s="15"/>
      <c r="F10" s="17"/>
      <c r="G10" s="18">
        <f t="shared" si="0"/>
        <v>0</v>
      </c>
      <c r="H10" s="19">
        <f t="shared" si="1"/>
        <v>0</v>
      </c>
      <c r="I10" s="70" t="s">
        <v>19</v>
      </c>
      <c r="J10" s="70" t="s">
        <v>231</v>
      </c>
    </row>
    <row r="11" spans="1:10" x14ac:dyDescent="0.25">
      <c r="A11" s="537" t="s">
        <v>1192</v>
      </c>
      <c r="B11" s="8" t="s">
        <v>15</v>
      </c>
      <c r="C11" s="9" t="s">
        <v>1071</v>
      </c>
      <c r="D11" s="10" t="s">
        <v>60</v>
      </c>
      <c r="E11" s="9">
        <v>1</v>
      </c>
      <c r="F11" s="11">
        <v>2</v>
      </c>
      <c r="G11" s="12">
        <f t="shared" si="0"/>
        <v>40</v>
      </c>
      <c r="H11" s="13">
        <f t="shared" si="1"/>
        <v>33.299999999999997</v>
      </c>
      <c r="I11" s="69" t="s">
        <v>15</v>
      </c>
      <c r="J11" s="69" t="s">
        <v>230</v>
      </c>
    </row>
    <row r="12" spans="1:10" ht="15.75" thickBot="1" x14ac:dyDescent="0.3">
      <c r="A12" s="538"/>
      <c r="B12" s="14"/>
      <c r="C12" s="15"/>
      <c r="D12" s="16"/>
      <c r="E12" s="15"/>
      <c r="F12" s="17"/>
      <c r="G12" s="18">
        <f t="shared" si="0"/>
        <v>0</v>
      </c>
      <c r="H12" s="19">
        <f t="shared" si="1"/>
        <v>0</v>
      </c>
      <c r="I12" s="70" t="s">
        <v>20</v>
      </c>
      <c r="J12" s="70" t="s">
        <v>230</v>
      </c>
    </row>
    <row r="13" spans="1:10" x14ac:dyDescent="0.25">
      <c r="A13" s="537" t="s">
        <v>1193</v>
      </c>
      <c r="B13" s="8" t="s">
        <v>17</v>
      </c>
      <c r="C13" s="9" t="s">
        <v>301</v>
      </c>
      <c r="D13" s="10" t="s">
        <v>60</v>
      </c>
      <c r="E13" s="9">
        <v>1</v>
      </c>
      <c r="F13" s="11">
        <v>2</v>
      </c>
      <c r="G13" s="12">
        <f t="shared" si="0"/>
        <v>40</v>
      </c>
      <c r="H13" s="13">
        <f t="shared" si="1"/>
        <v>33.299999999999997</v>
      </c>
      <c r="I13" s="69" t="s">
        <v>17</v>
      </c>
      <c r="J13" s="69" t="s">
        <v>230</v>
      </c>
    </row>
    <row r="14" spans="1:10" ht="15.75" thickBot="1" x14ac:dyDescent="0.3">
      <c r="A14" s="538"/>
      <c r="B14" s="14"/>
      <c r="C14" s="15"/>
      <c r="D14" s="16"/>
      <c r="E14" s="15"/>
      <c r="F14" s="17"/>
      <c r="G14" s="18">
        <f t="shared" si="0"/>
        <v>0</v>
      </c>
      <c r="H14" s="19">
        <f t="shared" si="1"/>
        <v>0</v>
      </c>
      <c r="I14" s="70"/>
      <c r="J14" s="70"/>
    </row>
    <row r="15" spans="1:10" ht="17.25" thickBot="1" x14ac:dyDescent="0.3">
      <c r="A15" s="546" t="s">
        <v>211</v>
      </c>
      <c r="B15" s="546"/>
      <c r="C15" s="546"/>
      <c r="D15" s="546"/>
      <c r="E15" s="546"/>
      <c r="F15" s="546"/>
      <c r="G15" s="26">
        <f>SUM(G9:G14)</f>
        <v>120</v>
      </c>
      <c r="H15" s="26"/>
    </row>
    <row r="16" spans="1:10" ht="17.25" thickBot="1" x14ac:dyDescent="0.3">
      <c r="A16" s="546" t="s">
        <v>212</v>
      </c>
      <c r="B16" s="546"/>
      <c r="C16" s="546"/>
      <c r="D16" s="546"/>
      <c r="E16" s="546"/>
      <c r="F16" s="546"/>
      <c r="G16" s="546"/>
      <c r="H16" s="27">
        <f>SUM(H10:H14)</f>
        <v>66.599999999999994</v>
      </c>
    </row>
    <row r="17" spans="1:8" ht="15.75" thickBot="1" x14ac:dyDescent="0.3">
      <c r="A17" s="546" t="s">
        <v>213</v>
      </c>
      <c r="B17" s="546"/>
      <c r="C17" s="546"/>
      <c r="D17" s="546"/>
      <c r="E17" s="546"/>
      <c r="F17" s="546"/>
      <c r="G17" s="546"/>
      <c r="H17" s="26">
        <v>100</v>
      </c>
    </row>
    <row r="18" spans="1:8" ht="15.75" thickBot="1" x14ac:dyDescent="0.3">
      <c r="A18" s="547" t="s">
        <v>214</v>
      </c>
      <c r="B18" s="547"/>
      <c r="C18" s="547"/>
      <c r="D18" s="547"/>
      <c r="E18" s="547"/>
      <c r="F18" s="547"/>
      <c r="G18" s="547"/>
      <c r="H18" s="26">
        <v>160</v>
      </c>
    </row>
    <row r="19" spans="1:8" ht="15.75" thickBot="1" x14ac:dyDescent="0.3">
      <c r="A19" s="545" t="s">
        <v>215</v>
      </c>
      <c r="B19" s="545"/>
      <c r="C19" s="545"/>
      <c r="D19" s="545"/>
      <c r="E19" s="545"/>
      <c r="F19" s="545"/>
      <c r="G19" s="545"/>
      <c r="H19" s="27">
        <f>SUM(H16:H18)</f>
        <v>326.60000000000002</v>
      </c>
    </row>
    <row r="20" spans="1:8" ht="15.75" thickBot="1" x14ac:dyDescent="0.3">
      <c r="A20" s="546" t="s">
        <v>216</v>
      </c>
      <c r="B20" s="546"/>
      <c r="C20" s="26" t="s">
        <v>217</v>
      </c>
      <c r="D20" s="26" t="s">
        <v>54</v>
      </c>
      <c r="E20" s="26">
        <v>1</v>
      </c>
      <c r="F20" s="26">
        <v>2</v>
      </c>
      <c r="G20" s="28">
        <f>$E$23*F20</f>
        <v>40</v>
      </c>
      <c r="H20" s="29">
        <f>ROUND(G20*$C$23/60,)</f>
        <v>33</v>
      </c>
    </row>
    <row r="21" spans="1:8" ht="15.75" thickBot="1" x14ac:dyDescent="0.3">
      <c r="A21" s="546" t="s">
        <v>218</v>
      </c>
      <c r="B21" s="546"/>
      <c r="C21" s="26"/>
      <c r="D21" s="26"/>
      <c r="E21" s="26"/>
      <c r="F21" s="26"/>
      <c r="G21" s="26"/>
      <c r="H21" s="28">
        <v>100</v>
      </c>
    </row>
    <row r="22" spans="1:8" ht="15.75" thickBot="1" x14ac:dyDescent="0.3">
      <c r="A22" s="545" t="s">
        <v>219</v>
      </c>
      <c r="B22" s="545"/>
      <c r="C22" s="545"/>
      <c r="D22" s="545"/>
      <c r="E22" s="545"/>
      <c r="F22" s="545"/>
      <c r="G22" s="545"/>
      <c r="H22" s="27">
        <f>SUM(H19:H21)</f>
        <v>459.6</v>
      </c>
    </row>
    <row r="23" spans="1:8" ht="15.75" thickBot="1" x14ac:dyDescent="0.3">
      <c r="A23" s="30"/>
      <c r="B23" s="31" t="s">
        <v>220</v>
      </c>
      <c r="C23" s="32">
        <v>50</v>
      </c>
      <c r="D23" s="33" t="s">
        <v>221</v>
      </c>
      <c r="E23" s="32">
        <v>20</v>
      </c>
      <c r="F23" s="33" t="s">
        <v>222</v>
      </c>
      <c r="G23" s="33"/>
      <c r="H23" s="34"/>
    </row>
  </sheetData>
  <mergeCells count="21">
    <mergeCell ref="A19:G19"/>
    <mergeCell ref="A20:B20"/>
    <mergeCell ref="A21:B21"/>
    <mergeCell ref="A22:G22"/>
    <mergeCell ref="A15:F15"/>
    <mergeCell ref="A16:G16"/>
    <mergeCell ref="A17:G17"/>
    <mergeCell ref="A18:G18"/>
    <mergeCell ref="A13:A14"/>
    <mergeCell ref="G6:H6"/>
    <mergeCell ref="A7:D7"/>
    <mergeCell ref="E7:F7"/>
    <mergeCell ref="G7:H7"/>
    <mergeCell ref="A9:A10"/>
    <mergeCell ref="A11:A12"/>
    <mergeCell ref="A1:F1"/>
    <mergeCell ref="G1:H5"/>
    <mergeCell ref="A2:F2"/>
    <mergeCell ref="A3:F3"/>
    <mergeCell ref="A4:F4"/>
    <mergeCell ref="A5:F5"/>
  </mergeCells>
  <dataValidations count="2">
    <dataValidation type="list" allowBlank="1" showInputMessage="1" showErrorMessage="1" sqref="I9:I14" xr:uid="{00000000-0002-0000-2800-000000000000}">
      <formula1>Áreas</formula1>
    </dataValidation>
    <dataValidation type="list" allowBlank="1" showInputMessage="1" showErrorMessage="1" sqref="J9:J23" xr:uid="{00000000-0002-0000-2800-000001000000}">
      <formula1>Ambientes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ilha38">
    <tabColor theme="7" tint="-0.249977111117893"/>
  </sheetPr>
  <dimension ref="A1:J23"/>
  <sheetViews>
    <sheetView workbookViewId="0">
      <selection activeCell="J34" sqref="J34"/>
    </sheetView>
  </sheetViews>
  <sheetFormatPr defaultColWidth="9.140625" defaultRowHeight="15" x14ac:dyDescent="0.25"/>
  <cols>
    <col min="2" max="2" width="31.7109375" customWidth="1"/>
    <col min="9" max="9" width="15.42578125" bestFit="1" customWidth="1"/>
    <col min="10" max="10" width="24.85546875" bestFit="1" customWidth="1"/>
  </cols>
  <sheetData>
    <row r="1" spans="1:10" x14ac:dyDescent="0.25">
      <c r="A1" s="559" t="s">
        <v>36</v>
      </c>
      <c r="B1" s="560"/>
      <c r="C1" s="560"/>
      <c r="D1" s="560"/>
      <c r="E1" s="560"/>
      <c r="F1" s="561"/>
      <c r="G1" s="562" t="str">
        <f>_xlfn.CONCAT("Carga horária mínima do curso: ",TEXT(H21,"0,0")," h")</f>
        <v>Carga horária mínima do curso: 190,0 h</v>
      </c>
      <c r="H1" s="563"/>
    </row>
    <row r="2" spans="1:10" x14ac:dyDescent="0.25">
      <c r="A2" s="568" t="s">
        <v>37</v>
      </c>
      <c r="B2" s="569"/>
      <c r="C2" s="569"/>
      <c r="D2" s="569"/>
      <c r="E2" s="569"/>
      <c r="F2" s="570"/>
      <c r="G2" s="564"/>
      <c r="H2" s="565"/>
    </row>
    <row r="3" spans="1:10" x14ac:dyDescent="0.25">
      <c r="A3" s="571" t="s">
        <v>38</v>
      </c>
      <c r="B3" s="572"/>
      <c r="C3" s="572"/>
      <c r="D3" s="572"/>
      <c r="E3" s="572"/>
      <c r="F3" s="573"/>
      <c r="G3" s="564"/>
      <c r="H3" s="565"/>
    </row>
    <row r="4" spans="1:10" x14ac:dyDescent="0.25">
      <c r="A4" s="571" t="s">
        <v>39</v>
      </c>
      <c r="B4" s="572"/>
      <c r="C4" s="572"/>
      <c r="D4" s="572"/>
      <c r="E4" s="572"/>
      <c r="F4" s="573"/>
      <c r="G4" s="564"/>
      <c r="H4" s="565"/>
    </row>
    <row r="5" spans="1:10" ht="15" customHeight="1" thickBot="1" x14ac:dyDescent="0.3">
      <c r="A5" s="574" t="s">
        <v>40</v>
      </c>
      <c r="B5" s="575"/>
      <c r="C5" s="575"/>
      <c r="D5" s="575"/>
      <c r="E5" s="575"/>
      <c r="F5" s="576"/>
      <c r="G5" s="566"/>
      <c r="H5" s="567"/>
    </row>
    <row r="6" spans="1:10" ht="15" customHeight="1" x14ac:dyDescent="0.25">
      <c r="A6" s="2"/>
      <c r="B6" s="3"/>
      <c r="C6" s="3"/>
      <c r="D6" s="3"/>
      <c r="E6" s="3"/>
      <c r="F6" s="4"/>
      <c r="G6" s="548" t="s">
        <v>41</v>
      </c>
      <c r="H6" s="549"/>
    </row>
    <row r="7" spans="1:10" ht="15" customHeight="1" thickBot="1" x14ac:dyDescent="0.3">
      <c r="A7" s="550" t="s">
        <v>42</v>
      </c>
      <c r="B7" s="551"/>
      <c r="C7" s="551"/>
      <c r="D7" s="551"/>
      <c r="E7" s="552"/>
      <c r="F7" s="553"/>
      <c r="G7" s="554" t="s">
        <v>1229</v>
      </c>
      <c r="H7" s="555"/>
    </row>
    <row r="8" spans="1:10" ht="15" customHeight="1" thickBot="1" x14ac:dyDescent="0.3">
      <c r="A8" s="5"/>
      <c r="B8" s="6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7" t="s">
        <v>49</v>
      </c>
      <c r="H8" s="7" t="s">
        <v>50</v>
      </c>
      <c r="I8" s="68" t="s">
        <v>313</v>
      </c>
      <c r="J8" s="35" t="s">
        <v>228</v>
      </c>
    </row>
    <row r="9" spans="1:10" ht="15" customHeight="1" thickBot="1" x14ac:dyDescent="0.3">
      <c r="A9" s="556" t="s">
        <v>51</v>
      </c>
      <c r="B9" s="8" t="s">
        <v>1228</v>
      </c>
      <c r="C9" s="9" t="s">
        <v>1227</v>
      </c>
      <c r="D9" s="10" t="s">
        <v>54</v>
      </c>
      <c r="E9" s="9">
        <v>1</v>
      </c>
      <c r="F9" s="11">
        <v>3</v>
      </c>
      <c r="G9" s="18">
        <f>$E$23*F9</f>
        <v>57</v>
      </c>
      <c r="H9" s="13">
        <f>ROUND(G9*$C$23/60,1)</f>
        <v>47.5</v>
      </c>
      <c r="I9" s="69" t="s">
        <v>20</v>
      </c>
      <c r="J9" s="69" t="s">
        <v>232</v>
      </c>
    </row>
    <row r="10" spans="1:10" ht="15" customHeight="1" thickBot="1" x14ac:dyDescent="0.3">
      <c r="A10" s="557"/>
      <c r="B10" s="371"/>
      <c r="C10" s="7"/>
      <c r="D10" s="7"/>
      <c r="E10" s="7"/>
      <c r="F10" s="7"/>
      <c r="G10" s="120"/>
      <c r="H10" s="370"/>
      <c r="I10" s="35"/>
      <c r="J10" s="35"/>
    </row>
    <row r="11" spans="1:10" ht="15" customHeight="1" thickBot="1" x14ac:dyDescent="0.3">
      <c r="A11" s="600">
        <v>2</v>
      </c>
      <c r="B11" s="369" t="s">
        <v>1226</v>
      </c>
      <c r="C11" s="15" t="s">
        <v>1225</v>
      </c>
      <c r="D11" s="16" t="s">
        <v>57</v>
      </c>
      <c r="E11" s="15">
        <v>1</v>
      </c>
      <c r="F11" s="17">
        <v>3</v>
      </c>
      <c r="G11" s="18">
        <f>$E$23*F11</f>
        <v>57</v>
      </c>
      <c r="H11" s="368">
        <f>ROUND(G11*$C$23/60,1)</f>
        <v>47.5</v>
      </c>
      <c r="I11" s="70" t="s">
        <v>20</v>
      </c>
      <c r="J11" s="70" t="s">
        <v>232</v>
      </c>
    </row>
    <row r="12" spans="1:10" ht="15" customHeight="1" thickBot="1" x14ac:dyDescent="0.3">
      <c r="A12" s="601"/>
      <c r="B12" s="371"/>
      <c r="C12" s="7"/>
      <c r="D12" s="7"/>
      <c r="E12" s="7"/>
      <c r="F12" s="7"/>
      <c r="G12" s="120"/>
      <c r="H12" s="370"/>
      <c r="I12" s="35"/>
      <c r="J12" s="35"/>
    </row>
    <row r="13" spans="1:10" ht="24.75" customHeight="1" x14ac:dyDescent="0.25">
      <c r="A13" s="602">
        <v>3</v>
      </c>
      <c r="B13" s="369" t="s">
        <v>1224</v>
      </c>
      <c r="C13" s="15" t="s">
        <v>1223</v>
      </c>
      <c r="D13" s="16" t="s">
        <v>57</v>
      </c>
      <c r="E13" s="15">
        <v>1</v>
      </c>
      <c r="F13" s="17">
        <v>3</v>
      </c>
      <c r="G13" s="18">
        <f>$E$23*F13</f>
        <v>57</v>
      </c>
      <c r="H13" s="368">
        <f>ROUND(G13*$C$23/60,1)</f>
        <v>47.5</v>
      </c>
      <c r="I13" s="70" t="s">
        <v>20</v>
      </c>
      <c r="J13" s="70" t="s">
        <v>232</v>
      </c>
    </row>
    <row r="14" spans="1:10" ht="27" customHeight="1" x14ac:dyDescent="0.25">
      <c r="A14" s="603"/>
      <c r="B14" s="369"/>
      <c r="C14" s="15"/>
      <c r="D14" s="16"/>
      <c r="E14" s="15"/>
      <c r="F14" s="17"/>
      <c r="G14" s="18"/>
      <c r="H14" s="368"/>
      <c r="I14" s="70"/>
      <c r="J14" s="70"/>
    </row>
    <row r="15" spans="1:10" ht="15" customHeight="1" x14ac:dyDescent="0.25">
      <c r="A15" s="557">
        <v>4</v>
      </c>
      <c r="B15" s="369" t="s">
        <v>1222</v>
      </c>
      <c r="C15" s="15" t="s">
        <v>1221</v>
      </c>
      <c r="D15" s="16" t="s">
        <v>57</v>
      </c>
      <c r="E15" s="15">
        <v>1</v>
      </c>
      <c r="F15" s="17">
        <v>3</v>
      </c>
      <c r="G15" s="18">
        <f>$E$23*F15</f>
        <v>57</v>
      </c>
      <c r="H15" s="368">
        <f>ROUND(G15*$C$23/60,1)</f>
        <v>47.5</v>
      </c>
      <c r="I15" s="70" t="s">
        <v>20</v>
      </c>
      <c r="J15" s="70" t="s">
        <v>232</v>
      </c>
    </row>
    <row r="16" spans="1:10" ht="15.75" thickBot="1" x14ac:dyDescent="0.3">
      <c r="A16" s="558"/>
      <c r="B16" s="369"/>
      <c r="C16" s="15"/>
      <c r="D16" s="16"/>
      <c r="E16" s="15"/>
      <c r="F16" s="17"/>
      <c r="G16" s="18"/>
      <c r="H16" s="368"/>
      <c r="I16" s="70"/>
      <c r="J16" s="70"/>
    </row>
    <row r="17" spans="1:8" ht="17.25" thickBot="1" x14ac:dyDescent="0.3">
      <c r="A17" s="546" t="s">
        <v>211</v>
      </c>
      <c r="B17" s="546"/>
      <c r="C17" s="546"/>
      <c r="D17" s="546"/>
      <c r="E17" s="546"/>
      <c r="F17" s="546"/>
      <c r="G17" s="28">
        <f>SUM(G9:G16)</f>
        <v>228</v>
      </c>
      <c r="H17" s="26"/>
    </row>
    <row r="18" spans="1:8" ht="17.25" thickBot="1" x14ac:dyDescent="0.3">
      <c r="A18" s="546" t="s">
        <v>212</v>
      </c>
      <c r="B18" s="546"/>
      <c r="C18" s="546"/>
      <c r="D18" s="546"/>
      <c r="E18" s="546"/>
      <c r="F18" s="546"/>
      <c r="G18" s="546"/>
      <c r="H18" s="27">
        <f>SUM(H9:H16)</f>
        <v>190</v>
      </c>
    </row>
    <row r="19" spans="1:8" ht="15.75" thickBot="1" x14ac:dyDescent="0.3">
      <c r="A19" s="546" t="s">
        <v>213</v>
      </c>
      <c r="B19" s="546"/>
      <c r="C19" s="546"/>
      <c r="D19" s="546"/>
      <c r="E19" s="546"/>
      <c r="F19" s="546"/>
      <c r="G19" s="546"/>
      <c r="H19" s="26">
        <v>0</v>
      </c>
    </row>
    <row r="20" spans="1:8" ht="15.75" thickBot="1" x14ac:dyDescent="0.3">
      <c r="A20" s="547" t="s">
        <v>214</v>
      </c>
      <c r="B20" s="547"/>
      <c r="C20" s="547"/>
      <c r="D20" s="547"/>
      <c r="E20" s="547"/>
      <c r="F20" s="547"/>
      <c r="G20" s="547"/>
      <c r="H20" s="26">
        <v>0</v>
      </c>
    </row>
    <row r="21" spans="1:8" ht="15.75" thickBot="1" x14ac:dyDescent="0.3">
      <c r="A21" s="545" t="s">
        <v>215</v>
      </c>
      <c r="B21" s="545"/>
      <c r="C21" s="545"/>
      <c r="D21" s="545"/>
      <c r="E21" s="545"/>
      <c r="F21" s="545"/>
      <c r="G21" s="545"/>
      <c r="H21" s="27">
        <f>SUM(H18:H20)</f>
        <v>190</v>
      </c>
    </row>
    <row r="22" spans="1:8" ht="15.75" thickBot="1" x14ac:dyDescent="0.3">
      <c r="A22" s="545" t="s">
        <v>219</v>
      </c>
      <c r="B22" s="545"/>
      <c r="C22" s="545"/>
      <c r="D22" s="545"/>
      <c r="E22" s="545"/>
      <c r="F22" s="545"/>
      <c r="G22" s="545"/>
      <c r="H22" s="27">
        <f>SUM(H21:H21)</f>
        <v>190</v>
      </c>
    </row>
    <row r="23" spans="1:8" ht="15.75" thickBot="1" x14ac:dyDescent="0.3">
      <c r="A23" s="30"/>
      <c r="B23" s="31" t="s">
        <v>220</v>
      </c>
      <c r="C23" s="32">
        <v>50</v>
      </c>
      <c r="D23" s="33" t="s">
        <v>221</v>
      </c>
      <c r="E23" s="32">
        <v>19</v>
      </c>
      <c r="F23" s="33" t="s">
        <v>222</v>
      </c>
      <c r="G23" s="33"/>
      <c r="H23" s="34"/>
    </row>
  </sheetData>
  <mergeCells count="20">
    <mergeCell ref="G6:H6"/>
    <mergeCell ref="A1:F1"/>
    <mergeCell ref="G1:H5"/>
    <mergeCell ref="A2:F2"/>
    <mergeCell ref="A3:F3"/>
    <mergeCell ref="A4:F4"/>
    <mergeCell ref="A5:F5"/>
    <mergeCell ref="A19:G19"/>
    <mergeCell ref="A20:G20"/>
    <mergeCell ref="A21:G21"/>
    <mergeCell ref="A22:G22"/>
    <mergeCell ref="A7:D7"/>
    <mergeCell ref="E7:F7"/>
    <mergeCell ref="G7:H7"/>
    <mergeCell ref="A17:F17"/>
    <mergeCell ref="A18:G18"/>
    <mergeCell ref="A11:A12"/>
    <mergeCell ref="A9:A10"/>
    <mergeCell ref="A15:A16"/>
    <mergeCell ref="A13:A14"/>
  </mergeCells>
  <dataValidations count="2">
    <dataValidation type="list" allowBlank="1" showInputMessage="1" showErrorMessage="1" sqref="I24:I1048576 I11 I9 I13:I16" xr:uid="{00000000-0002-0000-2900-000000000000}">
      <formula1>Áreas</formula1>
    </dataValidation>
    <dataValidation type="list" allowBlank="1" showInputMessage="1" showErrorMessage="1" sqref="J11 J9 J13:J1048576" xr:uid="{00000000-0002-0000-2900-000001000000}">
      <formula1>Ambientes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2"/>
  <dimension ref="A1:T300"/>
  <sheetViews>
    <sheetView workbookViewId="0">
      <pane xSplit="7" ySplit="2" topLeftCell="H3" activePane="bottomRight" state="frozen"/>
      <selection pane="topRight" activeCell="F1" sqref="F1"/>
      <selection pane="bottomLeft" activeCell="A3" sqref="A3"/>
      <selection pane="bottomRight" activeCell="F1" sqref="F1"/>
    </sheetView>
  </sheetViews>
  <sheetFormatPr defaultRowHeight="15" x14ac:dyDescent="0.25"/>
  <cols>
    <col min="1" max="1" width="19.42578125" customWidth="1"/>
    <col min="2" max="4" width="7" customWidth="1"/>
    <col min="5" max="5" width="4.140625" customWidth="1"/>
    <col min="7" max="7" width="62" bestFit="1" customWidth="1"/>
    <col min="8" max="8" width="19.85546875" bestFit="1" customWidth="1"/>
    <col min="9" max="9" width="29" customWidth="1"/>
    <col min="10" max="10" width="28.42578125" customWidth="1"/>
    <col min="11" max="11" width="22.85546875" customWidth="1"/>
    <col min="12" max="12" width="10.7109375" customWidth="1"/>
    <col min="13" max="13" width="31.85546875" customWidth="1"/>
    <col min="14" max="14" width="30.7109375" style="88" customWidth="1"/>
    <col min="15" max="15" width="12.28515625" style="88" customWidth="1"/>
    <col min="16" max="16" width="27.140625" customWidth="1"/>
    <col min="17" max="17" width="9.140625" customWidth="1"/>
    <col min="18" max="18" width="12" style="219" customWidth="1"/>
    <col min="19" max="19" width="14.85546875" customWidth="1"/>
    <col min="20" max="20" width="9.140625" style="219"/>
  </cols>
  <sheetData>
    <row r="1" spans="1:20" ht="20.25" thickBot="1" x14ac:dyDescent="0.35">
      <c r="A1" s="1" t="s">
        <v>4</v>
      </c>
      <c r="B1" s="1" t="s">
        <v>1261</v>
      </c>
      <c r="C1" s="1" t="s">
        <v>1260</v>
      </c>
      <c r="D1" s="1" t="s">
        <v>1262</v>
      </c>
      <c r="G1" s="1" t="s">
        <v>22</v>
      </c>
    </row>
    <row r="2" spans="1:20" ht="18.75" thickTop="1" thickBot="1" x14ac:dyDescent="0.35">
      <c r="F2" s="102" t="s">
        <v>475</v>
      </c>
      <c r="G2" s="100" t="s">
        <v>23</v>
      </c>
      <c r="H2" s="100" t="s">
        <v>24</v>
      </c>
      <c r="I2" s="100" t="s">
        <v>32</v>
      </c>
      <c r="J2" s="100" t="s">
        <v>444</v>
      </c>
      <c r="K2" s="100" t="s">
        <v>31</v>
      </c>
      <c r="L2" s="100" t="s">
        <v>28</v>
      </c>
      <c r="M2" s="100" t="s">
        <v>27</v>
      </c>
      <c r="N2" s="101" t="s">
        <v>25</v>
      </c>
      <c r="O2" s="101" t="s">
        <v>226</v>
      </c>
      <c r="P2" s="100" t="s">
        <v>26</v>
      </c>
      <c r="Q2" s="100" t="s">
        <v>1130</v>
      </c>
      <c r="R2" s="221" t="s">
        <v>1131</v>
      </c>
      <c r="S2" s="102" t="s">
        <v>1127</v>
      </c>
      <c r="T2" s="220" t="s">
        <v>1128</v>
      </c>
    </row>
    <row r="3" spans="1:20" ht="16.5" thickTop="1" thickBot="1" x14ac:dyDescent="0.3">
      <c r="A3" t="s">
        <v>12</v>
      </c>
      <c r="B3">
        <f>D3-C3*4/12</f>
        <v>1</v>
      </c>
      <c r="C3">
        <v>0</v>
      </c>
      <c r="D3">
        <v>1</v>
      </c>
      <c r="F3" t="s">
        <v>708</v>
      </c>
      <c r="G3" s="91" t="s">
        <v>1310</v>
      </c>
      <c r="H3" s="91" t="s">
        <v>1233</v>
      </c>
      <c r="I3" s="91" t="s">
        <v>34</v>
      </c>
      <c r="J3" s="91" t="s">
        <v>446</v>
      </c>
      <c r="K3" s="91" t="s">
        <v>34</v>
      </c>
      <c r="L3" s="91">
        <v>4</v>
      </c>
      <c r="M3" s="91">
        <v>40</v>
      </c>
      <c r="N3" s="92">
        <v>44593</v>
      </c>
      <c r="O3" s="92">
        <v>44593</v>
      </c>
      <c r="P3" s="91" t="s">
        <v>1303</v>
      </c>
      <c r="Q3">
        <v>380</v>
      </c>
      <c r="R3" s="219">
        <f>IF(ListaDeCursos[[#This Row],[Tipo ]]="FIC",ListaDeCursos[[#This Row],[Carga horária mínima]]/(800*0.5*ListaDeCursos[[#This Row],[Duração]]),1)</f>
        <v>1</v>
      </c>
      <c r="S3">
        <v>1</v>
      </c>
      <c r="T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4" spans="1:20" ht="16.5" thickTop="1" thickBot="1" x14ac:dyDescent="0.3">
      <c r="A4" t="s">
        <v>20</v>
      </c>
      <c r="B4">
        <f t="shared" ref="B4:B22" si="0">D4-C4*4/12</f>
        <v>12</v>
      </c>
      <c r="C4">
        <v>0</v>
      </c>
      <c r="D4">
        <v>12</v>
      </c>
      <c r="F4" t="s">
        <v>708</v>
      </c>
      <c r="G4" s="91" t="s">
        <v>1304</v>
      </c>
      <c r="H4" s="91" t="s">
        <v>1233</v>
      </c>
      <c r="I4" s="91" t="s">
        <v>34</v>
      </c>
      <c r="J4" s="91" t="s">
        <v>446</v>
      </c>
      <c r="K4" s="91" t="s">
        <v>34</v>
      </c>
      <c r="L4" s="91">
        <v>4</v>
      </c>
      <c r="M4" s="91">
        <v>40</v>
      </c>
      <c r="N4" s="92">
        <v>45323</v>
      </c>
      <c r="O4" s="92">
        <v>45323</v>
      </c>
      <c r="P4" s="91" t="s">
        <v>1303</v>
      </c>
      <c r="Q4">
        <v>380</v>
      </c>
      <c r="R4" s="219">
        <f>IF(ListaDeCursos[[#This Row],[Tipo ]]="FIC",ListaDeCursos[[#This Row],[Carga horária mínima]]/(800*0.5*ListaDeCursos[[#This Row],[Duração]]),1)</f>
        <v>1</v>
      </c>
      <c r="S4">
        <v>1</v>
      </c>
      <c r="T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5" spans="1:20" ht="16.5" thickTop="1" thickBot="1" x14ac:dyDescent="0.3">
      <c r="A5" t="s">
        <v>5</v>
      </c>
      <c r="B5">
        <f t="shared" si="0"/>
        <v>2</v>
      </c>
      <c r="C5">
        <v>0</v>
      </c>
      <c r="D5">
        <v>2</v>
      </c>
      <c r="F5" t="s">
        <v>708</v>
      </c>
      <c r="G5" s="91" t="s">
        <v>1306</v>
      </c>
      <c r="H5" s="91" t="s">
        <v>1233</v>
      </c>
      <c r="I5" s="91" t="s">
        <v>34</v>
      </c>
      <c r="J5" s="91" t="s">
        <v>446</v>
      </c>
      <c r="K5" s="91" t="s">
        <v>34</v>
      </c>
      <c r="L5" s="91">
        <v>4</v>
      </c>
      <c r="M5" s="91">
        <v>40</v>
      </c>
      <c r="N5" s="92">
        <v>46054</v>
      </c>
      <c r="O5" s="92">
        <v>46054</v>
      </c>
      <c r="P5" s="91" t="s">
        <v>1303</v>
      </c>
      <c r="Q5">
        <v>380</v>
      </c>
      <c r="R5" s="219">
        <f>IF(ListaDeCursos[[#This Row],[Tipo ]]="FIC",ListaDeCursos[[#This Row],[Carga horária mínima]]/(800*0.5*ListaDeCursos[[#This Row],[Duração]]),1)</f>
        <v>1</v>
      </c>
      <c r="S5">
        <v>1</v>
      </c>
      <c r="T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6" spans="1:20" ht="15.75" thickTop="1" x14ac:dyDescent="0.25">
      <c r="A6" t="s">
        <v>13</v>
      </c>
      <c r="B6">
        <f t="shared" si="0"/>
        <v>2</v>
      </c>
      <c r="C6">
        <v>0</v>
      </c>
      <c r="D6">
        <v>2</v>
      </c>
      <c r="F6" t="s">
        <v>708</v>
      </c>
      <c r="G6" s="91" t="s">
        <v>1308</v>
      </c>
      <c r="H6" s="91" t="s">
        <v>1233</v>
      </c>
      <c r="I6" s="91" t="s">
        <v>34</v>
      </c>
      <c r="J6" s="91" t="s">
        <v>446</v>
      </c>
      <c r="K6" s="91" t="s">
        <v>34</v>
      </c>
      <c r="L6" s="91">
        <v>4</v>
      </c>
      <c r="M6" s="91">
        <v>40</v>
      </c>
      <c r="N6" s="92">
        <v>46784</v>
      </c>
      <c r="O6" s="92">
        <v>46784</v>
      </c>
      <c r="P6" s="91" t="s">
        <v>1303</v>
      </c>
      <c r="Q6">
        <v>380</v>
      </c>
      <c r="R6" s="219">
        <f>IF(ListaDeCursos[[#This Row],[Tipo ]]="FIC",ListaDeCursos[[#This Row],[Carga horária mínima]]/(800*0.5*ListaDeCursos[[#This Row],[Duração]]),1)</f>
        <v>1</v>
      </c>
      <c r="S6">
        <v>1</v>
      </c>
      <c r="T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7" spans="1:20" x14ac:dyDescent="0.25">
      <c r="A7" t="s">
        <v>17</v>
      </c>
      <c r="B7">
        <f t="shared" si="0"/>
        <v>2</v>
      </c>
      <c r="C7">
        <v>0</v>
      </c>
      <c r="D7">
        <v>2</v>
      </c>
      <c r="F7" s="89"/>
      <c r="G7" s="89"/>
      <c r="H7" s="89"/>
      <c r="I7" s="89"/>
      <c r="J7" s="89"/>
      <c r="K7" s="89"/>
      <c r="L7" s="89"/>
      <c r="M7" s="89"/>
      <c r="N7" s="90"/>
      <c r="O7" s="90"/>
      <c r="P7" s="89"/>
      <c r="R7" s="219">
        <f>IF(ListaDeCursos[[#This Row],[Tipo ]]="FIC",ListaDeCursos[[#This Row],[Carga horária mínima]]/(800*0.5*ListaDeCursos[[#This Row],[Duração]]),1)</f>
        <v>1</v>
      </c>
      <c r="S7" s="89"/>
    </row>
    <row r="8" spans="1:20" x14ac:dyDescent="0.25">
      <c r="A8" t="s">
        <v>8</v>
      </c>
      <c r="B8">
        <f t="shared" si="0"/>
        <v>1</v>
      </c>
      <c r="C8">
        <v>0</v>
      </c>
      <c r="D8">
        <v>1</v>
      </c>
      <c r="F8" t="s">
        <v>708</v>
      </c>
      <c r="G8" s="89" t="s">
        <v>1311</v>
      </c>
      <c r="H8" s="89" t="s">
        <v>1233</v>
      </c>
      <c r="I8" s="89" t="s">
        <v>34</v>
      </c>
      <c r="J8" s="89" t="s">
        <v>446</v>
      </c>
      <c r="K8" s="89" t="s">
        <v>34</v>
      </c>
      <c r="L8" s="89">
        <v>4</v>
      </c>
      <c r="M8" s="89">
        <v>30</v>
      </c>
      <c r="N8" s="90">
        <v>44410</v>
      </c>
      <c r="O8" s="90">
        <v>44410</v>
      </c>
      <c r="P8" s="89" t="s">
        <v>1153</v>
      </c>
      <c r="Q8">
        <v>380</v>
      </c>
      <c r="R8" s="219">
        <f>IF(ListaDeCursos[[#This Row],[Tipo ]]="FIC",ListaDeCursos[[#This Row],[Carga horária mínima]]/(800*0.5*ListaDeCursos[[#This Row],[Duração]]),1)</f>
        <v>1</v>
      </c>
      <c r="S8" s="89">
        <v>1</v>
      </c>
      <c r="T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9" spans="1:20" x14ac:dyDescent="0.25">
      <c r="A9" t="s">
        <v>6</v>
      </c>
      <c r="B9">
        <f t="shared" si="0"/>
        <v>2</v>
      </c>
      <c r="C9">
        <v>0</v>
      </c>
      <c r="D9">
        <v>2</v>
      </c>
      <c r="F9" t="s">
        <v>708</v>
      </c>
      <c r="G9" s="89" t="s">
        <v>1305</v>
      </c>
      <c r="H9" s="89" t="s">
        <v>1233</v>
      </c>
      <c r="I9" s="89" t="s">
        <v>34</v>
      </c>
      <c r="J9" s="89" t="s">
        <v>446</v>
      </c>
      <c r="K9" s="89" t="s">
        <v>34</v>
      </c>
      <c r="L9" s="89">
        <v>4</v>
      </c>
      <c r="M9" s="89">
        <v>40</v>
      </c>
      <c r="N9" s="90">
        <v>45139</v>
      </c>
      <c r="O9" s="90">
        <v>45139</v>
      </c>
      <c r="P9" s="89" t="s">
        <v>1153</v>
      </c>
      <c r="Q9">
        <v>380</v>
      </c>
      <c r="R9" s="219">
        <f>IF(ListaDeCursos[[#This Row],[Tipo ]]="FIC",ListaDeCursos[[#This Row],[Carga horária mínima]]/(800*0.5*ListaDeCursos[[#This Row],[Duração]]),1)</f>
        <v>1</v>
      </c>
      <c r="S9" s="89">
        <v>1</v>
      </c>
      <c r="T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10" spans="1:20" x14ac:dyDescent="0.25">
      <c r="A10" t="s">
        <v>10</v>
      </c>
      <c r="B10">
        <f t="shared" si="0"/>
        <v>1</v>
      </c>
      <c r="C10">
        <v>0</v>
      </c>
      <c r="D10">
        <v>1</v>
      </c>
      <c r="F10" t="s">
        <v>708</v>
      </c>
      <c r="G10" s="89" t="s">
        <v>1307</v>
      </c>
      <c r="H10" s="89" t="s">
        <v>1233</v>
      </c>
      <c r="I10" s="89" t="s">
        <v>34</v>
      </c>
      <c r="J10" s="89" t="s">
        <v>446</v>
      </c>
      <c r="K10" s="89" t="s">
        <v>34</v>
      </c>
      <c r="L10" s="89">
        <v>4</v>
      </c>
      <c r="M10" s="89">
        <v>40</v>
      </c>
      <c r="N10" s="90">
        <v>45870</v>
      </c>
      <c r="O10" s="90">
        <v>45870</v>
      </c>
      <c r="P10" s="89" t="s">
        <v>1153</v>
      </c>
      <c r="Q10">
        <v>380</v>
      </c>
      <c r="R10" s="219">
        <f>IF(ListaDeCursos[[#This Row],[Tipo ]]="FIC",ListaDeCursos[[#This Row],[Carga horária mínima]]/(800*0.5*ListaDeCursos[[#This Row],[Duração]]),1)</f>
        <v>1</v>
      </c>
      <c r="S10" s="89">
        <v>1</v>
      </c>
      <c r="T1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11" spans="1:20" x14ac:dyDescent="0.25">
      <c r="A11" t="s">
        <v>315</v>
      </c>
      <c r="B11">
        <f t="shared" si="0"/>
        <v>1</v>
      </c>
      <c r="C11">
        <v>0</v>
      </c>
      <c r="D11">
        <v>1</v>
      </c>
      <c r="F11" t="s">
        <v>708</v>
      </c>
      <c r="G11" s="89" t="s">
        <v>1309</v>
      </c>
      <c r="H11" s="89" t="s">
        <v>1233</v>
      </c>
      <c r="I11" s="89" t="s">
        <v>34</v>
      </c>
      <c r="J11" s="89" t="s">
        <v>446</v>
      </c>
      <c r="K11" s="89" t="s">
        <v>34</v>
      </c>
      <c r="L11" s="89">
        <v>4</v>
      </c>
      <c r="M11" s="89">
        <v>40</v>
      </c>
      <c r="N11" s="90">
        <v>46600</v>
      </c>
      <c r="O11" s="90">
        <v>46600</v>
      </c>
      <c r="P11" s="89" t="s">
        <v>1153</v>
      </c>
      <c r="Q11">
        <v>380</v>
      </c>
      <c r="R11" s="219">
        <f>IF(ListaDeCursos[[#This Row],[Tipo ]]="FIC",ListaDeCursos[[#This Row],[Carga horária mínima]]/(800*0.5*ListaDeCursos[[#This Row],[Duração]]),1)</f>
        <v>1</v>
      </c>
      <c r="S11">
        <v>1</v>
      </c>
      <c r="T1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12" spans="1:20" x14ac:dyDescent="0.25">
      <c r="A12" t="s">
        <v>9</v>
      </c>
      <c r="B12">
        <f t="shared" si="0"/>
        <v>2</v>
      </c>
      <c r="C12">
        <v>0</v>
      </c>
      <c r="D12">
        <v>2</v>
      </c>
      <c r="F12" t="s">
        <v>708</v>
      </c>
      <c r="G12" s="89" t="s">
        <v>1312</v>
      </c>
      <c r="H12" s="89" t="s">
        <v>1233</v>
      </c>
      <c r="I12" s="89" t="s">
        <v>34</v>
      </c>
      <c r="J12" s="89" t="s">
        <v>446</v>
      </c>
      <c r="K12" s="89" t="s">
        <v>34</v>
      </c>
      <c r="L12" s="89">
        <v>4</v>
      </c>
      <c r="M12" s="89">
        <v>40</v>
      </c>
      <c r="N12" s="90">
        <v>47331</v>
      </c>
      <c r="O12" s="90">
        <v>47331</v>
      </c>
      <c r="P12" s="89" t="s">
        <v>1153</v>
      </c>
      <c r="Q12">
        <v>380</v>
      </c>
      <c r="R12" s="219">
        <f>IF(ListaDeCursos[[#This Row],[Tipo ]]="FIC",ListaDeCursos[[#This Row],[Carga horária mínima]]/(800*0.5*ListaDeCursos[[#This Row],[Duração]]),1)</f>
        <v>1</v>
      </c>
      <c r="S12">
        <v>1</v>
      </c>
      <c r="T1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1.6666666666666667</v>
      </c>
    </row>
    <row r="13" spans="1:20" x14ac:dyDescent="0.25">
      <c r="A13" t="s">
        <v>1213</v>
      </c>
      <c r="B13">
        <f t="shared" si="0"/>
        <v>6</v>
      </c>
      <c r="C13">
        <v>0</v>
      </c>
      <c r="D13">
        <v>6</v>
      </c>
      <c r="F13" s="89"/>
      <c r="G13" s="89"/>
      <c r="H13" s="89"/>
      <c r="I13" s="89"/>
      <c r="J13" s="89"/>
      <c r="K13" s="89"/>
      <c r="L13" s="89"/>
      <c r="M13" s="89"/>
      <c r="N13" s="90"/>
      <c r="O13" s="90"/>
      <c r="P13" s="89"/>
      <c r="R13" s="219">
        <f>IF(ListaDeCursos[[#This Row],[Tipo ]]="FIC",ListaDeCursos[[#This Row],[Carga horária mínima]]/(800*0.5*ListaDeCursos[[#This Row],[Duração]]),1)</f>
        <v>1</v>
      </c>
      <c r="S13" s="89"/>
      <c r="T13" s="375"/>
    </row>
    <row r="14" spans="1:20" x14ac:dyDescent="0.25">
      <c r="A14" t="s">
        <v>1189</v>
      </c>
      <c r="B14">
        <f t="shared" si="0"/>
        <v>11</v>
      </c>
      <c r="C14">
        <v>0</v>
      </c>
      <c r="D14">
        <v>11</v>
      </c>
      <c r="F14" t="s">
        <v>708</v>
      </c>
      <c r="G14" s="89" t="s">
        <v>442</v>
      </c>
      <c r="H14" s="89" t="s">
        <v>1132</v>
      </c>
      <c r="I14" s="89" t="s">
        <v>33</v>
      </c>
      <c r="J14" s="89" t="s">
        <v>446</v>
      </c>
      <c r="K14" s="89" t="s">
        <v>34</v>
      </c>
      <c r="L14" s="89">
        <v>8</v>
      </c>
      <c r="M14" s="89">
        <v>40</v>
      </c>
      <c r="N14" s="90">
        <v>42767</v>
      </c>
      <c r="O14" s="90">
        <v>44593</v>
      </c>
      <c r="P14" s="89" t="s">
        <v>1290</v>
      </c>
      <c r="Q14">
        <v>3200</v>
      </c>
      <c r="R14" s="219">
        <f>IF(ListaDeCursos[[#This Row],[Tipo ]]="FIC",ListaDeCursos[[#This Row],[Carga horária mínima]]/(800*0.5*ListaDeCursos[[#This Row],[Duração]]),1)</f>
        <v>1</v>
      </c>
      <c r="S14" s="89">
        <v>1.08</v>
      </c>
      <c r="T1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Formação",20/12,20/20))))</f>
        <v>1.1111111111111112</v>
      </c>
    </row>
    <row r="15" spans="1:20" x14ac:dyDescent="0.25">
      <c r="A15" t="s">
        <v>15</v>
      </c>
      <c r="B15">
        <f t="shared" si="0"/>
        <v>4</v>
      </c>
      <c r="C15">
        <v>0</v>
      </c>
      <c r="D15">
        <v>4</v>
      </c>
      <c r="F15" s="89"/>
      <c r="G15" s="89"/>
      <c r="H15" s="89"/>
      <c r="I15" s="89"/>
      <c r="J15" s="89"/>
      <c r="K15" s="89"/>
      <c r="L15" s="89"/>
      <c r="M15" s="89"/>
      <c r="N15" s="90"/>
      <c r="O15" s="90"/>
      <c r="P15" s="89"/>
      <c r="R15" s="219">
        <f>IF(ListaDeCursos[[#This Row],[Tipo ]]="FIC",ListaDeCursos[[#This Row],[Carga horária mínima]]/(800*0.5*ListaDeCursos[[#This Row],[Duração]]),1)</f>
        <v>1</v>
      </c>
      <c r="S15" s="89"/>
      <c r="T15" s="375"/>
    </row>
    <row r="16" spans="1:20" x14ac:dyDescent="0.25">
      <c r="A16" t="s">
        <v>16</v>
      </c>
      <c r="B16">
        <f t="shared" si="0"/>
        <v>1</v>
      </c>
      <c r="C16">
        <v>0</v>
      </c>
      <c r="D16">
        <v>1</v>
      </c>
      <c r="F16" t="s">
        <v>708</v>
      </c>
      <c r="G16" s="89" t="s">
        <v>1202</v>
      </c>
      <c r="H16" s="89" t="s">
        <v>1129</v>
      </c>
      <c r="I16" s="89" t="s">
        <v>33</v>
      </c>
      <c r="J16" s="89" t="s">
        <v>445</v>
      </c>
      <c r="K16" s="89" t="s">
        <v>34</v>
      </c>
      <c r="L16" s="89">
        <v>2</v>
      </c>
      <c r="M16" s="89">
        <v>40</v>
      </c>
      <c r="N16" s="90">
        <v>42401</v>
      </c>
      <c r="O16" s="90"/>
      <c r="P16" s="89" t="s">
        <v>1204</v>
      </c>
      <c r="Q16">
        <v>0</v>
      </c>
      <c r="R16" s="219">
        <f>IF(ListaDeCursos[[#This Row],[Tipo ]]="FIC",ListaDeCursos[[#This Row],[Carga horária mínima]]/(800*0.5*ListaDeCursos[[#This Row],[Duração]]),1)</f>
        <v>0</v>
      </c>
      <c r="S16" s="89">
        <v>0</v>
      </c>
      <c r="T1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" spans="1:20" x14ac:dyDescent="0.25">
      <c r="A17" t="s">
        <v>21</v>
      </c>
      <c r="B17">
        <f t="shared" si="0"/>
        <v>7.71</v>
      </c>
      <c r="C17">
        <v>0</v>
      </c>
      <c r="D17">
        <v>7.71</v>
      </c>
      <c r="F17" s="89"/>
      <c r="G17" s="89"/>
      <c r="H17" s="89"/>
      <c r="I17" s="89"/>
      <c r="J17" s="89"/>
      <c r="K17" s="89"/>
      <c r="L17" s="89"/>
      <c r="M17" s="89"/>
      <c r="N17" s="90"/>
      <c r="O17" s="90"/>
      <c r="P17" s="89"/>
      <c r="R17" s="219">
        <f>IF(ListaDeCursos[[#This Row],[Tipo ]]="FIC",ListaDeCursos[[#This Row],[Carga horária mínima]]/(800*0.5*ListaDeCursos[[#This Row],[Duração]]),1)</f>
        <v>1</v>
      </c>
      <c r="S17" s="89"/>
      <c r="T17" s="375"/>
    </row>
    <row r="18" spans="1:20" x14ac:dyDescent="0.25">
      <c r="A18" t="s">
        <v>19</v>
      </c>
      <c r="B18">
        <f t="shared" si="0"/>
        <v>12</v>
      </c>
      <c r="C18">
        <v>0</v>
      </c>
      <c r="D18">
        <v>12</v>
      </c>
      <c r="F18" t="s">
        <v>708</v>
      </c>
      <c r="G18" s="89" t="s">
        <v>325</v>
      </c>
      <c r="H18" s="89" t="s">
        <v>326</v>
      </c>
      <c r="I18" s="89" t="s">
        <v>34</v>
      </c>
      <c r="J18" s="89" t="s">
        <v>446</v>
      </c>
      <c r="K18" s="89" t="s">
        <v>34</v>
      </c>
      <c r="L18" s="89">
        <v>4</v>
      </c>
      <c r="M18" s="89">
        <v>40</v>
      </c>
      <c r="N18" s="90">
        <v>41671</v>
      </c>
      <c r="O18" s="90">
        <v>43862</v>
      </c>
      <c r="P18" s="89" t="s">
        <v>1259</v>
      </c>
      <c r="Q18">
        <v>1200</v>
      </c>
      <c r="R18" s="219">
        <f>IF(ListaDeCursos[[#This Row],[Tipo ]]="FIC",ListaDeCursos[[#This Row],[Carga horária mínima]]/(800*0.5*ListaDeCursos[[#This Row],[Duração]]),1)</f>
        <v>1</v>
      </c>
      <c r="S18" s="89">
        <v>1.27</v>
      </c>
      <c r="T1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" spans="1:20" x14ac:dyDescent="0.25">
      <c r="A19" t="s">
        <v>225</v>
      </c>
      <c r="B19">
        <f t="shared" si="0"/>
        <v>1</v>
      </c>
      <c r="C19">
        <v>0</v>
      </c>
      <c r="D19">
        <v>1</v>
      </c>
      <c r="F19" t="s">
        <v>708</v>
      </c>
      <c r="G19" s="89" t="s">
        <v>478</v>
      </c>
      <c r="H19" s="89" t="s">
        <v>326</v>
      </c>
      <c r="I19" s="89" t="s">
        <v>33</v>
      </c>
      <c r="J19" s="89" t="s">
        <v>446</v>
      </c>
      <c r="K19" s="89" t="s">
        <v>34</v>
      </c>
      <c r="L19" s="89">
        <v>4</v>
      </c>
      <c r="M19" s="89">
        <v>40</v>
      </c>
      <c r="N19" s="90">
        <v>44228</v>
      </c>
      <c r="O19" s="90">
        <v>44228</v>
      </c>
      <c r="P19" s="89" t="s">
        <v>1259</v>
      </c>
      <c r="Q19">
        <v>1200</v>
      </c>
      <c r="R19" s="219">
        <f>IF(ListaDeCursos[[#This Row],[Tipo ]]="FIC",ListaDeCursos[[#This Row],[Carga horária mínima]]/(800*0.5*ListaDeCursos[[#This Row],[Duração]]),1)</f>
        <v>1</v>
      </c>
      <c r="S19" s="89">
        <v>1.27</v>
      </c>
      <c r="T1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" spans="1:20" x14ac:dyDescent="0.25">
      <c r="A20" t="s">
        <v>14</v>
      </c>
      <c r="B20">
        <f t="shared" si="0"/>
        <v>6</v>
      </c>
      <c r="C20">
        <v>0</v>
      </c>
      <c r="D20">
        <v>6</v>
      </c>
      <c r="F20" s="89" t="s">
        <v>708</v>
      </c>
      <c r="G20" s="89" t="s">
        <v>1322</v>
      </c>
      <c r="H20" s="89" t="s">
        <v>326</v>
      </c>
      <c r="I20" s="89" t="s">
        <v>34</v>
      </c>
      <c r="J20" s="89" t="s">
        <v>446</v>
      </c>
      <c r="K20" s="89" t="s">
        <v>34</v>
      </c>
      <c r="L20" s="89">
        <v>4</v>
      </c>
      <c r="M20" s="89">
        <v>40</v>
      </c>
      <c r="N20" s="90">
        <v>44197</v>
      </c>
      <c r="O20" s="90">
        <v>44197</v>
      </c>
      <c r="P20" s="89" t="s">
        <v>1259</v>
      </c>
      <c r="Q20">
        <v>1200</v>
      </c>
      <c r="R20" s="219">
        <f>IF(ListaDeCursos[[#This Row],[Tipo ]]="FIC",ListaDeCursos[[#This Row],[Carga horária mínima]]/(800*0.5*ListaDeCursos[[#This Row],[Duração]]),1)</f>
        <v>1</v>
      </c>
      <c r="S20" s="89">
        <v>1.27</v>
      </c>
      <c r="T2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" spans="1:20" x14ac:dyDescent="0.25">
      <c r="A21" t="s">
        <v>7</v>
      </c>
      <c r="B21">
        <f t="shared" si="0"/>
        <v>2</v>
      </c>
      <c r="C21">
        <v>0</v>
      </c>
      <c r="D21">
        <v>2</v>
      </c>
      <c r="F21" t="s">
        <v>708</v>
      </c>
      <c r="G21" t="s">
        <v>1287</v>
      </c>
      <c r="H21" s="89" t="s">
        <v>326</v>
      </c>
      <c r="I21" t="s">
        <v>33</v>
      </c>
      <c r="J21" t="s">
        <v>446</v>
      </c>
      <c r="K21" t="s">
        <v>34</v>
      </c>
      <c r="L21">
        <v>4</v>
      </c>
      <c r="M21">
        <v>25</v>
      </c>
      <c r="N21" s="88">
        <v>44775</v>
      </c>
      <c r="O21" s="88">
        <v>44774</v>
      </c>
      <c r="P21" t="s">
        <v>1288</v>
      </c>
      <c r="Q21">
        <v>1200</v>
      </c>
      <c r="R21" s="219">
        <f>IF(ListaDeCursos[[#This Row],[Tipo ]]="FIC",ListaDeCursos[[#This Row],[Carga horária mínima]]/(800*0.5*ListaDeCursos[[#This Row],[Duração]]),1)</f>
        <v>1</v>
      </c>
      <c r="S21" s="89">
        <v>1.27</v>
      </c>
      <c r="T21" s="219">
        <v>1</v>
      </c>
    </row>
    <row r="22" spans="1:20" x14ac:dyDescent="0.25">
      <c r="A22" t="s">
        <v>11</v>
      </c>
      <c r="B22">
        <f t="shared" si="0"/>
        <v>1</v>
      </c>
      <c r="C22">
        <v>0</v>
      </c>
      <c r="D22">
        <v>1</v>
      </c>
      <c r="F22" t="s">
        <v>708</v>
      </c>
      <c r="G22" s="89" t="s">
        <v>533</v>
      </c>
      <c r="H22" s="89" t="s">
        <v>326</v>
      </c>
      <c r="I22" s="89" t="s">
        <v>34</v>
      </c>
      <c r="J22" s="89" t="s">
        <v>535</v>
      </c>
      <c r="K22" s="89" t="s">
        <v>34</v>
      </c>
      <c r="L22" s="89">
        <v>4</v>
      </c>
      <c r="M22" s="89">
        <v>40</v>
      </c>
      <c r="N22" s="90">
        <v>41306</v>
      </c>
      <c r="O22" s="90">
        <v>42401</v>
      </c>
      <c r="P22" s="89" t="s">
        <v>532</v>
      </c>
      <c r="Q22">
        <v>1200</v>
      </c>
      <c r="R22" s="219">
        <f>IF(ListaDeCursos[[#This Row],[Tipo ]]="FIC",ListaDeCursos[[#This Row],[Carga horária mínima]]/(800*0.5*ListaDeCursos[[#This Row],[Duração]]),1)</f>
        <v>1</v>
      </c>
      <c r="S22" s="89">
        <v>1.27</v>
      </c>
      <c r="T2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" spans="1:20" x14ac:dyDescent="0.25">
      <c r="F23" t="s">
        <v>708</v>
      </c>
      <c r="G23" s="89" t="s">
        <v>534</v>
      </c>
      <c r="H23" s="89" t="s">
        <v>326</v>
      </c>
      <c r="I23" s="89" t="s">
        <v>34</v>
      </c>
      <c r="J23" s="89" t="s">
        <v>446</v>
      </c>
      <c r="K23" s="89" t="s">
        <v>34</v>
      </c>
      <c r="L23" s="89">
        <v>4</v>
      </c>
      <c r="M23" s="89">
        <v>40</v>
      </c>
      <c r="N23" s="90">
        <v>41306</v>
      </c>
      <c r="O23" s="90">
        <v>42401</v>
      </c>
      <c r="P23" s="89" t="s">
        <v>532</v>
      </c>
      <c r="Q23">
        <v>1200</v>
      </c>
      <c r="R23" s="219">
        <f>IF(ListaDeCursos[[#This Row],[Tipo ]]="FIC",ListaDeCursos[[#This Row],[Carga horária mínima]]/(800*0.5*ListaDeCursos[[#This Row],[Duração]]),1)</f>
        <v>1</v>
      </c>
      <c r="S23" s="89">
        <v>1.27</v>
      </c>
      <c r="T2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" spans="1:20" x14ac:dyDescent="0.25">
      <c r="F24" t="s">
        <v>708</v>
      </c>
      <c r="G24" s="89" t="s">
        <v>573</v>
      </c>
      <c r="H24" s="89" t="s">
        <v>326</v>
      </c>
      <c r="I24" s="89" t="s">
        <v>34</v>
      </c>
      <c r="J24" s="89" t="s">
        <v>446</v>
      </c>
      <c r="K24" s="89" t="s">
        <v>34</v>
      </c>
      <c r="L24" s="89">
        <v>4</v>
      </c>
      <c r="M24" s="89">
        <v>40</v>
      </c>
      <c r="N24" s="90">
        <v>42583</v>
      </c>
      <c r="O24" s="90">
        <v>44044</v>
      </c>
      <c r="P24" s="89" t="s">
        <v>1273</v>
      </c>
      <c r="Q24">
        <v>1200</v>
      </c>
      <c r="R24" s="219">
        <f>IF(ListaDeCursos[[#This Row],[Tipo ]]="FIC",ListaDeCursos[[#This Row],[Carga horária mínima]]/(800*0.5*ListaDeCursos[[#This Row],[Duração]]),1)</f>
        <v>1</v>
      </c>
      <c r="S24" s="89">
        <v>1.27</v>
      </c>
      <c r="T2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" spans="1:20" ht="20.25" thickBot="1" x14ac:dyDescent="0.35">
      <c r="A25" s="1" t="s">
        <v>229</v>
      </c>
      <c r="F25" t="s">
        <v>708</v>
      </c>
      <c r="G25" s="89" t="s">
        <v>1274</v>
      </c>
      <c r="H25" s="89" t="s">
        <v>326</v>
      </c>
      <c r="I25" s="89" t="s">
        <v>34</v>
      </c>
      <c r="J25" s="89" t="s">
        <v>446</v>
      </c>
      <c r="K25" s="89" t="s">
        <v>34</v>
      </c>
      <c r="L25" s="89">
        <v>4</v>
      </c>
      <c r="M25" s="89">
        <v>40</v>
      </c>
      <c r="N25" s="90">
        <v>44410</v>
      </c>
      <c r="O25" s="90">
        <v>44410</v>
      </c>
      <c r="P25" s="89" t="s">
        <v>1273</v>
      </c>
      <c r="Q25">
        <v>1200</v>
      </c>
      <c r="R25" s="219">
        <f>IF(ListaDeCursos[[#This Row],[Tipo ]]="FIC",ListaDeCursos[[#This Row],[Carga horária mínima]]/(800*0.5*ListaDeCursos[[#This Row],[Duração]]),1)</f>
        <v>1</v>
      </c>
      <c r="S25" s="89">
        <v>1.27</v>
      </c>
      <c r="T2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" spans="1:20" ht="15.75" thickTop="1" x14ac:dyDescent="0.25">
      <c r="A26" t="s">
        <v>230</v>
      </c>
      <c r="B26">
        <v>12</v>
      </c>
      <c r="F26" s="89" t="s">
        <v>476</v>
      </c>
      <c r="G26" s="418" t="s">
        <v>574</v>
      </c>
      <c r="H26" s="89" t="s">
        <v>326</v>
      </c>
      <c r="I26" s="89" t="s">
        <v>33</v>
      </c>
      <c r="J26" s="89" t="s">
        <v>446</v>
      </c>
      <c r="K26" s="89" t="s">
        <v>34</v>
      </c>
      <c r="L26" s="89">
        <v>4</v>
      </c>
      <c r="M26" s="89">
        <v>40</v>
      </c>
      <c r="N26" s="90">
        <v>42408</v>
      </c>
      <c r="O26" s="90">
        <v>44958</v>
      </c>
      <c r="P26" s="89" t="s">
        <v>1273</v>
      </c>
      <c r="Q26">
        <v>1200</v>
      </c>
      <c r="R26" s="219">
        <f>IF(ListaDeCursos[[#This Row],[Tipo ]]="FIC",ListaDeCursos[[#This Row],[Carga horária mínima]]/(800*0.5*ListaDeCursos[[#This Row],[Duração]]),1)</f>
        <v>1</v>
      </c>
      <c r="S26" s="89">
        <v>1.27</v>
      </c>
      <c r="T26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" spans="1:20" x14ac:dyDescent="0.25">
      <c r="A27" t="s">
        <v>231</v>
      </c>
      <c r="B27">
        <v>7</v>
      </c>
      <c r="F27" t="s">
        <v>708</v>
      </c>
      <c r="G27" s="89" t="s">
        <v>701</v>
      </c>
      <c r="H27" s="89" t="s">
        <v>326</v>
      </c>
      <c r="I27" s="89" t="s">
        <v>33</v>
      </c>
      <c r="J27" s="89" t="s">
        <v>446</v>
      </c>
      <c r="K27" s="89" t="s">
        <v>34</v>
      </c>
      <c r="L27" s="89">
        <v>3</v>
      </c>
      <c r="M27" s="89">
        <v>40</v>
      </c>
      <c r="N27" s="90">
        <v>42948</v>
      </c>
      <c r="O27" s="90">
        <v>43838</v>
      </c>
      <c r="P27" s="89" t="s">
        <v>702</v>
      </c>
      <c r="Q27">
        <v>1000</v>
      </c>
      <c r="R27" s="219">
        <f>IF(ListaDeCursos[[#This Row],[Tipo ]]="FIC",ListaDeCursos[[#This Row],[Carga horária mínima]]/(800*0.5*ListaDeCursos[[#This Row],[Duração]]),1)</f>
        <v>1</v>
      </c>
      <c r="S27" s="89">
        <v>1.25</v>
      </c>
      <c r="T2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" spans="1:20" x14ac:dyDescent="0.25">
      <c r="A28" t="s">
        <v>232</v>
      </c>
      <c r="B28">
        <v>13</v>
      </c>
      <c r="F28" s="89" t="s">
        <v>708</v>
      </c>
      <c r="G28" s="89" t="s">
        <v>1285</v>
      </c>
      <c r="H28" s="89" t="s">
        <v>326</v>
      </c>
      <c r="I28" s="89" t="s">
        <v>34</v>
      </c>
      <c r="J28" s="89" t="s">
        <v>446</v>
      </c>
      <c r="K28" s="89" t="s">
        <v>34</v>
      </c>
      <c r="L28" s="89">
        <v>3</v>
      </c>
      <c r="M28" s="89">
        <v>40</v>
      </c>
      <c r="N28" s="90">
        <v>44197</v>
      </c>
      <c r="O28" s="90">
        <v>44197</v>
      </c>
      <c r="P28" s="89" t="s">
        <v>702</v>
      </c>
      <c r="Q28">
        <v>1000</v>
      </c>
      <c r="R28" s="219">
        <f>IF(ListaDeCursos[[#This Row],[Tipo ]]="FIC",ListaDeCursos[[#This Row],[Carga horária mínima]]/(800*0.5*ListaDeCursos[[#This Row],[Duração]]),1)</f>
        <v>1</v>
      </c>
      <c r="S28" s="89">
        <v>1.25</v>
      </c>
      <c r="T28" s="375">
        <v>1</v>
      </c>
    </row>
    <row r="29" spans="1:20" x14ac:dyDescent="0.25">
      <c r="A29" t="s">
        <v>233</v>
      </c>
      <c r="B29">
        <v>0</v>
      </c>
      <c r="F29" s="89" t="s">
        <v>708</v>
      </c>
      <c r="G29" s="89" t="s">
        <v>1286</v>
      </c>
      <c r="H29" s="89" t="s">
        <v>326</v>
      </c>
      <c r="I29" s="89" t="s">
        <v>33</v>
      </c>
      <c r="J29" s="89" t="s">
        <v>446</v>
      </c>
      <c r="K29" s="89" t="s">
        <v>34</v>
      </c>
      <c r="L29" s="89">
        <v>3</v>
      </c>
      <c r="M29" s="89">
        <v>40</v>
      </c>
      <c r="N29" s="90">
        <v>44775</v>
      </c>
      <c r="O29" s="90">
        <v>44774</v>
      </c>
      <c r="P29" s="89" t="s">
        <v>702</v>
      </c>
      <c r="Q29">
        <v>1000</v>
      </c>
      <c r="R29" s="219">
        <f>IF(ListaDeCursos[[#This Row],[Tipo ]]="FIC",ListaDeCursos[[#This Row],[Carga horária mínima]]/(800*0.5*ListaDeCursos[[#This Row],[Duração]]),1)</f>
        <v>1</v>
      </c>
      <c r="S29" s="89">
        <v>1.25</v>
      </c>
      <c r="T29" s="375">
        <v>1</v>
      </c>
    </row>
    <row r="30" spans="1:20" x14ac:dyDescent="0.25">
      <c r="A30" t="s">
        <v>316</v>
      </c>
      <c r="F30" s="89" t="s">
        <v>708</v>
      </c>
      <c r="G30" s="89" t="s">
        <v>1289</v>
      </c>
      <c r="H30" s="89" t="s">
        <v>326</v>
      </c>
      <c r="I30" s="89" t="s">
        <v>34</v>
      </c>
      <c r="J30" s="89" t="s">
        <v>446</v>
      </c>
      <c r="K30" s="89" t="s">
        <v>34</v>
      </c>
      <c r="L30" s="89">
        <v>3</v>
      </c>
      <c r="M30" s="89">
        <v>25</v>
      </c>
      <c r="N30" s="90">
        <v>44781</v>
      </c>
      <c r="O30" s="90"/>
      <c r="P30" s="89" t="s">
        <v>1271</v>
      </c>
      <c r="Q30">
        <v>1000</v>
      </c>
      <c r="R30" s="219">
        <f>IF(ListaDeCursos[[#This Row],[Tipo ]]="FIC",ListaDeCursos[[#This Row],[Carga horária mínima]]/(800*0.5*ListaDeCursos[[#This Row],[Duração]]),1)</f>
        <v>1</v>
      </c>
      <c r="S30" s="89">
        <v>1.25</v>
      </c>
      <c r="T30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1" spans="1:20" x14ac:dyDescent="0.25">
      <c r="A31" t="s">
        <v>575</v>
      </c>
      <c r="B31">
        <v>1</v>
      </c>
      <c r="F31" s="89"/>
      <c r="G31" s="89"/>
      <c r="H31" s="89"/>
      <c r="I31" s="89"/>
      <c r="J31" s="89"/>
      <c r="K31" s="89"/>
      <c r="L31" s="89"/>
      <c r="M31" s="89"/>
      <c r="N31" s="90"/>
      <c r="O31" s="90"/>
      <c r="P31" s="89"/>
      <c r="R31" s="219">
        <f>IF(ListaDeCursos[[#This Row],[Tipo ]]="FIC",ListaDeCursos[[#This Row],[Carga horária mínima]]/(800*0.5*ListaDeCursos[[#This Row],[Duração]]),1)</f>
        <v>1</v>
      </c>
      <c r="S31" s="89"/>
      <c r="T31" s="375"/>
    </row>
    <row r="32" spans="1:20" x14ac:dyDescent="0.25">
      <c r="F32" t="s">
        <v>708</v>
      </c>
      <c r="G32" s="89" t="s">
        <v>1201</v>
      </c>
      <c r="H32" s="89" t="s">
        <v>1129</v>
      </c>
      <c r="I32" s="89" t="s">
        <v>33</v>
      </c>
      <c r="J32" s="89" t="s">
        <v>445</v>
      </c>
      <c r="K32" s="89" t="s">
        <v>33</v>
      </c>
      <c r="L32" s="89">
        <v>3</v>
      </c>
      <c r="M32" s="89">
        <v>40</v>
      </c>
      <c r="N32" s="90">
        <v>42401</v>
      </c>
      <c r="O32" s="90"/>
      <c r="P32" s="89" t="s">
        <v>1203</v>
      </c>
      <c r="Q32">
        <v>0</v>
      </c>
      <c r="R32" s="219">
        <f>IF(ListaDeCursos[[#This Row],[Tipo ]]="FIC",ListaDeCursos[[#This Row],[Carga horária mínima]]/(800*0.5*ListaDeCursos[[#This Row],[Duração]]),1)</f>
        <v>0</v>
      </c>
      <c r="S32" s="89">
        <v>0</v>
      </c>
      <c r="T3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3" spans="6:20" x14ac:dyDescent="0.25">
      <c r="F33" t="s">
        <v>708</v>
      </c>
      <c r="G33" s="89" t="s">
        <v>471</v>
      </c>
      <c r="H33" s="89" t="s">
        <v>235</v>
      </c>
      <c r="I33" s="89" t="s">
        <v>33</v>
      </c>
      <c r="J33" s="89" t="s">
        <v>445</v>
      </c>
      <c r="K33" s="89" t="s">
        <v>33</v>
      </c>
      <c r="L33" s="89">
        <v>3</v>
      </c>
      <c r="M33" s="89">
        <v>40</v>
      </c>
      <c r="N33" s="90">
        <v>42401</v>
      </c>
      <c r="O33" s="90">
        <v>43132</v>
      </c>
      <c r="P33" s="89" t="s">
        <v>472</v>
      </c>
      <c r="Q33">
        <v>3200</v>
      </c>
      <c r="R33" s="219">
        <f>IF(ListaDeCursos[[#This Row],[Tipo ]]="FIC",ListaDeCursos[[#This Row],[Carga horária mínima]]/(800*0.5*ListaDeCursos[[#This Row],[Duração]]),1)</f>
        <v>1</v>
      </c>
      <c r="S33" s="89">
        <v>1.1830000000000001</v>
      </c>
      <c r="T3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4" spans="6:20" x14ac:dyDescent="0.25">
      <c r="F34" t="s">
        <v>708</v>
      </c>
      <c r="G34" s="89" t="s">
        <v>1125</v>
      </c>
      <c r="H34" s="89" t="s">
        <v>235</v>
      </c>
      <c r="I34" s="89" t="s">
        <v>33</v>
      </c>
      <c r="J34" s="89" t="s">
        <v>445</v>
      </c>
      <c r="K34" s="89" t="s">
        <v>33</v>
      </c>
      <c r="L34" s="89">
        <v>3</v>
      </c>
      <c r="M34" s="89">
        <v>40</v>
      </c>
      <c r="N34" s="90">
        <v>43497</v>
      </c>
      <c r="O34" s="90"/>
      <c r="P34" s="89" t="s">
        <v>1126</v>
      </c>
      <c r="Q34">
        <v>3200</v>
      </c>
      <c r="R34" s="219">
        <f>IF(ListaDeCursos[[#This Row],[Tipo ]]="FIC",ListaDeCursos[[#This Row],[Carga horária mínima]]/(800*0.5*ListaDeCursos[[#This Row],[Duração]]),1)</f>
        <v>1</v>
      </c>
      <c r="S34" s="89">
        <v>1.1830000000000001</v>
      </c>
      <c r="T3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5" spans="6:20" x14ac:dyDescent="0.25">
      <c r="F35" s="89" t="s">
        <v>708</v>
      </c>
      <c r="G35" s="89" t="s">
        <v>576</v>
      </c>
      <c r="H35" s="89" t="s">
        <v>235</v>
      </c>
      <c r="I35" s="89" t="s">
        <v>33</v>
      </c>
      <c r="J35" s="89" t="s">
        <v>445</v>
      </c>
      <c r="K35" s="89" t="s">
        <v>33</v>
      </c>
      <c r="L35" s="89">
        <v>3</v>
      </c>
      <c r="M35" s="89">
        <v>40</v>
      </c>
      <c r="N35" s="90">
        <v>42401</v>
      </c>
      <c r="O35" s="90">
        <v>43132</v>
      </c>
      <c r="P35" s="89" t="s">
        <v>599</v>
      </c>
      <c r="Q35">
        <v>3200</v>
      </c>
      <c r="R35" s="219">
        <f>IF(ListaDeCursos[[#This Row],[Tipo ]]="FIC",ListaDeCursos[[#This Row],[Carga horária mínima]]/(800*0.5*ListaDeCursos[[#This Row],[Duração]]),1)</f>
        <v>1</v>
      </c>
      <c r="S35" s="89">
        <v>1.0529999999999999</v>
      </c>
      <c r="T35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6" spans="6:20" x14ac:dyDescent="0.25">
      <c r="F36" t="s">
        <v>708</v>
      </c>
      <c r="G36" s="89" t="s">
        <v>1093</v>
      </c>
      <c r="H36" s="89" t="s">
        <v>235</v>
      </c>
      <c r="I36" s="89" t="s">
        <v>33</v>
      </c>
      <c r="J36" s="89" t="s">
        <v>445</v>
      </c>
      <c r="K36" s="89" t="s">
        <v>33</v>
      </c>
      <c r="L36" s="89">
        <v>3</v>
      </c>
      <c r="M36" s="89">
        <v>40</v>
      </c>
      <c r="N36" s="90">
        <v>43497</v>
      </c>
      <c r="O36" s="90"/>
      <c r="P36" s="89" t="s">
        <v>1094</v>
      </c>
      <c r="Q36">
        <v>3200</v>
      </c>
      <c r="R36" s="219">
        <f>IF(ListaDeCursos[[#This Row],[Tipo ]]="FIC",ListaDeCursos[[#This Row],[Carga horária mínima]]/(800*0.5*ListaDeCursos[[#This Row],[Duração]]),1)</f>
        <v>1</v>
      </c>
      <c r="S36" s="89">
        <v>1.0529999999999999</v>
      </c>
      <c r="T3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7" spans="6:20" x14ac:dyDescent="0.25">
      <c r="F37" t="s">
        <v>708</v>
      </c>
      <c r="G37" s="89" t="s">
        <v>234</v>
      </c>
      <c r="H37" s="89" t="s">
        <v>235</v>
      </c>
      <c r="I37" s="89" t="s">
        <v>33</v>
      </c>
      <c r="J37" s="89" t="s">
        <v>445</v>
      </c>
      <c r="K37" s="89" t="s">
        <v>33</v>
      </c>
      <c r="L37" s="89">
        <v>3</v>
      </c>
      <c r="M37" s="89">
        <v>40</v>
      </c>
      <c r="N37" s="90">
        <v>42401</v>
      </c>
      <c r="O37" s="90">
        <v>43132</v>
      </c>
      <c r="P37" s="89" t="s">
        <v>236</v>
      </c>
      <c r="Q37">
        <v>3200</v>
      </c>
      <c r="R37" s="219">
        <f>IF(ListaDeCursos[[#This Row],[Tipo ]]="FIC",ListaDeCursos[[#This Row],[Carga horária mínima]]/(800*0.5*ListaDeCursos[[#This Row],[Duração]]),1)</f>
        <v>1</v>
      </c>
      <c r="S37" s="89">
        <v>1.274</v>
      </c>
      <c r="T3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8" spans="6:20" x14ac:dyDescent="0.25">
      <c r="F38" t="s">
        <v>708</v>
      </c>
      <c r="G38" s="89" t="s">
        <v>1073</v>
      </c>
      <c r="H38" s="89" t="s">
        <v>235</v>
      </c>
      <c r="I38" s="89" t="s">
        <v>33</v>
      </c>
      <c r="J38" s="89" t="s">
        <v>445</v>
      </c>
      <c r="K38" s="89" t="s">
        <v>33</v>
      </c>
      <c r="L38" s="89">
        <v>3</v>
      </c>
      <c r="M38" s="89">
        <v>40</v>
      </c>
      <c r="N38" s="90">
        <v>43497</v>
      </c>
      <c r="O38" s="90"/>
      <c r="P38" s="89" t="s">
        <v>1074</v>
      </c>
      <c r="Q38">
        <v>3200</v>
      </c>
      <c r="R38" s="219">
        <f>IF(ListaDeCursos[[#This Row],[Tipo ]]="FIC",ListaDeCursos[[#This Row],[Carga horária mínima]]/(800*0.5*ListaDeCursos[[#This Row],[Duração]]),1)</f>
        <v>1</v>
      </c>
      <c r="S38" s="89">
        <v>1.274</v>
      </c>
      <c r="T3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9" spans="6:20" x14ac:dyDescent="0.25">
      <c r="R39" s="219">
        <f>IF(ListaDeCursos[[#This Row],[Tipo ]]="FIC",ListaDeCursos[[#This Row],[Carga horária mínima]]/(800*0.5*ListaDeCursos[[#This Row],[Duração]]),1)</f>
        <v>1</v>
      </c>
      <c r="S39" s="89"/>
    </row>
    <row r="40" spans="6:20" x14ac:dyDescent="0.25">
      <c r="F40" t="s">
        <v>708</v>
      </c>
      <c r="G40" s="89" t="s">
        <v>707</v>
      </c>
      <c r="H40" s="89" t="s">
        <v>30</v>
      </c>
      <c r="I40" s="89" t="s">
        <v>33</v>
      </c>
      <c r="J40" s="89" t="s">
        <v>705</v>
      </c>
      <c r="K40" s="89" t="s">
        <v>34</v>
      </c>
      <c r="L40" s="89">
        <v>6</v>
      </c>
      <c r="M40" s="89">
        <v>40</v>
      </c>
      <c r="N40" s="90">
        <v>41852</v>
      </c>
      <c r="O40" s="90">
        <v>42583</v>
      </c>
      <c r="P40" s="89" t="s">
        <v>670</v>
      </c>
      <c r="Q40">
        <v>2000</v>
      </c>
      <c r="R40" s="219">
        <f>IF(ListaDeCursos[[#This Row],[Tipo ]]="FIC",ListaDeCursos[[#This Row],[Carga horária mínima]]/(800*0.5*ListaDeCursos[[#This Row],[Duração]]),1)</f>
        <v>1</v>
      </c>
      <c r="S40" s="89">
        <v>1.25</v>
      </c>
      <c r="T4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41" spans="6:20" x14ac:dyDescent="0.25">
      <c r="F41" s="89" t="s">
        <v>708</v>
      </c>
      <c r="G41" s="89" t="s">
        <v>706</v>
      </c>
      <c r="H41" s="89" t="s">
        <v>30</v>
      </c>
      <c r="I41" s="89" t="s">
        <v>33</v>
      </c>
      <c r="J41" s="89" t="s">
        <v>446</v>
      </c>
      <c r="K41" s="89" t="s">
        <v>34</v>
      </c>
      <c r="L41" s="89">
        <v>6</v>
      </c>
      <c r="M41" s="89">
        <v>40</v>
      </c>
      <c r="N41" s="90">
        <v>41671</v>
      </c>
      <c r="O41" s="90">
        <v>44593</v>
      </c>
      <c r="P41" s="89" t="s">
        <v>670</v>
      </c>
      <c r="Q41">
        <v>2000</v>
      </c>
      <c r="R41" s="219">
        <f>IF(ListaDeCursos[[#This Row],[Tipo ]]="FIC",ListaDeCursos[[#This Row],[Carga horária mínima]]/(800*0.5*ListaDeCursos[[#This Row],[Duração]]),1)</f>
        <v>1</v>
      </c>
      <c r="S41" s="89">
        <v>1.25</v>
      </c>
      <c r="T41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42" spans="6:20" x14ac:dyDescent="0.25">
      <c r="F42" t="s">
        <v>708</v>
      </c>
      <c r="G42" s="89" t="s">
        <v>29</v>
      </c>
      <c r="H42" s="89" t="s">
        <v>30</v>
      </c>
      <c r="I42" s="89" t="s">
        <v>33</v>
      </c>
      <c r="J42" s="89" t="s">
        <v>445</v>
      </c>
      <c r="K42" s="89" t="s">
        <v>34</v>
      </c>
      <c r="L42" s="89">
        <v>10</v>
      </c>
      <c r="M42" s="89">
        <v>40</v>
      </c>
      <c r="N42" s="90">
        <v>43862</v>
      </c>
      <c r="O42" s="90">
        <v>44593</v>
      </c>
      <c r="P42" s="89" t="s">
        <v>227</v>
      </c>
      <c r="Q42">
        <v>3600</v>
      </c>
      <c r="R42" s="219">
        <f>IF(OR(ListaDeCursos[[#This Row],[Tipo ]]="FIC",ListaDeCursos[[#This Row],[Tipo ]]="PROEJA-FIC"),ListaDeCursos[[#This Row],[Carga horária mínima]]/800,1)</f>
        <v>1</v>
      </c>
      <c r="S42" s="89">
        <v>1.19</v>
      </c>
      <c r="T4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43" spans="6:20" x14ac:dyDescent="0.25">
      <c r="R43" s="219">
        <f>IF(ListaDeCursos[[#This Row],[Tipo ]]="FIC",ListaDeCursos[[#This Row],[Carga horária mínima]]/(800*0.5*ListaDeCursos[[#This Row],[Duração]]),1)</f>
        <v>1</v>
      </c>
      <c r="S43" s="89"/>
    </row>
    <row r="44" spans="6:20" x14ac:dyDescent="0.25">
      <c r="F44" t="s">
        <v>708</v>
      </c>
      <c r="G44" s="89" t="s">
        <v>1230</v>
      </c>
      <c r="H44" s="89" t="s">
        <v>1313</v>
      </c>
      <c r="I44" s="89" t="s">
        <v>33</v>
      </c>
      <c r="J44" s="89" t="s">
        <v>446</v>
      </c>
      <c r="K44" s="89" t="s">
        <v>34</v>
      </c>
      <c r="L44" s="89">
        <v>4</v>
      </c>
      <c r="M44" s="89">
        <v>25</v>
      </c>
      <c r="N44" s="90">
        <v>44593</v>
      </c>
      <c r="O44" s="90"/>
      <c r="P44" s="89" t="s">
        <v>1281</v>
      </c>
      <c r="Q44">
        <v>200</v>
      </c>
      <c r="R44" s="219">
        <v>0.25</v>
      </c>
      <c r="S44" s="89">
        <v>1</v>
      </c>
      <c r="T4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45" spans="6:20" x14ac:dyDescent="0.25">
      <c r="F45" t="s">
        <v>708</v>
      </c>
      <c r="G45" s="89" t="s">
        <v>1282</v>
      </c>
      <c r="H45" s="89" t="s">
        <v>1313</v>
      </c>
      <c r="I45" s="89" t="s">
        <v>33</v>
      </c>
      <c r="J45" s="89" t="s">
        <v>446</v>
      </c>
      <c r="K45" s="89" t="s">
        <v>34</v>
      </c>
      <c r="L45" s="89">
        <v>4</v>
      </c>
      <c r="M45" s="89">
        <v>25</v>
      </c>
      <c r="N45" s="90">
        <v>44593</v>
      </c>
      <c r="O45" s="90"/>
      <c r="P45" s="89" t="s">
        <v>1280</v>
      </c>
      <c r="Q45">
        <v>200</v>
      </c>
      <c r="R45" s="219">
        <v>0.25</v>
      </c>
      <c r="S45" s="89">
        <v>1</v>
      </c>
      <c r="T4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46" spans="6:20" x14ac:dyDescent="0.25">
      <c r="F46" s="89" t="s">
        <v>476</v>
      </c>
      <c r="G46" s="418" t="s">
        <v>1283</v>
      </c>
      <c r="H46" s="89" t="s">
        <v>1313</v>
      </c>
      <c r="I46" s="89" t="s">
        <v>33</v>
      </c>
      <c r="J46" s="89" t="s">
        <v>446</v>
      </c>
      <c r="K46" s="89" t="s">
        <v>34</v>
      </c>
      <c r="L46" s="89">
        <v>4</v>
      </c>
      <c r="M46" s="89">
        <v>25</v>
      </c>
      <c r="N46" s="90">
        <v>44774</v>
      </c>
      <c r="O46" s="90"/>
      <c r="P46" s="89" t="s">
        <v>1284</v>
      </c>
      <c r="Q46">
        <v>200</v>
      </c>
      <c r="R46" s="219">
        <v>0.25</v>
      </c>
      <c r="S46" s="89">
        <v>1</v>
      </c>
      <c r="T46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47" spans="6:20" x14ac:dyDescent="0.25">
      <c r="F47" s="89"/>
      <c r="G47" s="89"/>
      <c r="H47" s="89"/>
      <c r="I47" s="89"/>
      <c r="J47" s="89"/>
      <c r="K47" s="89"/>
      <c r="L47" s="89"/>
      <c r="M47" s="89"/>
      <c r="N47" s="90"/>
      <c r="O47" s="90"/>
      <c r="P47" s="89"/>
      <c r="R47" s="219">
        <f>IF(ListaDeCursos[[#This Row],[Tipo ]]="FIC",ListaDeCursos[[#This Row],[Carga horária mínima]]/(800*0.5*ListaDeCursos[[#This Row],[Duração]]),1)</f>
        <v>1</v>
      </c>
      <c r="S47" s="89"/>
      <c r="T47" s="375"/>
    </row>
    <row r="48" spans="6:20" x14ac:dyDescent="0.25">
      <c r="F48" s="89" t="s">
        <v>708</v>
      </c>
      <c r="G48" t="s">
        <v>1320</v>
      </c>
      <c r="H48" t="s">
        <v>1313</v>
      </c>
      <c r="I48" t="s">
        <v>33</v>
      </c>
      <c r="J48" t="s">
        <v>446</v>
      </c>
      <c r="K48" t="s">
        <v>34</v>
      </c>
      <c r="L48">
        <v>4</v>
      </c>
      <c r="M48">
        <v>25</v>
      </c>
      <c r="N48" s="90">
        <v>44593</v>
      </c>
      <c r="O48" s="90"/>
      <c r="P48" s="89" t="s">
        <v>1321</v>
      </c>
      <c r="Q48">
        <v>200</v>
      </c>
      <c r="R48" s="219">
        <f>IF(ListaDeCursos[[#This Row],[Tipo ]]="FIC",ListaDeCursos[[#This Row],[Carga horária mínima]]/(800*0.5*ListaDeCursos[[#This Row],[Duração]]),1)</f>
        <v>1</v>
      </c>
      <c r="S48" s="89">
        <v>1</v>
      </c>
      <c r="T48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49" spans="6:20" x14ac:dyDescent="0.25">
      <c r="R49" s="219">
        <f>IF(ListaDeCursos[[#This Row],[Tipo ]]="FIC",ListaDeCursos[[#This Row],[Carga horária mínima]]/(800*0.5*ListaDeCursos[[#This Row],[Duração]]),1)</f>
        <v>1</v>
      </c>
      <c r="S49" s="89"/>
    </row>
    <row r="50" spans="6:20" x14ac:dyDescent="0.25">
      <c r="F50" t="s">
        <v>708</v>
      </c>
      <c r="G50" s="89" t="s">
        <v>725</v>
      </c>
      <c r="H50" s="89" t="s">
        <v>1129</v>
      </c>
      <c r="I50" s="89" t="s">
        <v>33</v>
      </c>
      <c r="J50" s="89" t="s">
        <v>705</v>
      </c>
      <c r="K50" s="89" t="s">
        <v>34</v>
      </c>
      <c r="L50" s="89">
        <v>2</v>
      </c>
      <c r="M50" s="89">
        <v>40</v>
      </c>
      <c r="N50" s="90">
        <v>42036</v>
      </c>
      <c r="O50" s="90"/>
      <c r="P50" s="89" t="s">
        <v>726</v>
      </c>
      <c r="Q50">
        <v>134</v>
      </c>
      <c r="R50" s="219">
        <f>IF(ListaDeCursos[[#This Row],[Tipo ]]="FIC",ListaDeCursos[[#This Row],[Carga horária mínima]]/(800*0.5*ListaDeCursos[[#This Row],[Duração]]),1)</f>
        <v>0.16750000000000001</v>
      </c>
      <c r="S50" s="89">
        <v>1</v>
      </c>
      <c r="T5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1" spans="6:20" x14ac:dyDescent="0.25">
      <c r="F51" s="89"/>
      <c r="G51" s="89"/>
      <c r="H51" s="89"/>
      <c r="I51" s="89"/>
      <c r="J51" s="89"/>
      <c r="K51" s="89"/>
      <c r="L51" s="89"/>
      <c r="M51" s="89"/>
      <c r="N51" s="90"/>
      <c r="O51" s="90"/>
      <c r="P51" s="89"/>
      <c r="R51" s="219">
        <f>IF(ListaDeCursos[[#This Row],[Tipo ]]="FIC",ListaDeCursos[[#This Row],[Carga horária mínima]]/(800*0.5*ListaDeCursos[[#This Row],[Duração]]),1)</f>
        <v>1</v>
      </c>
      <c r="S51" s="89"/>
      <c r="T51" s="375"/>
    </row>
    <row r="52" spans="6:20" x14ac:dyDescent="0.25">
      <c r="R52" s="219">
        <f>IF(ListaDeCursos[[#This Row],[Tipo ]]="FIC",ListaDeCursos[[#This Row],[Carga horária mínima]]/(800*0.5*ListaDeCursos[[#This Row],[Duração]]),1)</f>
        <v>1</v>
      </c>
      <c r="S52" s="89"/>
    </row>
    <row r="53" spans="6:20" x14ac:dyDescent="0.25">
      <c r="F53" t="s">
        <v>708</v>
      </c>
      <c r="G53" s="89" t="s">
        <v>478</v>
      </c>
      <c r="H53" s="89" t="s">
        <v>326</v>
      </c>
      <c r="I53" s="89" t="s">
        <v>33</v>
      </c>
      <c r="J53" s="89" t="s">
        <v>446</v>
      </c>
      <c r="K53" s="89" t="s">
        <v>34</v>
      </c>
      <c r="L53" s="89">
        <v>4</v>
      </c>
      <c r="M53" s="89">
        <v>40</v>
      </c>
      <c r="N53" s="90">
        <v>43862</v>
      </c>
      <c r="O53" s="90"/>
      <c r="P53" s="89" t="s">
        <v>1208</v>
      </c>
      <c r="Q53">
        <v>1200</v>
      </c>
      <c r="R53" s="219">
        <f>IF(ListaDeCursos[[#This Row],[Tipo ]]="FIC",ListaDeCursos[[#This Row],[Carga horária mínima]]/(800*0.5*ListaDeCursos[[#This Row],[Duração]]),1)</f>
        <v>1</v>
      </c>
      <c r="S53" s="89">
        <v>1.27</v>
      </c>
      <c r="T5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4" spans="6:20" ht="15.75" thickBot="1" x14ac:dyDescent="0.3">
      <c r="F54" t="s">
        <v>708</v>
      </c>
      <c r="G54" s="89" t="s">
        <v>1266</v>
      </c>
      <c r="H54" s="89" t="s">
        <v>326</v>
      </c>
      <c r="I54" s="89" t="s">
        <v>34</v>
      </c>
      <c r="J54" s="89" t="s">
        <v>446</v>
      </c>
      <c r="K54" s="89" t="s">
        <v>34</v>
      </c>
      <c r="L54" s="89">
        <v>4</v>
      </c>
      <c r="M54" s="89">
        <v>40</v>
      </c>
      <c r="N54" s="90">
        <v>44774</v>
      </c>
      <c r="O54" s="90"/>
      <c r="P54" s="89" t="s">
        <v>1267</v>
      </c>
      <c r="Q54">
        <v>1200</v>
      </c>
      <c r="R54" s="219">
        <f>IF(ListaDeCursos[[#This Row],[Tipo ]]="FIC",ListaDeCursos[[#This Row],[Carga horária mínima]]/(800*0.5*ListaDeCursos[[#This Row],[Duração]]),1)</f>
        <v>1</v>
      </c>
      <c r="S54" s="89">
        <v>1.27</v>
      </c>
      <c r="T5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5" spans="6:20" ht="15.75" thickTop="1" x14ac:dyDescent="0.25">
      <c r="F55" t="s">
        <v>708</v>
      </c>
      <c r="G55" s="91" t="s">
        <v>1021</v>
      </c>
      <c r="H55" s="91" t="s">
        <v>235</v>
      </c>
      <c r="I55" s="91" t="s">
        <v>33</v>
      </c>
      <c r="J55" s="91" t="s">
        <v>445</v>
      </c>
      <c r="K55" s="91" t="s">
        <v>33</v>
      </c>
      <c r="L55" s="91">
        <v>4</v>
      </c>
      <c r="M55" s="91">
        <v>40</v>
      </c>
      <c r="N55" s="92">
        <v>43497</v>
      </c>
      <c r="O55" s="92"/>
      <c r="P55" s="91" t="s">
        <v>1022</v>
      </c>
      <c r="Q55">
        <v>3200</v>
      </c>
      <c r="R55" s="219">
        <f>IF(ListaDeCursos[[#This Row],[Tipo ]]="FIC",ListaDeCursos[[#This Row],[Carga horária mínima]]/(800*0.5*ListaDeCursos[[#This Row],[Duração]]),1)</f>
        <v>1</v>
      </c>
      <c r="S55" s="89">
        <v>1.27</v>
      </c>
      <c r="T5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6" spans="6:20" x14ac:dyDescent="0.25">
      <c r="F56" t="s">
        <v>708</v>
      </c>
      <c r="G56" s="89" t="s">
        <v>1024</v>
      </c>
      <c r="H56" s="89" t="s">
        <v>235</v>
      </c>
      <c r="I56" s="89" t="s">
        <v>33</v>
      </c>
      <c r="J56" s="89" t="s">
        <v>445</v>
      </c>
      <c r="K56" s="89" t="s">
        <v>33</v>
      </c>
      <c r="L56" s="89">
        <v>4</v>
      </c>
      <c r="M56" s="89">
        <v>40</v>
      </c>
      <c r="N56" s="90">
        <v>43497</v>
      </c>
      <c r="O56" s="90"/>
      <c r="P56" s="89" t="s">
        <v>1025</v>
      </c>
      <c r="Q56">
        <v>3200</v>
      </c>
      <c r="R56" s="219">
        <f>IF(ListaDeCursos[[#This Row],[Tipo ]]="FIC",ListaDeCursos[[#This Row],[Carga horária mínima]]/(800*0.5*ListaDeCursos[[#This Row],[Duração]]),1)</f>
        <v>1</v>
      </c>
      <c r="S56" s="89">
        <v>1.27</v>
      </c>
      <c r="T5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7" spans="6:20" x14ac:dyDescent="0.25">
      <c r="F57" t="s">
        <v>708</v>
      </c>
      <c r="G57" s="89" t="s">
        <v>1018</v>
      </c>
      <c r="H57" s="89" t="s">
        <v>235</v>
      </c>
      <c r="I57" s="89" t="s">
        <v>33</v>
      </c>
      <c r="J57" s="89" t="s">
        <v>445</v>
      </c>
      <c r="K57" s="89" t="s">
        <v>33</v>
      </c>
      <c r="L57" s="89">
        <v>4</v>
      </c>
      <c r="M57" s="89">
        <v>40</v>
      </c>
      <c r="N57" s="90">
        <v>43497</v>
      </c>
      <c r="O57" s="90"/>
      <c r="P57" s="89" t="s">
        <v>1019</v>
      </c>
      <c r="Q57">
        <v>3200</v>
      </c>
      <c r="R57" s="219">
        <f>IF(ListaDeCursos[[#This Row],[Tipo ]]="FIC",ListaDeCursos[[#This Row],[Carga horária mínima]]/(800*0.5*ListaDeCursos[[#This Row],[Duração]]),1)</f>
        <v>1</v>
      </c>
      <c r="S57" s="89">
        <v>1.27</v>
      </c>
      <c r="T5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8" spans="6:20" x14ac:dyDescent="0.25">
      <c r="F58" t="s">
        <v>708</v>
      </c>
      <c r="G58" s="89" t="s">
        <v>1270</v>
      </c>
      <c r="H58" s="89" t="s">
        <v>326</v>
      </c>
      <c r="I58" s="89" t="s">
        <v>34</v>
      </c>
      <c r="J58" s="89" t="s">
        <v>446</v>
      </c>
      <c r="K58" s="89" t="s">
        <v>34</v>
      </c>
      <c r="L58" s="89">
        <v>3</v>
      </c>
      <c r="M58" s="89">
        <v>25</v>
      </c>
      <c r="N58" s="90">
        <v>44228</v>
      </c>
      <c r="O58" s="90"/>
      <c r="P58" s="89" t="s">
        <v>1271</v>
      </c>
      <c r="Q58">
        <v>1000</v>
      </c>
      <c r="R58" s="219">
        <f>IF(ListaDeCursos[[#This Row],[Tipo ]]="FIC",ListaDeCursos[[#This Row],[Carga horária mínima]]/(800*0.5*ListaDeCursos[[#This Row],[Duração]]),1)</f>
        <v>1</v>
      </c>
      <c r="S58" s="89">
        <v>1.25</v>
      </c>
      <c r="T5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59" spans="6:20" x14ac:dyDescent="0.25">
      <c r="G59" s="89"/>
      <c r="H59" s="89"/>
      <c r="I59" s="89"/>
      <c r="J59" s="89"/>
      <c r="K59" s="89"/>
      <c r="L59" s="89"/>
      <c r="M59" s="89"/>
      <c r="N59" s="90"/>
      <c r="O59" s="90"/>
      <c r="P59" s="89"/>
      <c r="R59" s="219">
        <f>IF(ListaDeCursos[[#This Row],[Tipo ]]="FIC",ListaDeCursos[[#This Row],[Carga horária mínima]]/(800*0.5*ListaDeCursos[[#This Row],[Duração]]),1)</f>
        <v>1</v>
      </c>
      <c r="S59" s="89"/>
      <c r="T5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60" spans="6:20" x14ac:dyDescent="0.25">
      <c r="F60" t="s">
        <v>708</v>
      </c>
      <c r="G60" s="89" t="s">
        <v>1239</v>
      </c>
      <c r="H60" s="89" t="s">
        <v>30</v>
      </c>
      <c r="I60" s="89" t="s">
        <v>34</v>
      </c>
      <c r="J60" s="89" t="s">
        <v>445</v>
      </c>
      <c r="K60" s="89" t="s">
        <v>34</v>
      </c>
      <c r="L60" s="89">
        <v>10</v>
      </c>
      <c r="M60" s="89">
        <v>40</v>
      </c>
      <c r="N60" s="90">
        <v>43678</v>
      </c>
      <c r="O60" s="90">
        <v>43862</v>
      </c>
      <c r="P60" s="89" t="s">
        <v>1272</v>
      </c>
      <c r="Q60">
        <v>3600</v>
      </c>
      <c r="R60" s="219">
        <f>IF(ListaDeCursos[[#This Row],[Tipo ]]="FIC",ListaDeCursos[[#This Row],[Carga horária mínima]]/(800*0.5*ListaDeCursos[[#This Row],[Duração]]),1)</f>
        <v>1</v>
      </c>
      <c r="S60" s="89">
        <v>1.19</v>
      </c>
      <c r="T6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61" spans="6:20" x14ac:dyDescent="0.25">
      <c r="S61" s="89"/>
    </row>
    <row r="62" spans="6:20" x14ac:dyDescent="0.25">
      <c r="S62" s="89"/>
    </row>
    <row r="63" spans="6:20" x14ac:dyDescent="0.25">
      <c r="S63" s="89"/>
    </row>
    <row r="64" spans="6:20" x14ac:dyDescent="0.25">
      <c r="G64" s="89"/>
      <c r="H64" s="89"/>
      <c r="I64" s="89"/>
      <c r="J64" s="89"/>
      <c r="K64" s="89"/>
      <c r="L64" s="89"/>
      <c r="M64" s="89"/>
      <c r="N64" s="90"/>
      <c r="O64" s="90"/>
      <c r="P64" s="89"/>
      <c r="R64" s="219">
        <f>IF(OR(ListaDeCursos[[#This Row],[Tipo ]]="FIC",ListaDeCursos[[#This Row],[Tipo ]]="PROEJA-FIC"),ListaDeCursos[[#This Row],[Carga horária mínima]]/800,1)</f>
        <v>1</v>
      </c>
      <c r="S64" s="89"/>
      <c r="T6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65" spans="6:20" x14ac:dyDescent="0.25">
      <c r="G65" s="89"/>
      <c r="H65" s="89"/>
      <c r="I65" s="89"/>
      <c r="J65" s="89"/>
      <c r="K65" s="89"/>
      <c r="L65" s="89"/>
      <c r="M65" s="89"/>
      <c r="N65" s="90"/>
      <c r="O65" s="90"/>
      <c r="P65" s="89"/>
      <c r="R65" s="219">
        <f>IF(OR(ListaDeCursos[[#This Row],[Tipo ]]="FIC",ListaDeCursos[[#This Row],[Tipo ]]="PROEJA-FIC"),ListaDeCursos[[#This Row],[Carga horária mínima]]/800,1)</f>
        <v>1</v>
      </c>
      <c r="S65" s="89"/>
      <c r="T6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66" spans="6:20" x14ac:dyDescent="0.25">
      <c r="G66" s="89"/>
      <c r="H66" s="89"/>
      <c r="I66" s="89"/>
      <c r="J66" s="89"/>
      <c r="K66" s="89"/>
      <c r="L66" s="89"/>
      <c r="M66" s="89"/>
      <c r="N66" s="90"/>
      <c r="O66" s="90"/>
      <c r="P66" s="89"/>
      <c r="R66" s="219">
        <f>IF(OR(ListaDeCursos[[#This Row],[Tipo ]]="FIC",ListaDeCursos[[#This Row],[Tipo ]]="PROEJA-FIC"),ListaDeCursos[[#This Row],[Carga horária mínima]]/800,1)</f>
        <v>1</v>
      </c>
      <c r="S66" s="89"/>
      <c r="T6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67" spans="6:20" x14ac:dyDescent="0.25">
      <c r="F67" t="s">
        <v>708</v>
      </c>
      <c r="G67" s="89" t="s">
        <v>1016</v>
      </c>
      <c r="H67" s="89" t="s">
        <v>30</v>
      </c>
      <c r="I67" s="89" t="s">
        <v>33</v>
      </c>
      <c r="J67" s="89" t="s">
        <v>445</v>
      </c>
      <c r="K67" s="89" t="s">
        <v>34</v>
      </c>
      <c r="L67" s="89">
        <v>10</v>
      </c>
      <c r="M67" s="89">
        <v>40</v>
      </c>
      <c r="N67" s="90">
        <v>43862</v>
      </c>
      <c r="O67" s="90"/>
      <c r="P67" s="89" t="s">
        <v>1017</v>
      </c>
      <c r="Q67">
        <v>3600</v>
      </c>
      <c r="R67" s="219">
        <f>IF(ListaDeCursos[[#This Row],[Tipo ]]="FIC",ListaDeCursos[[#This Row],[Carga horária mínima]]/(800*0.5*ListaDeCursos[[#This Row],[Duração]]),1)</f>
        <v>1</v>
      </c>
      <c r="S67" s="89">
        <v>1.19</v>
      </c>
      <c r="T6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68" spans="6:20" x14ac:dyDescent="0.25">
      <c r="F68" t="s">
        <v>708</v>
      </c>
      <c r="G68" s="89" t="s">
        <v>855</v>
      </c>
      <c r="H68" s="89" t="s">
        <v>30</v>
      </c>
      <c r="I68" s="89" t="s">
        <v>33</v>
      </c>
      <c r="J68" s="89" t="s">
        <v>445</v>
      </c>
      <c r="K68" s="89" t="s">
        <v>34</v>
      </c>
      <c r="L68" s="89">
        <v>10</v>
      </c>
      <c r="M68" s="89">
        <v>40</v>
      </c>
      <c r="N68" s="90">
        <v>43862</v>
      </c>
      <c r="O68" s="90"/>
      <c r="P68" s="89" t="s">
        <v>854</v>
      </c>
      <c r="Q68">
        <v>3600</v>
      </c>
      <c r="R68" s="219">
        <f>IF(OR(ListaDeCursos[[#This Row],[Tipo ]]="FIC",ListaDeCursos[[#This Row],[Tipo ]]="PROEJA-FIC"),ListaDeCursos[[#This Row],[Carga horária mínima]]/800,1)</f>
        <v>1</v>
      </c>
      <c r="S68" s="89">
        <v>1.19</v>
      </c>
      <c r="T6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69" spans="6:20" x14ac:dyDescent="0.25">
      <c r="F69" t="s">
        <v>708</v>
      </c>
      <c r="G69" s="89" t="s">
        <v>900</v>
      </c>
      <c r="H69" s="89" t="s">
        <v>30</v>
      </c>
      <c r="I69" s="89" t="s">
        <v>33</v>
      </c>
      <c r="J69" s="89" t="s">
        <v>445</v>
      </c>
      <c r="K69" s="89" t="s">
        <v>34</v>
      </c>
      <c r="L69" s="89">
        <v>10</v>
      </c>
      <c r="M69" s="89">
        <v>40</v>
      </c>
      <c r="N69" s="90">
        <v>43862</v>
      </c>
      <c r="O69" s="90"/>
      <c r="P69" s="89" t="s">
        <v>901</v>
      </c>
      <c r="Q69">
        <v>3600</v>
      </c>
      <c r="R69" s="219">
        <f>IF(OR(ListaDeCursos[[#This Row],[Tipo ]]="FIC",ListaDeCursos[[#This Row],[Tipo ]]="PROEJA-FIC"),ListaDeCursos[[#This Row],[Carga horária mínima]]/800,1)</f>
        <v>1</v>
      </c>
      <c r="S69" s="89">
        <v>1.19</v>
      </c>
      <c r="T6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70" spans="6:20" x14ac:dyDescent="0.25">
      <c r="F70" t="s">
        <v>708</v>
      </c>
      <c r="G70" s="89" t="s">
        <v>1238</v>
      </c>
      <c r="H70" s="89" t="s">
        <v>1132</v>
      </c>
      <c r="I70" s="89" t="s">
        <v>33</v>
      </c>
      <c r="J70" s="89" t="s">
        <v>446</v>
      </c>
      <c r="K70" s="89" t="s">
        <v>34</v>
      </c>
      <c r="L70" s="89">
        <v>8</v>
      </c>
      <c r="M70" s="89">
        <v>40</v>
      </c>
      <c r="N70" s="90">
        <v>44958</v>
      </c>
      <c r="O70" s="90"/>
      <c r="P70" s="89" t="s">
        <v>443</v>
      </c>
      <c r="Q70">
        <v>200</v>
      </c>
      <c r="R70" s="219">
        <f>IF(OR(ListaDeCursos[[#This Row],[Tipo ]]="FIC",ListaDeCursos[[#This Row],[Tipo ]]="PROEJA-FIC"),ListaDeCursos[[#This Row],[Carga horária mínima]]/800,1)</f>
        <v>1</v>
      </c>
      <c r="S70" s="89">
        <v>1.08</v>
      </c>
      <c r="T7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71" spans="6:20" x14ac:dyDescent="0.25">
      <c r="F71" t="s">
        <v>708</v>
      </c>
      <c r="G71" s="89" t="s">
        <v>1242</v>
      </c>
      <c r="H71" s="89" t="s">
        <v>1269</v>
      </c>
      <c r="I71" s="89" t="s">
        <v>33</v>
      </c>
      <c r="J71" s="89" t="s">
        <v>446</v>
      </c>
      <c r="K71" s="89" t="s">
        <v>33</v>
      </c>
      <c r="L71" s="89">
        <v>3</v>
      </c>
      <c r="M71" s="89">
        <v>40</v>
      </c>
      <c r="N71" s="90">
        <v>44593</v>
      </c>
      <c r="O71" s="90"/>
      <c r="P71" s="89" t="s">
        <v>1243</v>
      </c>
      <c r="Q71">
        <v>2400</v>
      </c>
      <c r="R71" s="219">
        <f>IF(OR(ListaDeCursos[[#This Row],[Tipo ]]="FIC",ListaDeCursos[[#This Row],[Tipo ]]="PROEJA-FIC"),ListaDeCursos[[#This Row],[Carga horária mínima]]/800,1)</f>
        <v>1</v>
      </c>
      <c r="S71" s="89">
        <v>1.27</v>
      </c>
      <c r="T7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2" spans="6:20" x14ac:dyDescent="0.25">
      <c r="G72" s="89"/>
      <c r="H72" s="89"/>
      <c r="I72" s="89"/>
      <c r="J72" s="89"/>
      <c r="K72" s="89"/>
      <c r="L72" s="89"/>
      <c r="M72" s="89"/>
      <c r="N72" s="90"/>
      <c r="O72" s="90"/>
      <c r="P72" s="89"/>
      <c r="R72" s="219">
        <f>IF(OR(ListaDeCursos[[#This Row],[Tipo ]]="FIC",ListaDeCursos[[#This Row],[Tipo ]]="PROEJA-FIC"),ListaDeCursos[[#This Row],[Carga horária mínima]]/800,1)</f>
        <v>1</v>
      </c>
      <c r="S72" s="89"/>
      <c r="T7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3" spans="6:20" x14ac:dyDescent="0.25">
      <c r="G73" s="89"/>
      <c r="H73" s="89"/>
      <c r="I73" s="89"/>
      <c r="J73" s="89"/>
      <c r="K73" s="89"/>
      <c r="L73" s="89"/>
      <c r="M73" s="89"/>
      <c r="N73" s="90"/>
      <c r="O73" s="90"/>
      <c r="P73" s="89"/>
      <c r="R73" s="219">
        <f>IF(OR(ListaDeCursos[[#This Row],[Tipo ]]="FIC",ListaDeCursos[[#This Row],[Tipo ]]="PROEJA-FIC"),ListaDeCursos[[#This Row],[Carga horária mínima]]/800,1)</f>
        <v>1</v>
      </c>
      <c r="S73" s="89"/>
      <c r="T7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4" spans="6:20" x14ac:dyDescent="0.25">
      <c r="F74" t="s">
        <v>476</v>
      </c>
      <c r="G74" s="418" t="s">
        <v>1330</v>
      </c>
      <c r="H74" s="419" t="s">
        <v>30</v>
      </c>
      <c r="I74" s="419" t="s">
        <v>33</v>
      </c>
      <c r="J74" s="419" t="s">
        <v>445</v>
      </c>
      <c r="K74" s="419" t="s">
        <v>34</v>
      </c>
      <c r="L74" s="419">
        <v>10</v>
      </c>
      <c r="M74" s="419">
        <v>40</v>
      </c>
      <c r="N74" s="420">
        <v>44959</v>
      </c>
      <c r="O74" s="420"/>
      <c r="P74" s="419" t="s">
        <v>1331</v>
      </c>
      <c r="Q74" s="242">
        <v>3600</v>
      </c>
      <c r="R74" s="421">
        <f>IF(OR(ListaDeCursos[[#This Row],[Tipo ]]="FIC",ListaDeCursos[[#This Row],[Tipo ]]="PROEJA-FIC"),ListaDeCursos[[#This Row],[Carga horária mínima]]/800,1)</f>
        <v>1</v>
      </c>
      <c r="S74" s="419">
        <v>1.19</v>
      </c>
      <c r="T74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75" spans="6:20" ht="15.75" thickBot="1" x14ac:dyDescent="0.3">
      <c r="F75" t="s">
        <v>476</v>
      </c>
      <c r="G75" s="418" t="s">
        <v>1528</v>
      </c>
      <c r="H75" s="419" t="s">
        <v>30</v>
      </c>
      <c r="I75" s="419" t="s">
        <v>33</v>
      </c>
      <c r="J75" s="419" t="s">
        <v>446</v>
      </c>
      <c r="K75" s="419" t="s">
        <v>34</v>
      </c>
      <c r="L75" s="419">
        <v>6</v>
      </c>
      <c r="M75" s="419">
        <v>40</v>
      </c>
      <c r="N75" s="420">
        <v>44959</v>
      </c>
      <c r="O75" s="420"/>
      <c r="P75" s="419" t="s">
        <v>1529</v>
      </c>
      <c r="Q75" s="242">
        <v>2000</v>
      </c>
      <c r="R75" s="421">
        <f>IF(OR(ListaDeCursos[[#This Row],[Tipo ]]="FIC",ListaDeCursos[[#This Row],[Tipo ]]="PROEJA-FIC"),ListaDeCursos[[#This Row],[Carga horária mínima]]/800,1)</f>
        <v>1</v>
      </c>
      <c r="S75" s="419">
        <v>1.25</v>
      </c>
      <c r="T75" s="453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76" spans="6:20" ht="16.5" thickTop="1" thickBot="1" x14ac:dyDescent="0.3">
      <c r="F76" t="s">
        <v>476</v>
      </c>
      <c r="G76" s="454" t="s">
        <v>1530</v>
      </c>
      <c r="H76" s="455" t="s">
        <v>1233</v>
      </c>
      <c r="I76" s="455" t="s">
        <v>34</v>
      </c>
      <c r="J76" s="455" t="s">
        <v>446</v>
      </c>
      <c r="K76" s="455" t="s">
        <v>34</v>
      </c>
      <c r="L76" s="455">
        <v>4</v>
      </c>
      <c r="M76" s="455">
        <v>30</v>
      </c>
      <c r="N76" s="456">
        <v>44958</v>
      </c>
      <c r="O76" s="456">
        <v>44958</v>
      </c>
      <c r="P76" s="455" t="s">
        <v>1531</v>
      </c>
      <c r="Q76" s="242">
        <v>380</v>
      </c>
      <c r="R76" s="421">
        <f>IF(OR(ListaDeCursos[[#This Row],[Tipo ]]="FIC",ListaDeCursos[[#This Row],[Tipo ]]="PROEJA-FIC"),ListaDeCursos[[#This Row],[Carga horária mínima]]/800,1)</f>
        <v>1</v>
      </c>
      <c r="S76" s="242">
        <v>1</v>
      </c>
      <c r="T76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7" spans="6:20" ht="16.5" thickTop="1" thickBot="1" x14ac:dyDescent="0.3">
      <c r="F77" t="s">
        <v>476</v>
      </c>
      <c r="G77" s="454" t="s">
        <v>1532</v>
      </c>
      <c r="H77" s="455" t="s">
        <v>1233</v>
      </c>
      <c r="I77" s="455" t="s">
        <v>34</v>
      </c>
      <c r="J77" s="455" t="s">
        <v>446</v>
      </c>
      <c r="K77" s="455" t="s">
        <v>34</v>
      </c>
      <c r="L77" s="455">
        <v>4</v>
      </c>
      <c r="M77" s="455">
        <v>30</v>
      </c>
      <c r="N77" s="456">
        <v>45689</v>
      </c>
      <c r="O77" s="456">
        <v>45689</v>
      </c>
      <c r="P77" s="455" t="s">
        <v>1531</v>
      </c>
      <c r="Q77" s="242">
        <v>380</v>
      </c>
      <c r="R77" s="421">
        <f>IF(OR(ListaDeCursos[[#This Row],[Tipo ]]="FIC",ListaDeCursos[[#This Row],[Tipo ]]="PROEJA-FIC"),ListaDeCursos[[#This Row],[Carga horária mínima]]/800,1)</f>
        <v>1</v>
      </c>
      <c r="S77" s="242">
        <v>1</v>
      </c>
      <c r="T77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8" spans="6:20" ht="16.5" thickTop="1" thickBot="1" x14ac:dyDescent="0.3">
      <c r="F78" t="s">
        <v>476</v>
      </c>
      <c r="G78" s="454" t="s">
        <v>1533</v>
      </c>
      <c r="H78" s="455" t="s">
        <v>1233</v>
      </c>
      <c r="I78" s="455" t="s">
        <v>34</v>
      </c>
      <c r="J78" s="455" t="s">
        <v>446</v>
      </c>
      <c r="K78" s="455" t="s">
        <v>34</v>
      </c>
      <c r="L78" s="455">
        <v>4</v>
      </c>
      <c r="M78" s="455">
        <v>30</v>
      </c>
      <c r="N78" s="456">
        <v>46419</v>
      </c>
      <c r="O78" s="456">
        <v>46419</v>
      </c>
      <c r="P78" s="455" t="s">
        <v>1531</v>
      </c>
      <c r="Q78" s="242">
        <v>380</v>
      </c>
      <c r="R78" s="421">
        <f>IF(OR(ListaDeCursos[[#This Row],[Tipo ]]="FIC",ListaDeCursos[[#This Row],[Tipo ]]="PROEJA-FIC"),ListaDeCursos[[#This Row],[Carga horária mínima]]/800,1)</f>
        <v>1</v>
      </c>
      <c r="S78" s="242">
        <v>1</v>
      </c>
      <c r="T78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79" spans="6:20" ht="15.75" thickTop="1" x14ac:dyDescent="0.25">
      <c r="F79" t="s">
        <v>476</v>
      </c>
      <c r="G79" s="454" t="s">
        <v>1534</v>
      </c>
      <c r="H79" s="455" t="s">
        <v>1233</v>
      </c>
      <c r="I79" s="455" t="s">
        <v>34</v>
      </c>
      <c r="J79" s="455" t="s">
        <v>446</v>
      </c>
      <c r="K79" s="455" t="s">
        <v>34</v>
      </c>
      <c r="L79" s="455">
        <v>4</v>
      </c>
      <c r="M79" s="455">
        <v>30</v>
      </c>
      <c r="N79" s="456">
        <v>47150</v>
      </c>
      <c r="O79" s="456">
        <v>47150</v>
      </c>
      <c r="P79" s="455" t="s">
        <v>1531</v>
      </c>
      <c r="Q79" s="242">
        <v>380</v>
      </c>
      <c r="R79" s="421">
        <f>IF(OR(ListaDeCursos[[#This Row],[Tipo ]]="FIC",ListaDeCursos[[#This Row],[Tipo ]]="PROEJA-FIC"),ListaDeCursos[[#This Row],[Carga horária mínima]]/800,1)</f>
        <v>1</v>
      </c>
      <c r="S79" s="242">
        <v>1</v>
      </c>
      <c r="T79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0" spans="6:20" x14ac:dyDescent="0.25">
      <c r="G80" s="419"/>
      <c r="H80" s="419"/>
      <c r="I80" s="419"/>
      <c r="J80" s="419"/>
      <c r="K80" s="419"/>
      <c r="L80" s="419"/>
      <c r="M80" s="419"/>
      <c r="N80" s="420"/>
      <c r="O80" s="420"/>
      <c r="P80" s="419"/>
      <c r="Q80" s="242"/>
      <c r="R80" s="421">
        <f>IF(OR(ListaDeCursos[[#This Row],[Tipo ]]="FIC",ListaDeCursos[[#This Row],[Tipo ]]="PROEJA-FIC"),ListaDeCursos[[#This Row],[Carga horária mínima]]/800,1)</f>
        <v>1</v>
      </c>
      <c r="S80" s="419"/>
      <c r="T80" s="421"/>
    </row>
    <row r="81" spans="6:20" x14ac:dyDescent="0.25">
      <c r="F81" t="s">
        <v>476</v>
      </c>
      <c r="G81" s="418" t="s">
        <v>1535</v>
      </c>
      <c r="H81" s="457" t="s">
        <v>1233</v>
      </c>
      <c r="I81" s="457" t="s">
        <v>34</v>
      </c>
      <c r="J81" s="419" t="s">
        <v>446</v>
      </c>
      <c r="K81" s="419" t="s">
        <v>34</v>
      </c>
      <c r="L81" s="419">
        <v>4</v>
      </c>
      <c r="M81" s="419">
        <v>30</v>
      </c>
      <c r="N81" s="420">
        <v>44958</v>
      </c>
      <c r="O81" s="420">
        <v>44958</v>
      </c>
      <c r="P81" s="419" t="s">
        <v>1536</v>
      </c>
      <c r="Q81" s="242">
        <v>380</v>
      </c>
      <c r="R81" s="421">
        <f>IF(OR(ListaDeCursos[[#This Row],[Tipo ]]="FIC",ListaDeCursos[[#This Row],[Tipo ]]="PROEJA-FIC"),ListaDeCursos[[#This Row],[Carga horária mínima]]/800,1)</f>
        <v>1</v>
      </c>
      <c r="S81" s="419">
        <v>1</v>
      </c>
      <c r="T81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2" spans="6:20" x14ac:dyDescent="0.25">
      <c r="F82" t="s">
        <v>476</v>
      </c>
      <c r="G82" s="418" t="s">
        <v>1537</v>
      </c>
      <c r="H82" s="457" t="s">
        <v>1233</v>
      </c>
      <c r="I82" s="457" t="s">
        <v>34</v>
      </c>
      <c r="J82" s="419" t="s">
        <v>446</v>
      </c>
      <c r="K82" s="419" t="s">
        <v>34</v>
      </c>
      <c r="L82" s="419">
        <v>4</v>
      </c>
      <c r="M82" s="419">
        <v>30</v>
      </c>
      <c r="N82" s="420">
        <v>45689</v>
      </c>
      <c r="O82" s="420">
        <v>45689</v>
      </c>
      <c r="P82" s="419" t="s">
        <v>1536</v>
      </c>
      <c r="Q82" s="242">
        <v>380</v>
      </c>
      <c r="R82" s="421">
        <f>IF(OR(ListaDeCursos[[#This Row],[Tipo ]]="FIC",ListaDeCursos[[#This Row],[Tipo ]]="PROEJA-FIC"),ListaDeCursos[[#This Row],[Carga horária mínima]]/800,1)</f>
        <v>1</v>
      </c>
      <c r="S82" s="419">
        <v>1</v>
      </c>
      <c r="T82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3" spans="6:20" x14ac:dyDescent="0.25">
      <c r="F83" t="s">
        <v>476</v>
      </c>
      <c r="G83" s="418" t="s">
        <v>1538</v>
      </c>
      <c r="H83" s="457" t="s">
        <v>1233</v>
      </c>
      <c r="I83" s="457" t="s">
        <v>34</v>
      </c>
      <c r="J83" s="419" t="s">
        <v>446</v>
      </c>
      <c r="K83" s="419" t="s">
        <v>34</v>
      </c>
      <c r="L83" s="419">
        <v>4</v>
      </c>
      <c r="M83" s="419">
        <v>30</v>
      </c>
      <c r="N83" s="420">
        <v>46419</v>
      </c>
      <c r="O83" s="420">
        <v>46419</v>
      </c>
      <c r="P83" s="419" t="s">
        <v>1536</v>
      </c>
      <c r="Q83" s="242">
        <v>380</v>
      </c>
      <c r="R83" s="421">
        <f>IF(OR(ListaDeCursos[[#This Row],[Tipo ]]="FIC",ListaDeCursos[[#This Row],[Tipo ]]="PROEJA-FIC"),ListaDeCursos[[#This Row],[Carga horária mínima]]/800,1)</f>
        <v>1</v>
      </c>
      <c r="S83" s="419">
        <v>1</v>
      </c>
      <c r="T83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4" spans="6:20" x14ac:dyDescent="0.25">
      <c r="F84" t="s">
        <v>476</v>
      </c>
      <c r="G84" s="418" t="s">
        <v>1539</v>
      </c>
      <c r="H84" s="457" t="s">
        <v>1233</v>
      </c>
      <c r="I84" s="457" t="s">
        <v>34</v>
      </c>
      <c r="J84" s="419" t="s">
        <v>446</v>
      </c>
      <c r="K84" s="419" t="s">
        <v>34</v>
      </c>
      <c r="L84" s="419">
        <v>4</v>
      </c>
      <c r="M84" s="419">
        <v>30</v>
      </c>
      <c r="N84" s="420">
        <v>47150</v>
      </c>
      <c r="O84" s="420">
        <v>47150</v>
      </c>
      <c r="P84" s="419" t="s">
        <v>1536</v>
      </c>
      <c r="Q84" s="242">
        <v>380</v>
      </c>
      <c r="R84" s="421">
        <f>IF(OR(ListaDeCursos[[#This Row],[Tipo ]]="FIC",ListaDeCursos[[#This Row],[Tipo ]]="PROEJA-FIC"),ListaDeCursos[[#This Row],[Carga horária mínima]]/800,1)</f>
        <v>1</v>
      </c>
      <c r="S84" s="242">
        <v>1</v>
      </c>
      <c r="T84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5" spans="6:20" x14ac:dyDescent="0.25">
      <c r="F85" t="s">
        <v>476</v>
      </c>
      <c r="G85" s="478" t="s">
        <v>1601</v>
      </c>
      <c r="H85" s="418" t="s">
        <v>326</v>
      </c>
      <c r="I85" s="478" t="s">
        <v>33</v>
      </c>
      <c r="J85" s="478" t="s">
        <v>446</v>
      </c>
      <c r="K85" s="478" t="s">
        <v>34</v>
      </c>
      <c r="L85" s="478">
        <v>4</v>
      </c>
      <c r="M85" s="478">
        <v>25</v>
      </c>
      <c r="N85" s="479">
        <v>44958</v>
      </c>
      <c r="O85" s="479"/>
      <c r="P85" s="478" t="s">
        <v>1602</v>
      </c>
      <c r="Q85" s="478">
        <v>1200</v>
      </c>
      <c r="R85" s="421">
        <f>IF(OR(ListaDeCursos[[#This Row],[Tipo ]]="FIC",ListaDeCursos[[#This Row],[Tipo ]]="PROEJA-FIC"),ListaDeCursos[[#This Row],[Carga horária mínima]]/800,1)</f>
        <v>1</v>
      </c>
      <c r="S85" s="419">
        <v>1.23</v>
      </c>
      <c r="T85" s="421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6" spans="6:20" x14ac:dyDescent="0.25">
      <c r="F86" t="s">
        <v>476</v>
      </c>
      <c r="G86" s="418" t="s">
        <v>1630</v>
      </c>
      <c r="H86" s="418" t="s">
        <v>326</v>
      </c>
      <c r="I86" s="418" t="s">
        <v>34</v>
      </c>
      <c r="J86" s="418" t="s">
        <v>446</v>
      </c>
      <c r="K86" s="418" t="s">
        <v>34</v>
      </c>
      <c r="L86" s="418">
        <v>3</v>
      </c>
      <c r="M86" s="418">
        <v>25</v>
      </c>
      <c r="N86" s="485">
        <v>44959</v>
      </c>
      <c r="O86" s="485"/>
      <c r="P86" s="418" t="s">
        <v>1631</v>
      </c>
      <c r="Q86" s="478">
        <v>1000</v>
      </c>
      <c r="R86" s="421">
        <f>IF(OR(ListaDeCursos[[#This Row],[Tipo ]]="FIC",ListaDeCursos[[#This Row],[Tipo ]]="PROEJA-FIC"),ListaDeCursos[[#This Row],[Carga horária mínima]]/800,1)</f>
        <v>1</v>
      </c>
      <c r="S86" s="418">
        <v>1.25</v>
      </c>
      <c r="T86" s="486">
        <v>1</v>
      </c>
    </row>
    <row r="87" spans="6:20" x14ac:dyDescent="0.25">
      <c r="F87" t="s">
        <v>476</v>
      </c>
      <c r="G87" s="418" t="s">
        <v>1692</v>
      </c>
      <c r="H87" s="89" t="s">
        <v>30</v>
      </c>
      <c r="I87" s="89" t="s">
        <v>33</v>
      </c>
      <c r="J87" s="89" t="s">
        <v>446</v>
      </c>
      <c r="K87" s="89" t="s">
        <v>34</v>
      </c>
      <c r="L87" s="89">
        <v>8</v>
      </c>
      <c r="M87" s="89">
        <v>40</v>
      </c>
      <c r="N87" s="90">
        <v>44959</v>
      </c>
      <c r="O87" s="90"/>
      <c r="P87" s="89" t="s">
        <v>1693</v>
      </c>
      <c r="Q87">
        <v>3200</v>
      </c>
      <c r="R87" s="219">
        <f>IF(OR(ListaDeCursos[[#This Row],[Tipo ]]="FIC",ListaDeCursos[[#This Row],[Tipo ]]="PROEJA-FIC"),ListaDeCursos[[#This Row],[Carga horária mínima]]/800,1)</f>
        <v>1</v>
      </c>
      <c r="S87" s="89">
        <v>1.08</v>
      </c>
      <c r="T8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1.1111111111111112</v>
      </c>
    </row>
    <row r="88" spans="6:20" x14ac:dyDescent="0.25">
      <c r="F88" s="89" t="s">
        <v>476</v>
      </c>
      <c r="G88" s="418" t="s">
        <v>1788</v>
      </c>
      <c r="H88" s="89" t="s">
        <v>326</v>
      </c>
      <c r="I88" s="89" t="s">
        <v>33</v>
      </c>
      <c r="J88" s="89" t="s">
        <v>446</v>
      </c>
      <c r="K88" s="89" t="s">
        <v>34</v>
      </c>
      <c r="L88" s="89">
        <v>4</v>
      </c>
      <c r="M88" s="89">
        <v>40</v>
      </c>
      <c r="N88" s="90">
        <v>44959</v>
      </c>
      <c r="O88" s="90"/>
      <c r="P88" s="89" t="s">
        <v>1789</v>
      </c>
      <c r="Q88">
        <v>1200</v>
      </c>
      <c r="R88" s="219">
        <f>IF(ListaDeCursos[[#This Row],[Tipo ]]="FIC",ListaDeCursos[[#This Row],[Carga horária mínima]]/(800*0.5*ListaDeCursos[[#This Row],[Duração]]),1)</f>
        <v>1</v>
      </c>
      <c r="S88" s="89">
        <v>1.27</v>
      </c>
      <c r="T88" s="375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89" spans="6:20" x14ac:dyDescent="0.25">
      <c r="G89" s="89"/>
      <c r="H89" s="89"/>
      <c r="I89" s="89"/>
      <c r="J89" s="89"/>
      <c r="K89" s="89"/>
      <c r="L89" s="89"/>
      <c r="M89" s="89"/>
      <c r="N89" s="90"/>
      <c r="O89" s="90"/>
      <c r="P89" s="89"/>
      <c r="R89" s="219">
        <f>IF(OR(ListaDeCursos[[#This Row],[Tipo ]]="FIC",ListaDeCursos[[#This Row],[Tipo ]]="PROEJA-FIC"),ListaDeCursos[[#This Row],[Carga horária mínima]]/800,1)</f>
        <v>1</v>
      </c>
      <c r="T8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0" spans="6:20" x14ac:dyDescent="0.25">
      <c r="G90" s="89"/>
      <c r="H90" s="89"/>
      <c r="I90" s="89"/>
      <c r="J90" s="89"/>
      <c r="K90" s="89"/>
      <c r="L90" s="89"/>
      <c r="M90" s="89"/>
      <c r="N90" s="90"/>
      <c r="O90" s="90"/>
      <c r="P90" s="89"/>
      <c r="R90" s="219">
        <f>IF(OR(ListaDeCursos[[#This Row],[Tipo ]]="FIC",ListaDeCursos[[#This Row],[Tipo ]]="PROEJA-FIC"),ListaDeCursos[[#This Row],[Carga horária mínima]]/800,1)</f>
        <v>1</v>
      </c>
      <c r="T9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1" spans="6:20" x14ac:dyDescent="0.25">
      <c r="G91" s="89"/>
      <c r="H91" s="89"/>
      <c r="I91" s="89"/>
      <c r="J91" s="89"/>
      <c r="K91" s="89"/>
      <c r="L91" s="89"/>
      <c r="M91" s="89"/>
      <c r="N91" s="90"/>
      <c r="O91" s="90"/>
      <c r="P91" s="89"/>
      <c r="R91" s="219">
        <f>IF(OR(ListaDeCursos[[#This Row],[Tipo ]]="FIC",ListaDeCursos[[#This Row],[Tipo ]]="PROEJA-FIC"),ListaDeCursos[[#This Row],[Carga horária mínima]]/800,1)</f>
        <v>1</v>
      </c>
      <c r="T9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2" spans="6:20" x14ac:dyDescent="0.25">
      <c r="G92" s="89"/>
      <c r="H92" s="89"/>
      <c r="I92" s="89"/>
      <c r="J92" s="89"/>
      <c r="K92" s="89"/>
      <c r="L92" s="89"/>
      <c r="M92" s="89"/>
      <c r="N92" s="90"/>
      <c r="O92" s="90"/>
      <c r="P92" s="89"/>
      <c r="R92" s="219">
        <f>IF(OR(ListaDeCursos[[#This Row],[Tipo ]]="FIC",ListaDeCursos[[#This Row],[Tipo ]]="PROEJA-FIC"),ListaDeCursos[[#This Row],[Carga horária mínima]]/800,1)</f>
        <v>1</v>
      </c>
      <c r="T9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3" spans="6:20" x14ac:dyDescent="0.25">
      <c r="G93" s="89"/>
      <c r="H93" s="89"/>
      <c r="I93" s="89"/>
      <c r="J93" s="89"/>
      <c r="K93" s="89"/>
      <c r="L93" s="89"/>
      <c r="M93" s="89"/>
      <c r="N93" s="90"/>
      <c r="O93" s="90"/>
      <c r="P93" s="89"/>
      <c r="R93" s="219">
        <f>IF(OR(ListaDeCursos[[#This Row],[Tipo ]]="FIC",ListaDeCursos[[#This Row],[Tipo ]]="PROEJA-FIC"),ListaDeCursos[[#This Row],[Carga horária mínima]]/800,1)</f>
        <v>1</v>
      </c>
      <c r="T9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4" spans="6:20" x14ac:dyDescent="0.25">
      <c r="G94" s="89"/>
      <c r="H94" s="89"/>
      <c r="I94" s="89"/>
      <c r="J94" s="89"/>
      <c r="K94" s="89"/>
      <c r="L94" s="89"/>
      <c r="M94" s="89"/>
      <c r="N94" s="90"/>
      <c r="O94" s="90"/>
      <c r="P94" s="89"/>
      <c r="R94" s="219">
        <f>IF(OR(ListaDeCursos[[#This Row],[Tipo ]]="FIC",ListaDeCursos[[#This Row],[Tipo ]]="PROEJA-FIC"),ListaDeCursos[[#This Row],[Carga horária mínima]]/800,1)</f>
        <v>1</v>
      </c>
      <c r="T9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5" spans="6:20" x14ac:dyDescent="0.25">
      <c r="G95" s="89"/>
      <c r="H95" s="89"/>
      <c r="I95" s="89"/>
      <c r="J95" s="89"/>
      <c r="K95" s="89"/>
      <c r="L95" s="89"/>
      <c r="M95" s="89"/>
      <c r="N95" s="90"/>
      <c r="O95" s="90"/>
      <c r="P95" s="89"/>
      <c r="R95" s="219">
        <f>IF(OR(ListaDeCursos[[#This Row],[Tipo ]]="FIC",ListaDeCursos[[#This Row],[Tipo ]]="PROEJA-FIC"),ListaDeCursos[[#This Row],[Carga horária mínima]]/800,1)</f>
        <v>1</v>
      </c>
      <c r="T9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6" spans="6:20" x14ac:dyDescent="0.25">
      <c r="G96" s="89"/>
      <c r="H96" s="89"/>
      <c r="I96" s="89"/>
      <c r="J96" s="89"/>
      <c r="K96" s="89"/>
      <c r="L96" s="89"/>
      <c r="M96" s="89"/>
      <c r="N96" s="90"/>
      <c r="O96" s="90"/>
      <c r="P96" s="89"/>
      <c r="R96" s="219">
        <f>IF(OR(ListaDeCursos[[#This Row],[Tipo ]]="FIC",ListaDeCursos[[#This Row],[Tipo ]]="PROEJA-FIC"),ListaDeCursos[[#This Row],[Carga horária mínima]]/800,1)</f>
        <v>1</v>
      </c>
      <c r="T9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7" spans="7:20" x14ac:dyDescent="0.25">
      <c r="G97" s="89"/>
      <c r="H97" s="89"/>
      <c r="I97" s="89"/>
      <c r="J97" s="89"/>
      <c r="K97" s="89"/>
      <c r="L97" s="89"/>
      <c r="M97" s="89"/>
      <c r="N97" s="90"/>
      <c r="O97" s="90"/>
      <c r="P97" s="89"/>
      <c r="R97" s="219">
        <f>IF(OR(ListaDeCursos[[#This Row],[Tipo ]]="FIC",ListaDeCursos[[#This Row],[Tipo ]]="PROEJA-FIC"),ListaDeCursos[[#This Row],[Carga horária mínima]]/800,1)</f>
        <v>1</v>
      </c>
      <c r="T9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8" spans="7:20" x14ac:dyDescent="0.25">
      <c r="G98" s="89"/>
      <c r="H98" s="89"/>
      <c r="I98" s="89"/>
      <c r="J98" s="89"/>
      <c r="K98" s="89"/>
      <c r="L98" s="89"/>
      <c r="M98" s="89"/>
      <c r="N98" s="90"/>
      <c r="O98" s="90"/>
      <c r="P98" s="89"/>
      <c r="R98" s="219">
        <f>IF(OR(ListaDeCursos[[#This Row],[Tipo ]]="FIC",ListaDeCursos[[#This Row],[Tipo ]]="PROEJA-FIC"),ListaDeCursos[[#This Row],[Carga horária mínima]]/800,1)</f>
        <v>1</v>
      </c>
      <c r="T9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99" spans="7:20" x14ac:dyDescent="0.25">
      <c r="G99" s="89"/>
      <c r="H99" s="89"/>
      <c r="I99" s="89"/>
      <c r="J99" s="89"/>
      <c r="K99" s="89"/>
      <c r="L99" s="89"/>
      <c r="M99" s="89"/>
      <c r="N99" s="90"/>
      <c r="O99" s="90"/>
      <c r="P99" s="89"/>
      <c r="R99" s="219">
        <f>IF(OR(ListaDeCursos[[#This Row],[Tipo ]]="FIC",ListaDeCursos[[#This Row],[Tipo ]]="PROEJA-FIC"),ListaDeCursos[[#This Row],[Carga horária mínima]]/800,1)</f>
        <v>1</v>
      </c>
      <c r="T9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0" spans="7:20" x14ac:dyDescent="0.25">
      <c r="G100" s="89"/>
      <c r="H100" s="89"/>
      <c r="I100" s="89"/>
      <c r="J100" s="89"/>
      <c r="K100" s="89"/>
      <c r="L100" s="89"/>
      <c r="M100" s="89"/>
      <c r="N100" s="90"/>
      <c r="O100" s="90"/>
      <c r="P100" s="89"/>
      <c r="R100" s="219">
        <f>IF(OR(ListaDeCursos[[#This Row],[Tipo ]]="FIC",ListaDeCursos[[#This Row],[Tipo ]]="PROEJA-FIC"),ListaDeCursos[[#This Row],[Carga horária mínima]]/800,1)</f>
        <v>1</v>
      </c>
      <c r="T10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1" spans="7:20" x14ac:dyDescent="0.25">
      <c r="G101" s="89"/>
      <c r="H101" s="89"/>
      <c r="I101" s="89"/>
      <c r="J101" s="89"/>
      <c r="K101" s="89"/>
      <c r="L101" s="89"/>
      <c r="M101" s="89"/>
      <c r="N101" s="90"/>
      <c r="O101" s="90"/>
      <c r="P101" s="89"/>
      <c r="R101" s="219">
        <f>IF(OR(ListaDeCursos[[#This Row],[Tipo ]]="FIC",ListaDeCursos[[#This Row],[Tipo ]]="PROEJA-FIC"),ListaDeCursos[[#This Row],[Carga horária mínima]]/800,1)</f>
        <v>1</v>
      </c>
      <c r="T10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2" spans="7:20" x14ac:dyDescent="0.25">
      <c r="G102" s="89"/>
      <c r="H102" s="89"/>
      <c r="I102" s="89"/>
      <c r="J102" s="89"/>
      <c r="K102" s="89"/>
      <c r="L102" s="89"/>
      <c r="M102" s="89"/>
      <c r="N102" s="90"/>
      <c r="O102" s="90"/>
      <c r="P102" s="89"/>
      <c r="R102" s="219">
        <f>IF(OR(ListaDeCursos[[#This Row],[Tipo ]]="FIC",ListaDeCursos[[#This Row],[Tipo ]]="PROEJA-FIC"),ListaDeCursos[[#This Row],[Carga horária mínima]]/800,1)</f>
        <v>1</v>
      </c>
      <c r="T10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3" spans="7:20" x14ac:dyDescent="0.25">
      <c r="G103" s="89"/>
      <c r="H103" s="89"/>
      <c r="I103" s="89"/>
      <c r="J103" s="89"/>
      <c r="K103" s="89"/>
      <c r="L103" s="89"/>
      <c r="M103" s="89"/>
      <c r="N103" s="90"/>
      <c r="O103" s="90"/>
      <c r="P103" s="89"/>
      <c r="R103" s="219">
        <f>IF(OR(ListaDeCursos[[#This Row],[Tipo ]]="FIC",ListaDeCursos[[#This Row],[Tipo ]]="PROEJA-FIC"),ListaDeCursos[[#This Row],[Carga horária mínima]]/800,1)</f>
        <v>1</v>
      </c>
      <c r="T10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4" spans="7:20" x14ac:dyDescent="0.25">
      <c r="G104" s="89"/>
      <c r="H104" s="89"/>
      <c r="I104" s="89"/>
      <c r="J104" s="89"/>
      <c r="K104" s="89"/>
      <c r="L104" s="89"/>
      <c r="M104" s="89"/>
      <c r="N104" s="90"/>
      <c r="O104" s="90"/>
      <c r="P104" s="89"/>
      <c r="R104" s="219">
        <f>IF(OR(ListaDeCursos[[#This Row],[Tipo ]]="FIC",ListaDeCursos[[#This Row],[Tipo ]]="PROEJA-FIC"),ListaDeCursos[[#This Row],[Carga horária mínima]]/800,1)</f>
        <v>1</v>
      </c>
      <c r="T10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5" spans="7:20" x14ac:dyDescent="0.25">
      <c r="G105" s="89"/>
      <c r="H105" s="89"/>
      <c r="I105" s="89"/>
      <c r="J105" s="89"/>
      <c r="K105" s="89"/>
      <c r="L105" s="89"/>
      <c r="M105" s="89"/>
      <c r="N105" s="90"/>
      <c r="O105" s="90"/>
      <c r="P105" s="89"/>
      <c r="R105" s="219">
        <f>IF(OR(ListaDeCursos[[#This Row],[Tipo ]]="FIC",ListaDeCursos[[#This Row],[Tipo ]]="PROEJA-FIC"),ListaDeCursos[[#This Row],[Carga horária mínima]]/800,1)</f>
        <v>1</v>
      </c>
      <c r="T10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6" spans="7:20" x14ac:dyDescent="0.25">
      <c r="G106" s="89"/>
      <c r="H106" s="89"/>
      <c r="I106" s="89"/>
      <c r="J106" s="89"/>
      <c r="K106" s="89"/>
      <c r="L106" s="89"/>
      <c r="M106" s="89"/>
      <c r="N106" s="90"/>
      <c r="O106" s="90"/>
      <c r="P106" s="89"/>
      <c r="R106" s="219">
        <f>IF(OR(ListaDeCursos[[#This Row],[Tipo ]]="FIC",ListaDeCursos[[#This Row],[Tipo ]]="PROEJA-FIC"),ListaDeCursos[[#This Row],[Carga horária mínima]]/800,1)</f>
        <v>1</v>
      </c>
      <c r="T10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7" spans="7:20" x14ac:dyDescent="0.25">
      <c r="G107" s="89"/>
      <c r="H107" s="89"/>
      <c r="I107" s="89"/>
      <c r="J107" s="89"/>
      <c r="K107" s="89"/>
      <c r="L107" s="89"/>
      <c r="M107" s="89"/>
      <c r="N107" s="90"/>
      <c r="O107" s="90"/>
      <c r="P107" s="89"/>
      <c r="R107" s="219">
        <f>IF(OR(ListaDeCursos[[#This Row],[Tipo ]]="FIC",ListaDeCursos[[#This Row],[Tipo ]]="PROEJA-FIC"),ListaDeCursos[[#This Row],[Carga horária mínima]]/800,1)</f>
        <v>1</v>
      </c>
      <c r="T10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8" spans="7:20" x14ac:dyDescent="0.25">
      <c r="G108" s="89"/>
      <c r="H108" s="89"/>
      <c r="I108" s="89"/>
      <c r="J108" s="89"/>
      <c r="K108" s="89"/>
      <c r="L108" s="89"/>
      <c r="M108" s="89"/>
      <c r="N108" s="90"/>
      <c r="O108" s="90"/>
      <c r="P108" s="89"/>
      <c r="R108" s="219">
        <f>IF(OR(ListaDeCursos[[#This Row],[Tipo ]]="FIC",ListaDeCursos[[#This Row],[Tipo ]]="PROEJA-FIC"),ListaDeCursos[[#This Row],[Carga horária mínima]]/800,1)</f>
        <v>1</v>
      </c>
      <c r="T10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09" spans="7:20" x14ac:dyDescent="0.25">
      <c r="G109" s="89"/>
      <c r="H109" s="89"/>
      <c r="I109" s="89"/>
      <c r="J109" s="89"/>
      <c r="K109" s="89"/>
      <c r="L109" s="89"/>
      <c r="M109" s="89"/>
      <c r="N109" s="90"/>
      <c r="O109" s="90"/>
      <c r="P109" s="89"/>
      <c r="R109" s="219">
        <f>IF(OR(ListaDeCursos[[#This Row],[Tipo ]]="FIC",ListaDeCursos[[#This Row],[Tipo ]]="PROEJA-FIC"),ListaDeCursos[[#This Row],[Carga horária mínima]]/800,1)</f>
        <v>1</v>
      </c>
      <c r="T10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0" spans="7:20" x14ac:dyDescent="0.25">
      <c r="G110" s="89"/>
      <c r="H110" s="89"/>
      <c r="I110" s="89"/>
      <c r="J110" s="89"/>
      <c r="K110" s="89"/>
      <c r="L110" s="89"/>
      <c r="M110" s="89"/>
      <c r="N110" s="90"/>
      <c r="O110" s="90"/>
      <c r="P110" s="89"/>
      <c r="R110" s="219">
        <f>IF(OR(ListaDeCursos[[#This Row],[Tipo ]]="FIC",ListaDeCursos[[#This Row],[Tipo ]]="PROEJA-FIC"),ListaDeCursos[[#This Row],[Carga horária mínima]]/800,1)</f>
        <v>1</v>
      </c>
      <c r="T11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1" spans="7:20" x14ac:dyDescent="0.25">
      <c r="G111" s="89"/>
      <c r="H111" s="89"/>
      <c r="I111" s="89"/>
      <c r="J111" s="89"/>
      <c r="K111" s="89"/>
      <c r="L111" s="89"/>
      <c r="M111" s="89"/>
      <c r="N111" s="90"/>
      <c r="O111" s="90"/>
      <c r="P111" s="89"/>
      <c r="R111" s="219">
        <f>IF(OR(ListaDeCursos[[#This Row],[Tipo ]]="FIC",ListaDeCursos[[#This Row],[Tipo ]]="PROEJA-FIC"),ListaDeCursos[[#This Row],[Carga horária mínima]]/800,1)</f>
        <v>1</v>
      </c>
      <c r="T11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2" spans="7:20" x14ac:dyDescent="0.25">
      <c r="G112" s="89"/>
      <c r="H112" s="89"/>
      <c r="I112" s="89"/>
      <c r="J112" s="89"/>
      <c r="K112" s="89"/>
      <c r="L112" s="89"/>
      <c r="M112" s="89"/>
      <c r="N112" s="90"/>
      <c r="O112" s="90"/>
      <c r="P112" s="89"/>
      <c r="R112" s="219">
        <f>IF(OR(ListaDeCursos[[#This Row],[Tipo ]]="FIC",ListaDeCursos[[#This Row],[Tipo ]]="PROEJA-FIC"),ListaDeCursos[[#This Row],[Carga horária mínima]]/800,1)</f>
        <v>1</v>
      </c>
      <c r="T11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3" spans="7:20" x14ac:dyDescent="0.25">
      <c r="G113" s="89"/>
      <c r="H113" s="89"/>
      <c r="I113" s="89"/>
      <c r="J113" s="89"/>
      <c r="K113" s="89"/>
      <c r="L113" s="89"/>
      <c r="M113" s="89"/>
      <c r="N113" s="90"/>
      <c r="O113" s="90"/>
      <c r="P113" s="89"/>
      <c r="R113" s="219">
        <f>IF(OR(ListaDeCursos[[#This Row],[Tipo ]]="FIC",ListaDeCursos[[#This Row],[Tipo ]]="PROEJA-FIC"),ListaDeCursos[[#This Row],[Carga horária mínima]]/800,1)</f>
        <v>1</v>
      </c>
      <c r="T11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4" spans="7:20" x14ac:dyDescent="0.25">
      <c r="G114" s="89"/>
      <c r="H114" s="89"/>
      <c r="I114" s="89"/>
      <c r="J114" s="89"/>
      <c r="K114" s="89"/>
      <c r="L114" s="89"/>
      <c r="M114" s="89"/>
      <c r="N114" s="90"/>
      <c r="O114" s="90"/>
      <c r="P114" s="89"/>
      <c r="R114" s="219">
        <f>IF(OR(ListaDeCursos[[#This Row],[Tipo ]]="FIC",ListaDeCursos[[#This Row],[Tipo ]]="PROEJA-FIC"),ListaDeCursos[[#This Row],[Carga horária mínima]]/800,1)</f>
        <v>1</v>
      </c>
      <c r="T11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5" spans="7:20" x14ac:dyDescent="0.25">
      <c r="G115" s="89"/>
      <c r="H115" s="89"/>
      <c r="I115" s="89"/>
      <c r="J115" s="89"/>
      <c r="K115" s="89"/>
      <c r="L115" s="89"/>
      <c r="M115" s="89"/>
      <c r="N115" s="90"/>
      <c r="O115" s="90"/>
      <c r="P115" s="89"/>
      <c r="R115" s="219">
        <f>IF(OR(ListaDeCursos[[#This Row],[Tipo ]]="FIC",ListaDeCursos[[#This Row],[Tipo ]]="PROEJA-FIC"),ListaDeCursos[[#This Row],[Carga horária mínima]]/800,1)</f>
        <v>1</v>
      </c>
      <c r="T11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6" spans="7:20" x14ac:dyDescent="0.25">
      <c r="G116" s="89"/>
      <c r="H116" s="89"/>
      <c r="I116" s="89"/>
      <c r="J116" s="89"/>
      <c r="K116" s="89"/>
      <c r="L116" s="89"/>
      <c r="M116" s="89"/>
      <c r="N116" s="90"/>
      <c r="O116" s="90"/>
      <c r="P116" s="89"/>
      <c r="R116" s="219">
        <f>IF(OR(ListaDeCursos[[#This Row],[Tipo ]]="FIC",ListaDeCursos[[#This Row],[Tipo ]]="PROEJA-FIC"),ListaDeCursos[[#This Row],[Carga horária mínima]]/800,1)</f>
        <v>1</v>
      </c>
      <c r="T11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7" spans="7:20" x14ac:dyDescent="0.25">
      <c r="G117" s="89"/>
      <c r="H117" s="89"/>
      <c r="I117" s="89"/>
      <c r="J117" s="89"/>
      <c r="K117" s="89"/>
      <c r="L117" s="89"/>
      <c r="M117" s="89"/>
      <c r="N117" s="90"/>
      <c r="O117" s="90"/>
      <c r="P117" s="89"/>
      <c r="R117" s="219">
        <f>IF(OR(ListaDeCursos[[#This Row],[Tipo ]]="FIC",ListaDeCursos[[#This Row],[Tipo ]]="PROEJA-FIC"),ListaDeCursos[[#This Row],[Carga horária mínima]]/800,1)</f>
        <v>1</v>
      </c>
      <c r="T11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8" spans="7:20" x14ac:dyDescent="0.25">
      <c r="G118" s="89"/>
      <c r="H118" s="89"/>
      <c r="I118" s="89"/>
      <c r="J118" s="89"/>
      <c r="K118" s="89"/>
      <c r="L118" s="89"/>
      <c r="M118" s="89"/>
      <c r="N118" s="90"/>
      <c r="O118" s="90"/>
      <c r="P118" s="89"/>
      <c r="R118" s="219">
        <f>IF(OR(ListaDeCursos[[#This Row],[Tipo ]]="FIC",ListaDeCursos[[#This Row],[Tipo ]]="PROEJA-FIC"),ListaDeCursos[[#This Row],[Carga horária mínima]]/800,1)</f>
        <v>1</v>
      </c>
      <c r="T11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19" spans="7:20" x14ac:dyDescent="0.25">
      <c r="G119" s="89"/>
      <c r="H119" s="89"/>
      <c r="I119" s="89"/>
      <c r="J119" s="89"/>
      <c r="K119" s="89"/>
      <c r="L119" s="89"/>
      <c r="M119" s="89"/>
      <c r="N119" s="90"/>
      <c r="O119" s="90"/>
      <c r="P119" s="89"/>
      <c r="R119" s="219">
        <f>IF(OR(ListaDeCursos[[#This Row],[Tipo ]]="FIC",ListaDeCursos[[#This Row],[Tipo ]]="PROEJA-FIC"),ListaDeCursos[[#This Row],[Carga horária mínima]]/800,1)</f>
        <v>1</v>
      </c>
      <c r="T11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0" spans="7:20" x14ac:dyDescent="0.25">
      <c r="G120" s="89"/>
      <c r="H120" s="89"/>
      <c r="I120" s="89"/>
      <c r="J120" s="89"/>
      <c r="K120" s="89"/>
      <c r="L120" s="89"/>
      <c r="M120" s="89"/>
      <c r="N120" s="90"/>
      <c r="O120" s="90"/>
      <c r="P120" s="89"/>
      <c r="R120" s="219">
        <f>IF(OR(ListaDeCursos[[#This Row],[Tipo ]]="FIC",ListaDeCursos[[#This Row],[Tipo ]]="PROEJA-FIC"),ListaDeCursos[[#This Row],[Carga horária mínima]]/800,1)</f>
        <v>1</v>
      </c>
      <c r="T12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1" spans="7:20" x14ac:dyDescent="0.25">
      <c r="G121" s="89"/>
      <c r="H121" s="89"/>
      <c r="I121" s="89"/>
      <c r="J121" s="89"/>
      <c r="K121" s="89"/>
      <c r="L121" s="89"/>
      <c r="M121" s="89"/>
      <c r="N121" s="90"/>
      <c r="O121" s="90"/>
      <c r="P121" s="89"/>
      <c r="R121" s="219">
        <f>IF(OR(ListaDeCursos[[#This Row],[Tipo ]]="FIC",ListaDeCursos[[#This Row],[Tipo ]]="PROEJA-FIC"),ListaDeCursos[[#This Row],[Carga horária mínima]]/800,1)</f>
        <v>1</v>
      </c>
      <c r="T12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2" spans="7:20" x14ac:dyDescent="0.25">
      <c r="G122" s="89"/>
      <c r="H122" s="89"/>
      <c r="I122" s="89"/>
      <c r="J122" s="89"/>
      <c r="K122" s="89"/>
      <c r="L122" s="89"/>
      <c r="M122" s="89"/>
      <c r="N122" s="90"/>
      <c r="O122" s="90"/>
      <c r="P122" s="89"/>
      <c r="R122" s="219">
        <f>IF(OR(ListaDeCursos[[#This Row],[Tipo ]]="FIC",ListaDeCursos[[#This Row],[Tipo ]]="PROEJA-FIC"),ListaDeCursos[[#This Row],[Carga horária mínima]]/800,1)</f>
        <v>1</v>
      </c>
      <c r="T12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3" spans="7:20" x14ac:dyDescent="0.25">
      <c r="G123" s="89"/>
      <c r="H123" s="89"/>
      <c r="I123" s="89"/>
      <c r="J123" s="89"/>
      <c r="K123" s="89"/>
      <c r="L123" s="89"/>
      <c r="M123" s="89"/>
      <c r="N123" s="90"/>
      <c r="O123" s="90"/>
      <c r="P123" s="89"/>
      <c r="R123" s="219">
        <f>IF(OR(ListaDeCursos[[#This Row],[Tipo ]]="FIC",ListaDeCursos[[#This Row],[Tipo ]]="PROEJA-FIC"),ListaDeCursos[[#This Row],[Carga horária mínima]]/800,1)</f>
        <v>1</v>
      </c>
      <c r="T12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4" spans="7:20" x14ac:dyDescent="0.25">
      <c r="G124" s="89"/>
      <c r="H124" s="89"/>
      <c r="I124" s="89"/>
      <c r="J124" s="89"/>
      <c r="K124" s="89"/>
      <c r="L124" s="89"/>
      <c r="M124" s="89"/>
      <c r="N124" s="90"/>
      <c r="O124" s="90"/>
      <c r="P124" s="89"/>
      <c r="R124" s="219">
        <f>IF(OR(ListaDeCursos[[#This Row],[Tipo ]]="FIC",ListaDeCursos[[#This Row],[Tipo ]]="PROEJA-FIC"),ListaDeCursos[[#This Row],[Carga horária mínima]]/800,1)</f>
        <v>1</v>
      </c>
      <c r="T12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5" spans="7:20" x14ac:dyDescent="0.25">
      <c r="G125" s="89"/>
      <c r="H125" s="89"/>
      <c r="I125" s="89"/>
      <c r="J125" s="89"/>
      <c r="K125" s="89"/>
      <c r="L125" s="89"/>
      <c r="M125" s="89"/>
      <c r="N125" s="90"/>
      <c r="O125" s="90"/>
      <c r="P125" s="89"/>
      <c r="R125" s="219">
        <f>IF(OR(ListaDeCursos[[#This Row],[Tipo ]]="FIC",ListaDeCursos[[#This Row],[Tipo ]]="PROEJA-FIC"),ListaDeCursos[[#This Row],[Carga horária mínima]]/800,1)</f>
        <v>1</v>
      </c>
      <c r="T12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6" spans="7:20" x14ac:dyDescent="0.25">
      <c r="G126" s="89"/>
      <c r="H126" s="89"/>
      <c r="I126" s="89"/>
      <c r="J126" s="89"/>
      <c r="K126" s="89"/>
      <c r="L126" s="89"/>
      <c r="M126" s="89"/>
      <c r="N126" s="90"/>
      <c r="O126" s="90"/>
      <c r="P126" s="89"/>
      <c r="R126" s="219">
        <f>IF(OR(ListaDeCursos[[#This Row],[Tipo ]]="FIC",ListaDeCursos[[#This Row],[Tipo ]]="PROEJA-FIC"),ListaDeCursos[[#This Row],[Carga horária mínima]]/800,1)</f>
        <v>1</v>
      </c>
      <c r="T12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7" spans="7:20" x14ac:dyDescent="0.25">
      <c r="G127" s="89"/>
      <c r="H127" s="89"/>
      <c r="I127" s="89"/>
      <c r="J127" s="89"/>
      <c r="K127" s="89"/>
      <c r="L127" s="89"/>
      <c r="M127" s="89"/>
      <c r="N127" s="90"/>
      <c r="O127" s="90"/>
      <c r="P127" s="89"/>
      <c r="R127" s="219">
        <f>IF(OR(ListaDeCursos[[#This Row],[Tipo ]]="FIC",ListaDeCursos[[#This Row],[Tipo ]]="PROEJA-FIC"),ListaDeCursos[[#This Row],[Carga horária mínima]]/800,1)</f>
        <v>1</v>
      </c>
      <c r="T12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8" spans="7:20" x14ac:dyDescent="0.25">
      <c r="G128" s="89"/>
      <c r="H128" s="89"/>
      <c r="I128" s="89"/>
      <c r="J128" s="89"/>
      <c r="K128" s="89"/>
      <c r="L128" s="89"/>
      <c r="M128" s="89"/>
      <c r="N128" s="90"/>
      <c r="O128" s="90"/>
      <c r="P128" s="89"/>
      <c r="R128" s="219">
        <f>IF(OR(ListaDeCursos[[#This Row],[Tipo ]]="FIC",ListaDeCursos[[#This Row],[Tipo ]]="PROEJA-FIC"),ListaDeCursos[[#This Row],[Carga horária mínima]]/800,1)</f>
        <v>1</v>
      </c>
      <c r="T12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29" spans="7:20" x14ac:dyDescent="0.25">
      <c r="G129" s="89"/>
      <c r="H129" s="89"/>
      <c r="I129" s="89"/>
      <c r="J129" s="89"/>
      <c r="K129" s="89"/>
      <c r="L129" s="89"/>
      <c r="M129" s="89"/>
      <c r="N129" s="90"/>
      <c r="O129" s="90"/>
      <c r="P129" s="89"/>
      <c r="R129" s="219">
        <f>IF(OR(ListaDeCursos[[#This Row],[Tipo ]]="FIC",ListaDeCursos[[#This Row],[Tipo ]]="PROEJA-FIC"),ListaDeCursos[[#This Row],[Carga horária mínima]]/800,1)</f>
        <v>1</v>
      </c>
      <c r="T12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0" spans="7:20" x14ac:dyDescent="0.25">
      <c r="G130" s="89"/>
      <c r="H130" s="89"/>
      <c r="I130" s="89"/>
      <c r="J130" s="89"/>
      <c r="K130" s="89"/>
      <c r="L130" s="89"/>
      <c r="M130" s="89"/>
      <c r="N130" s="90"/>
      <c r="O130" s="90"/>
      <c r="P130" s="89"/>
      <c r="R130" s="219">
        <f>IF(OR(ListaDeCursos[[#This Row],[Tipo ]]="FIC",ListaDeCursos[[#This Row],[Tipo ]]="PROEJA-FIC"),ListaDeCursos[[#This Row],[Carga horária mínima]]/800,1)</f>
        <v>1</v>
      </c>
      <c r="T13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1" spans="7:20" x14ac:dyDescent="0.25">
      <c r="G131" s="89"/>
      <c r="H131" s="89"/>
      <c r="I131" s="89"/>
      <c r="J131" s="89"/>
      <c r="K131" s="89"/>
      <c r="L131" s="89"/>
      <c r="M131" s="89"/>
      <c r="N131" s="90"/>
      <c r="O131" s="90"/>
      <c r="P131" s="89"/>
      <c r="R131" s="219">
        <f>IF(OR(ListaDeCursos[[#This Row],[Tipo ]]="FIC",ListaDeCursos[[#This Row],[Tipo ]]="PROEJA-FIC"),ListaDeCursos[[#This Row],[Carga horária mínima]]/800,1)</f>
        <v>1</v>
      </c>
      <c r="T13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2" spans="7:20" x14ac:dyDescent="0.25">
      <c r="G132" s="89"/>
      <c r="H132" s="89"/>
      <c r="I132" s="89"/>
      <c r="J132" s="89"/>
      <c r="K132" s="89"/>
      <c r="L132" s="89"/>
      <c r="M132" s="89"/>
      <c r="N132" s="90"/>
      <c r="O132" s="90"/>
      <c r="P132" s="89"/>
      <c r="R132" s="219">
        <f>IF(OR(ListaDeCursos[[#This Row],[Tipo ]]="FIC",ListaDeCursos[[#This Row],[Tipo ]]="PROEJA-FIC"),ListaDeCursos[[#This Row],[Carga horária mínima]]/800,1)</f>
        <v>1</v>
      </c>
      <c r="T13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3" spans="7:20" x14ac:dyDescent="0.25">
      <c r="G133" s="89"/>
      <c r="H133" s="89"/>
      <c r="I133" s="89"/>
      <c r="J133" s="89"/>
      <c r="K133" s="89"/>
      <c r="L133" s="89"/>
      <c r="M133" s="89"/>
      <c r="N133" s="90"/>
      <c r="O133" s="90"/>
      <c r="P133" s="89"/>
      <c r="R133" s="219">
        <f>IF(OR(ListaDeCursos[[#This Row],[Tipo ]]="FIC",ListaDeCursos[[#This Row],[Tipo ]]="PROEJA-FIC"),ListaDeCursos[[#This Row],[Carga horária mínima]]/800,1)</f>
        <v>1</v>
      </c>
      <c r="T13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4" spans="7:20" x14ac:dyDescent="0.25">
      <c r="G134" s="89"/>
      <c r="H134" s="89"/>
      <c r="I134" s="89"/>
      <c r="J134" s="89"/>
      <c r="K134" s="89"/>
      <c r="L134" s="89"/>
      <c r="M134" s="89"/>
      <c r="N134" s="90"/>
      <c r="O134" s="90"/>
      <c r="P134" s="89"/>
      <c r="R134" s="219">
        <f>IF(OR(ListaDeCursos[[#This Row],[Tipo ]]="FIC",ListaDeCursos[[#This Row],[Tipo ]]="PROEJA-FIC"),ListaDeCursos[[#This Row],[Carga horária mínima]]/800,1)</f>
        <v>1</v>
      </c>
      <c r="T13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5" spans="7:20" x14ac:dyDescent="0.25">
      <c r="G135" s="89"/>
      <c r="H135" s="89"/>
      <c r="I135" s="89"/>
      <c r="J135" s="89"/>
      <c r="K135" s="89"/>
      <c r="L135" s="89"/>
      <c r="M135" s="89"/>
      <c r="N135" s="90"/>
      <c r="O135" s="90"/>
      <c r="P135" s="89"/>
      <c r="R135" s="219">
        <f>IF(OR(ListaDeCursos[[#This Row],[Tipo ]]="FIC",ListaDeCursos[[#This Row],[Tipo ]]="PROEJA-FIC"),ListaDeCursos[[#This Row],[Carga horária mínima]]/800,1)</f>
        <v>1</v>
      </c>
      <c r="T13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6" spans="7:20" x14ac:dyDescent="0.25">
      <c r="G136" s="89"/>
      <c r="H136" s="89"/>
      <c r="I136" s="89"/>
      <c r="J136" s="89"/>
      <c r="K136" s="89"/>
      <c r="L136" s="89"/>
      <c r="M136" s="89"/>
      <c r="N136" s="90"/>
      <c r="O136" s="90"/>
      <c r="P136" s="89"/>
      <c r="R136" s="219">
        <f>IF(OR(ListaDeCursos[[#This Row],[Tipo ]]="FIC",ListaDeCursos[[#This Row],[Tipo ]]="PROEJA-FIC"),ListaDeCursos[[#This Row],[Carga horária mínima]]/800,1)</f>
        <v>1</v>
      </c>
      <c r="T13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7" spans="7:20" x14ac:dyDescent="0.25">
      <c r="G137" s="89"/>
      <c r="H137" s="89"/>
      <c r="I137" s="89"/>
      <c r="J137" s="89"/>
      <c r="K137" s="89"/>
      <c r="L137" s="89"/>
      <c r="M137" s="89"/>
      <c r="N137" s="90"/>
      <c r="O137" s="90"/>
      <c r="P137" s="89"/>
      <c r="R137" s="219">
        <f>IF(OR(ListaDeCursos[[#This Row],[Tipo ]]="FIC",ListaDeCursos[[#This Row],[Tipo ]]="PROEJA-FIC"),ListaDeCursos[[#This Row],[Carga horária mínima]]/800,1)</f>
        <v>1</v>
      </c>
      <c r="T13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8" spans="7:20" x14ac:dyDescent="0.25">
      <c r="G138" s="89"/>
      <c r="H138" s="89"/>
      <c r="I138" s="89"/>
      <c r="J138" s="89"/>
      <c r="K138" s="89"/>
      <c r="L138" s="89"/>
      <c r="M138" s="89"/>
      <c r="N138" s="90"/>
      <c r="O138" s="90"/>
      <c r="P138" s="89"/>
      <c r="R138" s="219">
        <f>IF(OR(ListaDeCursos[[#This Row],[Tipo ]]="FIC",ListaDeCursos[[#This Row],[Tipo ]]="PROEJA-FIC"),ListaDeCursos[[#This Row],[Carga horária mínima]]/800,1)</f>
        <v>1</v>
      </c>
      <c r="T13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39" spans="7:20" x14ac:dyDescent="0.25">
      <c r="G139" s="89"/>
      <c r="H139" s="89"/>
      <c r="I139" s="89"/>
      <c r="J139" s="89"/>
      <c r="K139" s="89"/>
      <c r="L139" s="89"/>
      <c r="M139" s="89"/>
      <c r="N139" s="90"/>
      <c r="O139" s="90"/>
      <c r="P139" s="89"/>
      <c r="R139" s="219">
        <f>IF(OR(ListaDeCursos[[#This Row],[Tipo ]]="FIC",ListaDeCursos[[#This Row],[Tipo ]]="PROEJA-FIC"),ListaDeCursos[[#This Row],[Carga horária mínima]]/800,1)</f>
        <v>1</v>
      </c>
      <c r="T13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0" spans="7:20" x14ac:dyDescent="0.25">
      <c r="G140" s="89"/>
      <c r="H140" s="89"/>
      <c r="I140" s="89"/>
      <c r="J140" s="89"/>
      <c r="K140" s="89"/>
      <c r="L140" s="89"/>
      <c r="M140" s="89"/>
      <c r="N140" s="90"/>
      <c r="O140" s="90"/>
      <c r="P140" s="89"/>
      <c r="R140" s="219">
        <f>IF(OR(ListaDeCursos[[#This Row],[Tipo ]]="FIC",ListaDeCursos[[#This Row],[Tipo ]]="PROEJA-FIC"),ListaDeCursos[[#This Row],[Carga horária mínima]]/800,1)</f>
        <v>1</v>
      </c>
      <c r="T14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1" spans="7:20" x14ac:dyDescent="0.25">
      <c r="G141" s="89"/>
      <c r="H141" s="89"/>
      <c r="I141" s="89"/>
      <c r="J141" s="89"/>
      <c r="K141" s="89"/>
      <c r="L141" s="89"/>
      <c r="M141" s="89"/>
      <c r="N141" s="90"/>
      <c r="O141" s="90"/>
      <c r="P141" s="89"/>
      <c r="R141" s="219">
        <f>IF(OR(ListaDeCursos[[#This Row],[Tipo ]]="FIC",ListaDeCursos[[#This Row],[Tipo ]]="PROEJA-FIC"),ListaDeCursos[[#This Row],[Carga horária mínima]]/800,1)</f>
        <v>1</v>
      </c>
      <c r="T14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2" spans="7:20" x14ac:dyDescent="0.25">
      <c r="G142" s="89"/>
      <c r="H142" s="89"/>
      <c r="I142" s="89"/>
      <c r="J142" s="89"/>
      <c r="K142" s="89"/>
      <c r="L142" s="89"/>
      <c r="M142" s="89"/>
      <c r="N142" s="90"/>
      <c r="O142" s="90"/>
      <c r="P142" s="89"/>
      <c r="R142" s="219">
        <f>IF(OR(ListaDeCursos[[#This Row],[Tipo ]]="FIC",ListaDeCursos[[#This Row],[Tipo ]]="PROEJA-FIC"),ListaDeCursos[[#This Row],[Carga horária mínima]]/800,1)</f>
        <v>1</v>
      </c>
      <c r="T14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3" spans="7:20" x14ac:dyDescent="0.25">
      <c r="G143" s="89"/>
      <c r="H143" s="89"/>
      <c r="I143" s="89"/>
      <c r="J143" s="89"/>
      <c r="K143" s="89"/>
      <c r="L143" s="89"/>
      <c r="M143" s="89"/>
      <c r="N143" s="90"/>
      <c r="O143" s="90"/>
      <c r="P143" s="89"/>
      <c r="R143" s="219">
        <f>IF(OR(ListaDeCursos[[#This Row],[Tipo ]]="FIC",ListaDeCursos[[#This Row],[Tipo ]]="PROEJA-FIC"),ListaDeCursos[[#This Row],[Carga horária mínima]]/800,1)</f>
        <v>1</v>
      </c>
      <c r="T14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4" spans="7:20" x14ac:dyDescent="0.25">
      <c r="G144" s="89"/>
      <c r="H144" s="89"/>
      <c r="I144" s="89"/>
      <c r="J144" s="89"/>
      <c r="K144" s="89"/>
      <c r="L144" s="89"/>
      <c r="M144" s="89"/>
      <c r="N144" s="90"/>
      <c r="O144" s="90"/>
      <c r="P144" s="89"/>
      <c r="R144" s="219">
        <f>IF(OR(ListaDeCursos[[#This Row],[Tipo ]]="FIC",ListaDeCursos[[#This Row],[Tipo ]]="PROEJA-FIC"),ListaDeCursos[[#This Row],[Carga horária mínima]]/800,1)</f>
        <v>1</v>
      </c>
      <c r="T14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5" spans="7:20" x14ac:dyDescent="0.25">
      <c r="G145" s="89"/>
      <c r="H145" s="89"/>
      <c r="I145" s="89"/>
      <c r="J145" s="89"/>
      <c r="K145" s="89"/>
      <c r="L145" s="89"/>
      <c r="M145" s="89"/>
      <c r="N145" s="90"/>
      <c r="O145" s="90"/>
      <c r="P145" s="89"/>
      <c r="R145" s="219">
        <f>IF(OR(ListaDeCursos[[#This Row],[Tipo ]]="FIC",ListaDeCursos[[#This Row],[Tipo ]]="PROEJA-FIC"),ListaDeCursos[[#This Row],[Carga horária mínima]]/800,1)</f>
        <v>1</v>
      </c>
      <c r="T14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6" spans="7:20" x14ac:dyDescent="0.25">
      <c r="G146" s="89"/>
      <c r="H146" s="89"/>
      <c r="I146" s="89"/>
      <c r="J146" s="89"/>
      <c r="K146" s="89"/>
      <c r="L146" s="89"/>
      <c r="M146" s="89"/>
      <c r="N146" s="90"/>
      <c r="O146" s="90"/>
      <c r="P146" s="89"/>
      <c r="R146" s="219">
        <f>IF(OR(ListaDeCursos[[#This Row],[Tipo ]]="FIC",ListaDeCursos[[#This Row],[Tipo ]]="PROEJA-FIC"),ListaDeCursos[[#This Row],[Carga horária mínima]]/800,1)</f>
        <v>1</v>
      </c>
      <c r="T14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7" spans="7:20" x14ac:dyDescent="0.25">
      <c r="G147" s="89"/>
      <c r="H147" s="89"/>
      <c r="I147" s="89"/>
      <c r="J147" s="89"/>
      <c r="K147" s="89"/>
      <c r="L147" s="89"/>
      <c r="M147" s="89"/>
      <c r="N147" s="90"/>
      <c r="O147" s="90"/>
      <c r="P147" s="89"/>
      <c r="R147" s="219">
        <f>IF(OR(ListaDeCursos[[#This Row],[Tipo ]]="FIC",ListaDeCursos[[#This Row],[Tipo ]]="PROEJA-FIC"),ListaDeCursos[[#This Row],[Carga horária mínima]]/800,1)</f>
        <v>1</v>
      </c>
      <c r="T14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8" spans="7:20" x14ac:dyDescent="0.25">
      <c r="G148" s="89"/>
      <c r="H148" s="89"/>
      <c r="I148" s="89"/>
      <c r="J148" s="89"/>
      <c r="K148" s="89"/>
      <c r="L148" s="89"/>
      <c r="M148" s="89"/>
      <c r="N148" s="90"/>
      <c r="O148" s="90"/>
      <c r="P148" s="89"/>
      <c r="R148" s="219">
        <f>IF(OR(ListaDeCursos[[#This Row],[Tipo ]]="FIC",ListaDeCursos[[#This Row],[Tipo ]]="PROEJA-FIC"),ListaDeCursos[[#This Row],[Carga horária mínima]]/800,1)</f>
        <v>1</v>
      </c>
      <c r="T14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49" spans="7:20" x14ac:dyDescent="0.25">
      <c r="G149" s="89"/>
      <c r="H149" s="89"/>
      <c r="I149" s="89"/>
      <c r="J149" s="89"/>
      <c r="K149" s="89"/>
      <c r="L149" s="89"/>
      <c r="M149" s="89"/>
      <c r="N149" s="90"/>
      <c r="O149" s="90"/>
      <c r="P149" s="89"/>
      <c r="R149" s="219">
        <f>IF(OR(ListaDeCursos[[#This Row],[Tipo ]]="FIC",ListaDeCursos[[#This Row],[Tipo ]]="PROEJA-FIC"),ListaDeCursos[[#This Row],[Carga horária mínima]]/800,1)</f>
        <v>1</v>
      </c>
      <c r="T14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0" spans="7:20" x14ac:dyDescent="0.25">
      <c r="G150" s="89"/>
      <c r="H150" s="89"/>
      <c r="I150" s="89"/>
      <c r="J150" s="89"/>
      <c r="K150" s="89"/>
      <c r="L150" s="89"/>
      <c r="M150" s="89"/>
      <c r="N150" s="90"/>
      <c r="O150" s="90"/>
      <c r="P150" s="89"/>
      <c r="R150" s="219">
        <f>IF(OR(ListaDeCursos[[#This Row],[Tipo ]]="FIC",ListaDeCursos[[#This Row],[Tipo ]]="PROEJA-FIC"),ListaDeCursos[[#This Row],[Carga horária mínima]]/800,1)</f>
        <v>1</v>
      </c>
      <c r="T15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1" spans="7:20" x14ac:dyDescent="0.25">
      <c r="G151" s="89"/>
      <c r="H151" s="89"/>
      <c r="I151" s="89"/>
      <c r="J151" s="89"/>
      <c r="K151" s="89"/>
      <c r="L151" s="89"/>
      <c r="M151" s="89"/>
      <c r="N151" s="90"/>
      <c r="O151" s="90"/>
      <c r="P151" s="89"/>
      <c r="R151" s="219">
        <f>IF(OR(ListaDeCursos[[#This Row],[Tipo ]]="FIC",ListaDeCursos[[#This Row],[Tipo ]]="PROEJA-FIC"),ListaDeCursos[[#This Row],[Carga horária mínima]]/800,1)</f>
        <v>1</v>
      </c>
      <c r="T15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2" spans="7:20" x14ac:dyDescent="0.25">
      <c r="G152" s="89"/>
      <c r="H152" s="89"/>
      <c r="I152" s="89"/>
      <c r="J152" s="89"/>
      <c r="K152" s="89"/>
      <c r="L152" s="89"/>
      <c r="M152" s="89"/>
      <c r="N152" s="90"/>
      <c r="O152" s="90"/>
      <c r="P152" s="89"/>
      <c r="R152" s="219">
        <f>IF(OR(ListaDeCursos[[#This Row],[Tipo ]]="FIC",ListaDeCursos[[#This Row],[Tipo ]]="PROEJA-FIC"),ListaDeCursos[[#This Row],[Carga horária mínima]]/800,1)</f>
        <v>1</v>
      </c>
      <c r="T15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3" spans="7:20" x14ac:dyDescent="0.25">
      <c r="G153" s="89"/>
      <c r="H153" s="89"/>
      <c r="I153" s="89"/>
      <c r="J153" s="89"/>
      <c r="K153" s="89"/>
      <c r="L153" s="89"/>
      <c r="M153" s="89"/>
      <c r="N153" s="90"/>
      <c r="O153" s="90"/>
      <c r="P153" s="89"/>
      <c r="R153" s="219">
        <f>IF(OR(ListaDeCursos[[#This Row],[Tipo ]]="FIC",ListaDeCursos[[#This Row],[Tipo ]]="PROEJA-FIC"),ListaDeCursos[[#This Row],[Carga horária mínima]]/800,1)</f>
        <v>1</v>
      </c>
      <c r="T15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4" spans="7:20" x14ac:dyDescent="0.25">
      <c r="G154" s="89"/>
      <c r="H154" s="89"/>
      <c r="I154" s="89"/>
      <c r="J154" s="89"/>
      <c r="K154" s="89"/>
      <c r="L154" s="89"/>
      <c r="M154" s="89"/>
      <c r="N154" s="90"/>
      <c r="O154" s="90"/>
      <c r="P154" s="89"/>
      <c r="R154" s="219">
        <f>IF(OR(ListaDeCursos[[#This Row],[Tipo ]]="FIC",ListaDeCursos[[#This Row],[Tipo ]]="PROEJA-FIC"),ListaDeCursos[[#This Row],[Carga horária mínima]]/800,1)</f>
        <v>1</v>
      </c>
      <c r="T15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5" spans="7:20" x14ac:dyDescent="0.25">
      <c r="G155" s="89"/>
      <c r="H155" s="89"/>
      <c r="I155" s="89"/>
      <c r="J155" s="89"/>
      <c r="K155" s="89"/>
      <c r="L155" s="89"/>
      <c r="M155" s="89"/>
      <c r="N155" s="90"/>
      <c r="O155" s="90"/>
      <c r="P155" s="89"/>
      <c r="R155" s="219">
        <f>IF(OR(ListaDeCursos[[#This Row],[Tipo ]]="FIC",ListaDeCursos[[#This Row],[Tipo ]]="PROEJA-FIC"),ListaDeCursos[[#This Row],[Carga horária mínima]]/800,1)</f>
        <v>1</v>
      </c>
      <c r="T15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6" spans="7:20" x14ac:dyDescent="0.25">
      <c r="G156" s="89"/>
      <c r="H156" s="89"/>
      <c r="I156" s="89"/>
      <c r="J156" s="89"/>
      <c r="K156" s="89"/>
      <c r="L156" s="89"/>
      <c r="M156" s="89"/>
      <c r="N156" s="90"/>
      <c r="O156" s="90"/>
      <c r="P156" s="89"/>
      <c r="R156" s="219">
        <f>IF(OR(ListaDeCursos[[#This Row],[Tipo ]]="FIC",ListaDeCursos[[#This Row],[Tipo ]]="PROEJA-FIC"),ListaDeCursos[[#This Row],[Carga horária mínima]]/800,1)</f>
        <v>1</v>
      </c>
      <c r="T15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7" spans="7:20" x14ac:dyDescent="0.25">
      <c r="G157" s="89"/>
      <c r="H157" s="89"/>
      <c r="I157" s="89"/>
      <c r="J157" s="89"/>
      <c r="K157" s="89"/>
      <c r="L157" s="89"/>
      <c r="M157" s="89"/>
      <c r="N157" s="90"/>
      <c r="O157" s="90"/>
      <c r="P157" s="89"/>
      <c r="R157" s="219">
        <f>IF(OR(ListaDeCursos[[#This Row],[Tipo ]]="FIC",ListaDeCursos[[#This Row],[Tipo ]]="PROEJA-FIC"),ListaDeCursos[[#This Row],[Carga horária mínima]]/800,1)</f>
        <v>1</v>
      </c>
      <c r="T15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8" spans="7:20" x14ac:dyDescent="0.25">
      <c r="G158" s="89"/>
      <c r="H158" s="89"/>
      <c r="I158" s="89"/>
      <c r="J158" s="89"/>
      <c r="K158" s="89"/>
      <c r="L158" s="89"/>
      <c r="M158" s="89"/>
      <c r="N158" s="90"/>
      <c r="O158" s="90"/>
      <c r="P158" s="89"/>
      <c r="R158" s="219">
        <f>IF(OR(ListaDeCursos[[#This Row],[Tipo ]]="FIC",ListaDeCursos[[#This Row],[Tipo ]]="PROEJA-FIC"),ListaDeCursos[[#This Row],[Carga horária mínima]]/800,1)</f>
        <v>1</v>
      </c>
      <c r="T15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59" spans="7:20" x14ac:dyDescent="0.25">
      <c r="G159" s="89"/>
      <c r="H159" s="89"/>
      <c r="I159" s="89"/>
      <c r="J159" s="89"/>
      <c r="K159" s="89"/>
      <c r="L159" s="89"/>
      <c r="M159" s="89"/>
      <c r="N159" s="90"/>
      <c r="O159" s="90"/>
      <c r="P159" s="89"/>
      <c r="R159" s="219">
        <f>IF(OR(ListaDeCursos[[#This Row],[Tipo ]]="FIC",ListaDeCursos[[#This Row],[Tipo ]]="PROEJA-FIC"),ListaDeCursos[[#This Row],[Carga horária mínima]]/800,1)</f>
        <v>1</v>
      </c>
      <c r="T15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0" spans="7:20" x14ac:dyDescent="0.25">
      <c r="G160" s="89"/>
      <c r="H160" s="89"/>
      <c r="I160" s="89"/>
      <c r="J160" s="89"/>
      <c r="K160" s="89"/>
      <c r="L160" s="89"/>
      <c r="M160" s="89"/>
      <c r="N160" s="90"/>
      <c r="O160" s="90"/>
      <c r="P160" s="89"/>
      <c r="R160" s="219">
        <f>IF(OR(ListaDeCursos[[#This Row],[Tipo ]]="FIC",ListaDeCursos[[#This Row],[Tipo ]]="PROEJA-FIC"),ListaDeCursos[[#This Row],[Carga horária mínima]]/800,1)</f>
        <v>1</v>
      </c>
      <c r="T16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1" spans="7:20" x14ac:dyDescent="0.25">
      <c r="G161" s="89"/>
      <c r="H161" s="89"/>
      <c r="I161" s="89"/>
      <c r="J161" s="89"/>
      <c r="K161" s="89"/>
      <c r="L161" s="89"/>
      <c r="M161" s="89"/>
      <c r="N161" s="90"/>
      <c r="O161" s="90"/>
      <c r="P161" s="89"/>
      <c r="R161" s="219">
        <f>IF(OR(ListaDeCursos[[#This Row],[Tipo ]]="FIC",ListaDeCursos[[#This Row],[Tipo ]]="PROEJA-FIC"),ListaDeCursos[[#This Row],[Carga horária mínima]]/800,1)</f>
        <v>1</v>
      </c>
      <c r="T16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2" spans="7:20" x14ac:dyDescent="0.25">
      <c r="G162" s="89"/>
      <c r="H162" s="89"/>
      <c r="I162" s="89"/>
      <c r="J162" s="89"/>
      <c r="K162" s="89"/>
      <c r="L162" s="89"/>
      <c r="M162" s="89"/>
      <c r="N162" s="90"/>
      <c r="O162" s="90"/>
      <c r="P162" s="89"/>
      <c r="R162" s="219">
        <f>IF(OR(ListaDeCursos[[#This Row],[Tipo ]]="FIC",ListaDeCursos[[#This Row],[Tipo ]]="PROEJA-FIC"),ListaDeCursos[[#This Row],[Carga horária mínima]]/800,1)</f>
        <v>1</v>
      </c>
      <c r="T16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3" spans="7:20" x14ac:dyDescent="0.25">
      <c r="G163" s="89"/>
      <c r="H163" s="89"/>
      <c r="I163" s="89"/>
      <c r="J163" s="89"/>
      <c r="K163" s="89"/>
      <c r="L163" s="89"/>
      <c r="M163" s="89"/>
      <c r="N163" s="90"/>
      <c r="O163" s="90"/>
      <c r="P163" s="89"/>
      <c r="R163" s="219">
        <f>IF(OR(ListaDeCursos[[#This Row],[Tipo ]]="FIC",ListaDeCursos[[#This Row],[Tipo ]]="PROEJA-FIC"),ListaDeCursos[[#This Row],[Carga horária mínima]]/800,1)</f>
        <v>1</v>
      </c>
      <c r="T16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4" spans="7:20" x14ac:dyDescent="0.25">
      <c r="G164" s="89"/>
      <c r="H164" s="89"/>
      <c r="I164" s="89"/>
      <c r="J164" s="89"/>
      <c r="K164" s="89"/>
      <c r="L164" s="89"/>
      <c r="M164" s="89"/>
      <c r="N164" s="90"/>
      <c r="O164" s="90"/>
      <c r="P164" s="89"/>
      <c r="R164" s="219">
        <f>IF(OR(ListaDeCursos[[#This Row],[Tipo ]]="FIC",ListaDeCursos[[#This Row],[Tipo ]]="PROEJA-FIC"),ListaDeCursos[[#This Row],[Carga horária mínima]]/800,1)</f>
        <v>1</v>
      </c>
      <c r="T16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5" spans="7:20" x14ac:dyDescent="0.25">
      <c r="G165" s="89"/>
      <c r="H165" s="89"/>
      <c r="I165" s="89"/>
      <c r="J165" s="89"/>
      <c r="K165" s="89"/>
      <c r="L165" s="89"/>
      <c r="M165" s="89"/>
      <c r="N165" s="90"/>
      <c r="O165" s="90"/>
      <c r="P165" s="89"/>
      <c r="R165" s="219">
        <f>IF(OR(ListaDeCursos[[#This Row],[Tipo ]]="FIC",ListaDeCursos[[#This Row],[Tipo ]]="PROEJA-FIC"),ListaDeCursos[[#This Row],[Carga horária mínima]]/800,1)</f>
        <v>1</v>
      </c>
      <c r="T16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6" spans="7:20" x14ac:dyDescent="0.25">
      <c r="G166" s="89"/>
      <c r="H166" s="89"/>
      <c r="I166" s="89"/>
      <c r="J166" s="89"/>
      <c r="K166" s="89"/>
      <c r="L166" s="89"/>
      <c r="M166" s="89"/>
      <c r="N166" s="90"/>
      <c r="O166" s="90"/>
      <c r="P166" s="89"/>
      <c r="R166" s="219">
        <f>IF(OR(ListaDeCursos[[#This Row],[Tipo ]]="FIC",ListaDeCursos[[#This Row],[Tipo ]]="PROEJA-FIC"),ListaDeCursos[[#This Row],[Carga horária mínima]]/800,1)</f>
        <v>1</v>
      </c>
      <c r="T16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7" spans="7:20" x14ac:dyDescent="0.25">
      <c r="G167" s="89"/>
      <c r="H167" s="89"/>
      <c r="I167" s="89"/>
      <c r="J167" s="89"/>
      <c r="K167" s="89"/>
      <c r="L167" s="89"/>
      <c r="M167" s="89"/>
      <c r="N167" s="90"/>
      <c r="O167" s="90"/>
      <c r="P167" s="89"/>
      <c r="R167" s="219">
        <f>IF(OR(ListaDeCursos[[#This Row],[Tipo ]]="FIC",ListaDeCursos[[#This Row],[Tipo ]]="PROEJA-FIC"),ListaDeCursos[[#This Row],[Carga horária mínima]]/800,1)</f>
        <v>1</v>
      </c>
      <c r="T16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8" spans="7:20" x14ac:dyDescent="0.25">
      <c r="G168" s="89"/>
      <c r="H168" s="89"/>
      <c r="I168" s="89"/>
      <c r="J168" s="89"/>
      <c r="K168" s="89"/>
      <c r="L168" s="89"/>
      <c r="M168" s="89"/>
      <c r="N168" s="90"/>
      <c r="O168" s="90"/>
      <c r="P168" s="89"/>
      <c r="R168" s="219">
        <f>IF(OR(ListaDeCursos[[#This Row],[Tipo ]]="FIC",ListaDeCursos[[#This Row],[Tipo ]]="PROEJA-FIC"),ListaDeCursos[[#This Row],[Carga horária mínima]]/800,1)</f>
        <v>1</v>
      </c>
      <c r="T16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69" spans="7:20" x14ac:dyDescent="0.25">
      <c r="G169" s="89"/>
      <c r="H169" s="89"/>
      <c r="I169" s="89"/>
      <c r="J169" s="89"/>
      <c r="K169" s="89"/>
      <c r="L169" s="89"/>
      <c r="M169" s="89"/>
      <c r="N169" s="90"/>
      <c r="O169" s="90"/>
      <c r="P169" s="89"/>
      <c r="R169" s="219">
        <f>IF(OR(ListaDeCursos[[#This Row],[Tipo ]]="FIC",ListaDeCursos[[#This Row],[Tipo ]]="PROEJA-FIC"),ListaDeCursos[[#This Row],[Carga horária mínima]]/800,1)</f>
        <v>1</v>
      </c>
      <c r="T16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0" spans="7:20" x14ac:dyDescent="0.25">
      <c r="G170" s="89"/>
      <c r="H170" s="89"/>
      <c r="I170" s="89"/>
      <c r="J170" s="89"/>
      <c r="K170" s="89"/>
      <c r="L170" s="89"/>
      <c r="M170" s="89"/>
      <c r="N170" s="90"/>
      <c r="O170" s="90"/>
      <c r="P170" s="89"/>
      <c r="R170" s="219">
        <f>IF(OR(ListaDeCursos[[#This Row],[Tipo ]]="FIC",ListaDeCursos[[#This Row],[Tipo ]]="PROEJA-FIC"),ListaDeCursos[[#This Row],[Carga horária mínima]]/800,1)</f>
        <v>1</v>
      </c>
      <c r="T17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1" spans="7:20" x14ac:dyDescent="0.25">
      <c r="G171" s="89"/>
      <c r="H171" s="89"/>
      <c r="I171" s="89"/>
      <c r="J171" s="89"/>
      <c r="K171" s="89"/>
      <c r="L171" s="89"/>
      <c r="M171" s="89"/>
      <c r="N171" s="90"/>
      <c r="O171" s="90"/>
      <c r="P171" s="89"/>
      <c r="R171" s="219">
        <f>IF(OR(ListaDeCursos[[#This Row],[Tipo ]]="FIC",ListaDeCursos[[#This Row],[Tipo ]]="PROEJA-FIC"),ListaDeCursos[[#This Row],[Carga horária mínima]]/800,1)</f>
        <v>1</v>
      </c>
      <c r="T17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2" spans="7:20" x14ac:dyDescent="0.25">
      <c r="G172" s="89"/>
      <c r="H172" s="89"/>
      <c r="I172" s="89"/>
      <c r="J172" s="89"/>
      <c r="K172" s="89"/>
      <c r="L172" s="89"/>
      <c r="M172" s="89"/>
      <c r="N172" s="90"/>
      <c r="O172" s="90"/>
      <c r="P172" s="89"/>
      <c r="R172" s="219">
        <f>IF(OR(ListaDeCursos[[#This Row],[Tipo ]]="FIC",ListaDeCursos[[#This Row],[Tipo ]]="PROEJA-FIC"),ListaDeCursos[[#This Row],[Carga horária mínima]]/800,1)</f>
        <v>1</v>
      </c>
      <c r="T17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3" spans="7:20" x14ac:dyDescent="0.25">
      <c r="G173" s="89"/>
      <c r="H173" s="89"/>
      <c r="I173" s="89"/>
      <c r="J173" s="89"/>
      <c r="K173" s="89"/>
      <c r="L173" s="89"/>
      <c r="M173" s="89"/>
      <c r="N173" s="90"/>
      <c r="O173" s="90"/>
      <c r="P173" s="89"/>
      <c r="R173" s="219">
        <f>IF(OR(ListaDeCursos[[#This Row],[Tipo ]]="FIC",ListaDeCursos[[#This Row],[Tipo ]]="PROEJA-FIC"),ListaDeCursos[[#This Row],[Carga horária mínima]]/800,1)</f>
        <v>1</v>
      </c>
      <c r="T17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4" spans="7:20" x14ac:dyDescent="0.25">
      <c r="G174" s="89"/>
      <c r="H174" s="89"/>
      <c r="I174" s="89"/>
      <c r="J174" s="89"/>
      <c r="K174" s="89"/>
      <c r="L174" s="89"/>
      <c r="M174" s="89"/>
      <c r="N174" s="90"/>
      <c r="O174" s="90"/>
      <c r="P174" s="89"/>
      <c r="R174" s="219">
        <f>IF(OR(ListaDeCursos[[#This Row],[Tipo ]]="FIC",ListaDeCursos[[#This Row],[Tipo ]]="PROEJA-FIC"),ListaDeCursos[[#This Row],[Carga horária mínima]]/800,1)</f>
        <v>1</v>
      </c>
      <c r="T17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5" spans="7:20" x14ac:dyDescent="0.25">
      <c r="G175" s="89"/>
      <c r="H175" s="89"/>
      <c r="I175" s="89"/>
      <c r="J175" s="89"/>
      <c r="K175" s="89"/>
      <c r="L175" s="89"/>
      <c r="M175" s="89"/>
      <c r="N175" s="90"/>
      <c r="O175" s="90"/>
      <c r="P175" s="89"/>
      <c r="R175" s="219">
        <f>IF(OR(ListaDeCursos[[#This Row],[Tipo ]]="FIC",ListaDeCursos[[#This Row],[Tipo ]]="PROEJA-FIC"),ListaDeCursos[[#This Row],[Carga horária mínima]]/800,1)</f>
        <v>1</v>
      </c>
      <c r="T17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6" spans="7:20" x14ac:dyDescent="0.25">
      <c r="G176" s="89"/>
      <c r="H176" s="89"/>
      <c r="I176" s="89"/>
      <c r="J176" s="89"/>
      <c r="K176" s="89"/>
      <c r="L176" s="89"/>
      <c r="M176" s="89"/>
      <c r="N176" s="90"/>
      <c r="O176" s="90"/>
      <c r="P176" s="89"/>
      <c r="R176" s="219">
        <f>IF(OR(ListaDeCursos[[#This Row],[Tipo ]]="FIC",ListaDeCursos[[#This Row],[Tipo ]]="PROEJA-FIC"),ListaDeCursos[[#This Row],[Carga horária mínima]]/800,1)</f>
        <v>1</v>
      </c>
      <c r="T17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7" spans="7:20" x14ac:dyDescent="0.25">
      <c r="G177" s="89"/>
      <c r="H177" s="89"/>
      <c r="I177" s="89"/>
      <c r="J177" s="89"/>
      <c r="K177" s="89"/>
      <c r="L177" s="89"/>
      <c r="M177" s="89"/>
      <c r="N177" s="90"/>
      <c r="O177" s="90"/>
      <c r="P177" s="89"/>
      <c r="R177" s="219">
        <f>IF(OR(ListaDeCursos[[#This Row],[Tipo ]]="FIC",ListaDeCursos[[#This Row],[Tipo ]]="PROEJA-FIC"),ListaDeCursos[[#This Row],[Carga horária mínima]]/800,1)</f>
        <v>1</v>
      </c>
      <c r="T17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8" spans="7:20" x14ac:dyDescent="0.25">
      <c r="G178" s="89"/>
      <c r="H178" s="89"/>
      <c r="I178" s="89"/>
      <c r="J178" s="89"/>
      <c r="K178" s="89"/>
      <c r="L178" s="89"/>
      <c r="M178" s="89"/>
      <c r="N178" s="90"/>
      <c r="O178" s="90"/>
      <c r="P178" s="89"/>
      <c r="R178" s="219">
        <f>IF(OR(ListaDeCursos[[#This Row],[Tipo ]]="FIC",ListaDeCursos[[#This Row],[Tipo ]]="PROEJA-FIC"),ListaDeCursos[[#This Row],[Carga horária mínima]]/800,1)</f>
        <v>1</v>
      </c>
      <c r="T17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79" spans="7:20" x14ac:dyDescent="0.25">
      <c r="G179" s="89"/>
      <c r="H179" s="89"/>
      <c r="I179" s="89"/>
      <c r="J179" s="89"/>
      <c r="K179" s="89"/>
      <c r="L179" s="89"/>
      <c r="M179" s="89"/>
      <c r="N179" s="90"/>
      <c r="O179" s="90"/>
      <c r="P179" s="89"/>
      <c r="R179" s="219">
        <f>IF(OR(ListaDeCursos[[#This Row],[Tipo ]]="FIC",ListaDeCursos[[#This Row],[Tipo ]]="PROEJA-FIC"),ListaDeCursos[[#This Row],[Carga horária mínima]]/800,1)</f>
        <v>1</v>
      </c>
      <c r="T17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0" spans="7:20" x14ac:dyDescent="0.25">
      <c r="G180" s="89"/>
      <c r="H180" s="89"/>
      <c r="I180" s="89"/>
      <c r="J180" s="89"/>
      <c r="K180" s="89"/>
      <c r="L180" s="89"/>
      <c r="M180" s="89"/>
      <c r="N180" s="90"/>
      <c r="O180" s="90"/>
      <c r="P180" s="89"/>
      <c r="R180" s="219">
        <f>IF(OR(ListaDeCursos[[#This Row],[Tipo ]]="FIC",ListaDeCursos[[#This Row],[Tipo ]]="PROEJA-FIC"),ListaDeCursos[[#This Row],[Carga horária mínima]]/800,1)</f>
        <v>1</v>
      </c>
      <c r="T18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1" spans="7:20" x14ac:dyDescent="0.25">
      <c r="G181" s="89"/>
      <c r="H181" s="89"/>
      <c r="I181" s="89"/>
      <c r="J181" s="89"/>
      <c r="K181" s="89"/>
      <c r="L181" s="89"/>
      <c r="M181" s="89"/>
      <c r="N181" s="90"/>
      <c r="O181" s="90"/>
      <c r="P181" s="89"/>
      <c r="R181" s="219">
        <f>IF(OR(ListaDeCursos[[#This Row],[Tipo ]]="FIC",ListaDeCursos[[#This Row],[Tipo ]]="PROEJA-FIC"),ListaDeCursos[[#This Row],[Carga horária mínima]]/800,1)</f>
        <v>1</v>
      </c>
      <c r="T18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2" spans="7:20" x14ac:dyDescent="0.25">
      <c r="G182" s="89"/>
      <c r="H182" s="89"/>
      <c r="I182" s="89"/>
      <c r="J182" s="89"/>
      <c r="K182" s="89"/>
      <c r="L182" s="89"/>
      <c r="M182" s="89"/>
      <c r="N182" s="90"/>
      <c r="O182" s="90"/>
      <c r="P182" s="89"/>
      <c r="R182" s="219">
        <f>IF(OR(ListaDeCursos[[#This Row],[Tipo ]]="FIC",ListaDeCursos[[#This Row],[Tipo ]]="PROEJA-FIC"),ListaDeCursos[[#This Row],[Carga horária mínima]]/800,1)</f>
        <v>1</v>
      </c>
      <c r="T18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3" spans="7:20" x14ac:dyDescent="0.25">
      <c r="G183" s="89"/>
      <c r="H183" s="89"/>
      <c r="I183" s="89"/>
      <c r="J183" s="89"/>
      <c r="K183" s="89"/>
      <c r="L183" s="89"/>
      <c r="M183" s="89"/>
      <c r="N183" s="90"/>
      <c r="O183" s="90"/>
      <c r="P183" s="89"/>
      <c r="R183" s="219">
        <f>IF(OR(ListaDeCursos[[#This Row],[Tipo ]]="FIC",ListaDeCursos[[#This Row],[Tipo ]]="PROEJA-FIC"),ListaDeCursos[[#This Row],[Carga horária mínima]]/800,1)</f>
        <v>1</v>
      </c>
      <c r="T18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4" spans="7:20" x14ac:dyDescent="0.25">
      <c r="G184" s="89"/>
      <c r="H184" s="89"/>
      <c r="I184" s="89"/>
      <c r="J184" s="89"/>
      <c r="K184" s="89"/>
      <c r="L184" s="89"/>
      <c r="M184" s="89"/>
      <c r="N184" s="90"/>
      <c r="O184" s="90"/>
      <c r="P184" s="89"/>
      <c r="R184" s="219">
        <f>IF(OR(ListaDeCursos[[#This Row],[Tipo ]]="FIC",ListaDeCursos[[#This Row],[Tipo ]]="PROEJA-FIC"),ListaDeCursos[[#This Row],[Carga horária mínima]]/800,1)</f>
        <v>1</v>
      </c>
      <c r="T18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5" spans="7:20" x14ac:dyDescent="0.25">
      <c r="G185" s="89"/>
      <c r="H185" s="89"/>
      <c r="I185" s="89"/>
      <c r="J185" s="89"/>
      <c r="K185" s="89"/>
      <c r="L185" s="89"/>
      <c r="M185" s="89"/>
      <c r="N185" s="90"/>
      <c r="O185" s="90"/>
      <c r="P185" s="89"/>
      <c r="R185" s="219">
        <f>IF(OR(ListaDeCursos[[#This Row],[Tipo ]]="FIC",ListaDeCursos[[#This Row],[Tipo ]]="PROEJA-FIC"),ListaDeCursos[[#This Row],[Carga horária mínima]]/800,1)</f>
        <v>1</v>
      </c>
      <c r="T18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6" spans="7:20" x14ac:dyDescent="0.25">
      <c r="G186" s="89"/>
      <c r="H186" s="89"/>
      <c r="I186" s="89"/>
      <c r="J186" s="89"/>
      <c r="K186" s="89"/>
      <c r="L186" s="89"/>
      <c r="M186" s="89"/>
      <c r="N186" s="90"/>
      <c r="O186" s="90"/>
      <c r="P186" s="89"/>
      <c r="R186" s="219">
        <f>IF(OR(ListaDeCursos[[#This Row],[Tipo ]]="FIC",ListaDeCursos[[#This Row],[Tipo ]]="PROEJA-FIC"),ListaDeCursos[[#This Row],[Carga horária mínima]]/800,1)</f>
        <v>1</v>
      </c>
      <c r="T18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7" spans="7:20" x14ac:dyDescent="0.25">
      <c r="G187" s="89"/>
      <c r="H187" s="89"/>
      <c r="I187" s="89"/>
      <c r="J187" s="89"/>
      <c r="K187" s="89"/>
      <c r="L187" s="89"/>
      <c r="M187" s="89"/>
      <c r="N187" s="90"/>
      <c r="O187" s="90"/>
      <c r="P187" s="89"/>
      <c r="R187" s="219">
        <f>IF(OR(ListaDeCursos[[#This Row],[Tipo ]]="FIC",ListaDeCursos[[#This Row],[Tipo ]]="PROEJA-FIC"),ListaDeCursos[[#This Row],[Carga horária mínima]]/800,1)</f>
        <v>1</v>
      </c>
      <c r="T18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8" spans="7:20" x14ac:dyDescent="0.25">
      <c r="G188" s="89"/>
      <c r="H188" s="89"/>
      <c r="I188" s="89"/>
      <c r="J188" s="89"/>
      <c r="K188" s="89"/>
      <c r="L188" s="89"/>
      <c r="M188" s="89"/>
      <c r="N188" s="90"/>
      <c r="O188" s="90"/>
      <c r="P188" s="89"/>
      <c r="R188" s="219">
        <f>IF(OR(ListaDeCursos[[#This Row],[Tipo ]]="FIC",ListaDeCursos[[#This Row],[Tipo ]]="PROEJA-FIC"),ListaDeCursos[[#This Row],[Carga horária mínima]]/800,1)</f>
        <v>1</v>
      </c>
      <c r="T18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89" spans="7:20" x14ac:dyDescent="0.25">
      <c r="G189" s="89"/>
      <c r="H189" s="89"/>
      <c r="I189" s="89"/>
      <c r="J189" s="89"/>
      <c r="K189" s="89"/>
      <c r="L189" s="89"/>
      <c r="M189" s="89"/>
      <c r="N189" s="90"/>
      <c r="O189" s="90"/>
      <c r="P189" s="89"/>
      <c r="R189" s="219">
        <f>IF(OR(ListaDeCursos[[#This Row],[Tipo ]]="FIC",ListaDeCursos[[#This Row],[Tipo ]]="PROEJA-FIC"),ListaDeCursos[[#This Row],[Carga horária mínima]]/800,1)</f>
        <v>1</v>
      </c>
      <c r="T18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0" spans="7:20" x14ac:dyDescent="0.25">
      <c r="G190" s="89"/>
      <c r="H190" s="89"/>
      <c r="I190" s="89"/>
      <c r="J190" s="89"/>
      <c r="K190" s="89"/>
      <c r="L190" s="89"/>
      <c r="M190" s="89"/>
      <c r="N190" s="90"/>
      <c r="O190" s="90"/>
      <c r="P190" s="89"/>
      <c r="R190" s="219">
        <f>IF(OR(ListaDeCursos[[#This Row],[Tipo ]]="FIC",ListaDeCursos[[#This Row],[Tipo ]]="PROEJA-FIC"),ListaDeCursos[[#This Row],[Carga horária mínima]]/800,1)</f>
        <v>1</v>
      </c>
      <c r="T19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1" spans="7:20" x14ac:dyDescent="0.25">
      <c r="G191" s="89"/>
      <c r="H191" s="89"/>
      <c r="I191" s="89"/>
      <c r="J191" s="89"/>
      <c r="K191" s="89"/>
      <c r="L191" s="89"/>
      <c r="M191" s="89"/>
      <c r="N191" s="90"/>
      <c r="O191" s="90"/>
      <c r="P191" s="89"/>
      <c r="R191" s="219">
        <f>IF(OR(ListaDeCursos[[#This Row],[Tipo ]]="FIC",ListaDeCursos[[#This Row],[Tipo ]]="PROEJA-FIC"),ListaDeCursos[[#This Row],[Carga horária mínima]]/800,1)</f>
        <v>1</v>
      </c>
      <c r="T19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2" spans="7:20" x14ac:dyDescent="0.25">
      <c r="G192" s="89"/>
      <c r="H192" s="89"/>
      <c r="I192" s="89"/>
      <c r="J192" s="89"/>
      <c r="K192" s="89"/>
      <c r="L192" s="89"/>
      <c r="M192" s="89"/>
      <c r="N192" s="90"/>
      <c r="O192" s="90"/>
      <c r="P192" s="89"/>
      <c r="R192" s="219">
        <f>IF(OR(ListaDeCursos[[#This Row],[Tipo ]]="FIC",ListaDeCursos[[#This Row],[Tipo ]]="PROEJA-FIC"),ListaDeCursos[[#This Row],[Carga horária mínima]]/800,1)</f>
        <v>1</v>
      </c>
      <c r="T19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3" spans="7:20" x14ac:dyDescent="0.25">
      <c r="G193" s="89"/>
      <c r="H193" s="89"/>
      <c r="I193" s="89"/>
      <c r="J193" s="89"/>
      <c r="K193" s="89"/>
      <c r="L193" s="89"/>
      <c r="M193" s="89"/>
      <c r="N193" s="90"/>
      <c r="O193" s="90"/>
      <c r="P193" s="89"/>
      <c r="R193" s="219">
        <f>IF(OR(ListaDeCursos[[#This Row],[Tipo ]]="FIC",ListaDeCursos[[#This Row],[Tipo ]]="PROEJA-FIC"),ListaDeCursos[[#This Row],[Carga horária mínima]]/800,1)</f>
        <v>1</v>
      </c>
      <c r="T19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4" spans="7:20" x14ac:dyDescent="0.25">
      <c r="G194" s="89"/>
      <c r="H194" s="89"/>
      <c r="I194" s="89"/>
      <c r="J194" s="89"/>
      <c r="K194" s="89"/>
      <c r="L194" s="89"/>
      <c r="M194" s="89"/>
      <c r="N194" s="90"/>
      <c r="O194" s="90"/>
      <c r="P194" s="89"/>
      <c r="R194" s="219">
        <f>IF(OR(ListaDeCursos[[#This Row],[Tipo ]]="FIC",ListaDeCursos[[#This Row],[Tipo ]]="PROEJA-FIC"),ListaDeCursos[[#This Row],[Carga horária mínima]]/800,1)</f>
        <v>1</v>
      </c>
      <c r="T19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5" spans="7:20" x14ac:dyDescent="0.25">
      <c r="G195" s="89"/>
      <c r="H195" s="89"/>
      <c r="I195" s="89"/>
      <c r="J195" s="89"/>
      <c r="K195" s="89"/>
      <c r="L195" s="89"/>
      <c r="M195" s="89"/>
      <c r="N195" s="90"/>
      <c r="O195" s="90"/>
      <c r="P195" s="89"/>
      <c r="R195" s="219">
        <f>IF(OR(ListaDeCursos[[#This Row],[Tipo ]]="FIC",ListaDeCursos[[#This Row],[Tipo ]]="PROEJA-FIC"),ListaDeCursos[[#This Row],[Carga horária mínima]]/800,1)</f>
        <v>1</v>
      </c>
      <c r="T19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6" spans="7:20" x14ac:dyDescent="0.25">
      <c r="G196" s="89"/>
      <c r="H196" s="89"/>
      <c r="I196" s="89"/>
      <c r="J196" s="89"/>
      <c r="K196" s="89"/>
      <c r="L196" s="89"/>
      <c r="M196" s="89"/>
      <c r="N196" s="90"/>
      <c r="O196" s="90"/>
      <c r="P196" s="89"/>
      <c r="R196" s="219">
        <f>IF(OR(ListaDeCursos[[#This Row],[Tipo ]]="FIC",ListaDeCursos[[#This Row],[Tipo ]]="PROEJA-FIC"),ListaDeCursos[[#This Row],[Carga horária mínima]]/800,1)</f>
        <v>1</v>
      </c>
      <c r="T19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7" spans="7:20" x14ac:dyDescent="0.25">
      <c r="G197" s="89"/>
      <c r="H197" s="89"/>
      <c r="I197" s="89"/>
      <c r="J197" s="89"/>
      <c r="K197" s="89"/>
      <c r="L197" s="89"/>
      <c r="M197" s="89"/>
      <c r="N197" s="90"/>
      <c r="O197" s="90"/>
      <c r="P197" s="89"/>
      <c r="R197" s="219">
        <f>IF(OR(ListaDeCursos[[#This Row],[Tipo ]]="FIC",ListaDeCursos[[#This Row],[Tipo ]]="PROEJA-FIC"),ListaDeCursos[[#This Row],[Carga horária mínima]]/800,1)</f>
        <v>1</v>
      </c>
      <c r="T19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8" spans="7:20" x14ac:dyDescent="0.25">
      <c r="G198" s="89"/>
      <c r="H198" s="89"/>
      <c r="I198" s="89"/>
      <c r="J198" s="89"/>
      <c r="K198" s="89"/>
      <c r="L198" s="89"/>
      <c r="M198" s="89"/>
      <c r="N198" s="90"/>
      <c r="O198" s="90"/>
      <c r="P198" s="89"/>
      <c r="R198" s="219">
        <f>IF(OR(ListaDeCursos[[#This Row],[Tipo ]]="FIC",ListaDeCursos[[#This Row],[Tipo ]]="PROEJA-FIC"),ListaDeCursos[[#This Row],[Carga horária mínima]]/800,1)</f>
        <v>1</v>
      </c>
      <c r="T19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199" spans="7:20" x14ac:dyDescent="0.25">
      <c r="G199" s="89"/>
      <c r="H199" s="89"/>
      <c r="I199" s="89"/>
      <c r="J199" s="89"/>
      <c r="K199" s="89"/>
      <c r="L199" s="89"/>
      <c r="M199" s="89"/>
      <c r="N199" s="90"/>
      <c r="O199" s="90"/>
      <c r="P199" s="89"/>
      <c r="R199" s="219">
        <f>IF(OR(ListaDeCursos[[#This Row],[Tipo ]]="FIC",ListaDeCursos[[#This Row],[Tipo ]]="PROEJA-FIC"),ListaDeCursos[[#This Row],[Carga horária mínima]]/800,1)</f>
        <v>1</v>
      </c>
      <c r="T19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0" spans="7:20" x14ac:dyDescent="0.25">
      <c r="G200" s="89"/>
      <c r="H200" s="89"/>
      <c r="I200" s="89"/>
      <c r="J200" s="89"/>
      <c r="K200" s="89"/>
      <c r="L200" s="89"/>
      <c r="M200" s="89"/>
      <c r="N200" s="90"/>
      <c r="O200" s="90"/>
      <c r="P200" s="89"/>
      <c r="R200" s="219">
        <f>IF(OR(ListaDeCursos[[#This Row],[Tipo ]]="FIC",ListaDeCursos[[#This Row],[Tipo ]]="PROEJA-FIC"),ListaDeCursos[[#This Row],[Carga horária mínima]]/800,1)</f>
        <v>1</v>
      </c>
      <c r="T20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1" spans="7:20" x14ac:dyDescent="0.25">
      <c r="G201" s="89"/>
      <c r="H201" s="89"/>
      <c r="I201" s="89"/>
      <c r="J201" s="89"/>
      <c r="K201" s="89"/>
      <c r="L201" s="89"/>
      <c r="M201" s="89"/>
      <c r="N201" s="90"/>
      <c r="O201" s="90"/>
      <c r="P201" s="89"/>
      <c r="R201" s="219">
        <f>IF(OR(ListaDeCursos[[#This Row],[Tipo ]]="FIC",ListaDeCursos[[#This Row],[Tipo ]]="PROEJA-FIC"),ListaDeCursos[[#This Row],[Carga horária mínima]]/800,1)</f>
        <v>1</v>
      </c>
      <c r="T20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2" spans="7:20" x14ac:dyDescent="0.25">
      <c r="G202" s="89"/>
      <c r="H202" s="89"/>
      <c r="I202" s="89"/>
      <c r="J202" s="89"/>
      <c r="K202" s="89"/>
      <c r="L202" s="89"/>
      <c r="M202" s="89"/>
      <c r="N202" s="90"/>
      <c r="O202" s="90"/>
      <c r="P202" s="89"/>
      <c r="R202" s="219">
        <f>IF(OR(ListaDeCursos[[#This Row],[Tipo ]]="FIC",ListaDeCursos[[#This Row],[Tipo ]]="PROEJA-FIC"),ListaDeCursos[[#This Row],[Carga horária mínima]]/800,1)</f>
        <v>1</v>
      </c>
      <c r="T20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3" spans="7:20" x14ac:dyDescent="0.25">
      <c r="G203" s="89"/>
      <c r="H203" s="89"/>
      <c r="I203" s="89"/>
      <c r="J203" s="89"/>
      <c r="K203" s="89"/>
      <c r="L203" s="89"/>
      <c r="M203" s="89"/>
      <c r="N203" s="90"/>
      <c r="O203" s="90"/>
      <c r="P203" s="89"/>
      <c r="R203" s="219">
        <f>IF(OR(ListaDeCursos[[#This Row],[Tipo ]]="FIC",ListaDeCursos[[#This Row],[Tipo ]]="PROEJA-FIC"),ListaDeCursos[[#This Row],[Carga horária mínima]]/800,1)</f>
        <v>1</v>
      </c>
      <c r="T20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4" spans="7:20" x14ac:dyDescent="0.25">
      <c r="G204" s="89"/>
      <c r="H204" s="89"/>
      <c r="I204" s="89"/>
      <c r="J204" s="89"/>
      <c r="K204" s="89"/>
      <c r="L204" s="89"/>
      <c r="M204" s="89"/>
      <c r="N204" s="90"/>
      <c r="O204" s="90"/>
      <c r="P204" s="89"/>
      <c r="R204" s="219">
        <f>IF(OR(ListaDeCursos[[#This Row],[Tipo ]]="FIC",ListaDeCursos[[#This Row],[Tipo ]]="PROEJA-FIC"),ListaDeCursos[[#This Row],[Carga horária mínima]]/800,1)</f>
        <v>1</v>
      </c>
      <c r="T20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5" spans="7:20" x14ac:dyDescent="0.25">
      <c r="G205" s="89"/>
      <c r="H205" s="89"/>
      <c r="I205" s="89"/>
      <c r="J205" s="89"/>
      <c r="K205" s="89"/>
      <c r="L205" s="89"/>
      <c r="M205" s="89"/>
      <c r="N205" s="90"/>
      <c r="O205" s="90"/>
      <c r="P205" s="89"/>
      <c r="R205" s="219">
        <f>IF(OR(ListaDeCursos[[#This Row],[Tipo ]]="FIC",ListaDeCursos[[#This Row],[Tipo ]]="PROEJA-FIC"),ListaDeCursos[[#This Row],[Carga horária mínima]]/800,1)</f>
        <v>1</v>
      </c>
      <c r="T20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6" spans="7:20" x14ac:dyDescent="0.25">
      <c r="G206" s="89"/>
      <c r="H206" s="89"/>
      <c r="I206" s="89"/>
      <c r="J206" s="89"/>
      <c r="K206" s="89"/>
      <c r="L206" s="89"/>
      <c r="M206" s="89"/>
      <c r="N206" s="90"/>
      <c r="O206" s="90"/>
      <c r="P206" s="89"/>
      <c r="R206" s="219">
        <f>IF(OR(ListaDeCursos[[#This Row],[Tipo ]]="FIC",ListaDeCursos[[#This Row],[Tipo ]]="PROEJA-FIC"),ListaDeCursos[[#This Row],[Carga horária mínima]]/800,1)</f>
        <v>1</v>
      </c>
      <c r="T20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7" spans="7:20" x14ac:dyDescent="0.25">
      <c r="G207" s="89"/>
      <c r="H207" s="89"/>
      <c r="I207" s="89"/>
      <c r="J207" s="89"/>
      <c r="K207" s="89"/>
      <c r="L207" s="89"/>
      <c r="M207" s="89"/>
      <c r="N207" s="90"/>
      <c r="O207" s="90"/>
      <c r="P207" s="89"/>
      <c r="R207" s="219">
        <f>IF(OR(ListaDeCursos[[#This Row],[Tipo ]]="FIC",ListaDeCursos[[#This Row],[Tipo ]]="PROEJA-FIC"),ListaDeCursos[[#This Row],[Carga horária mínima]]/800,1)</f>
        <v>1</v>
      </c>
      <c r="T20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8" spans="7:20" x14ac:dyDescent="0.25">
      <c r="G208" s="89"/>
      <c r="H208" s="89"/>
      <c r="I208" s="89"/>
      <c r="J208" s="89"/>
      <c r="K208" s="89"/>
      <c r="L208" s="89"/>
      <c r="M208" s="89"/>
      <c r="N208" s="90"/>
      <c r="O208" s="90"/>
      <c r="P208" s="89"/>
      <c r="R208" s="219">
        <f>IF(OR(ListaDeCursos[[#This Row],[Tipo ]]="FIC",ListaDeCursos[[#This Row],[Tipo ]]="PROEJA-FIC"),ListaDeCursos[[#This Row],[Carga horária mínima]]/800,1)</f>
        <v>1</v>
      </c>
      <c r="T20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09" spans="7:20" x14ac:dyDescent="0.25">
      <c r="G209" s="89"/>
      <c r="H209" s="89"/>
      <c r="I209" s="89"/>
      <c r="J209" s="89"/>
      <c r="K209" s="89"/>
      <c r="L209" s="89"/>
      <c r="M209" s="89"/>
      <c r="N209" s="90"/>
      <c r="O209" s="90"/>
      <c r="P209" s="89"/>
      <c r="R209" s="219">
        <f>IF(OR(ListaDeCursos[[#This Row],[Tipo ]]="FIC",ListaDeCursos[[#This Row],[Tipo ]]="PROEJA-FIC"),ListaDeCursos[[#This Row],[Carga horária mínima]]/800,1)</f>
        <v>1</v>
      </c>
      <c r="T20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0" spans="7:20" x14ac:dyDescent="0.25">
      <c r="G210" s="89"/>
      <c r="H210" s="89"/>
      <c r="I210" s="89"/>
      <c r="J210" s="89"/>
      <c r="K210" s="89"/>
      <c r="L210" s="89"/>
      <c r="M210" s="89"/>
      <c r="N210" s="90"/>
      <c r="O210" s="90"/>
      <c r="P210" s="89"/>
      <c r="R210" s="219">
        <f>IF(OR(ListaDeCursos[[#This Row],[Tipo ]]="FIC",ListaDeCursos[[#This Row],[Tipo ]]="PROEJA-FIC"),ListaDeCursos[[#This Row],[Carga horária mínima]]/800,1)</f>
        <v>1</v>
      </c>
      <c r="T21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1" spans="7:20" x14ac:dyDescent="0.25">
      <c r="G211" s="89"/>
      <c r="H211" s="89"/>
      <c r="I211" s="89"/>
      <c r="J211" s="89"/>
      <c r="K211" s="89"/>
      <c r="L211" s="89"/>
      <c r="M211" s="89"/>
      <c r="N211" s="90"/>
      <c r="O211" s="90"/>
      <c r="P211" s="89"/>
      <c r="R211" s="219">
        <f>IF(OR(ListaDeCursos[[#This Row],[Tipo ]]="FIC",ListaDeCursos[[#This Row],[Tipo ]]="PROEJA-FIC"),ListaDeCursos[[#This Row],[Carga horária mínima]]/800,1)</f>
        <v>1</v>
      </c>
      <c r="T21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2" spans="7:20" x14ac:dyDescent="0.25">
      <c r="G212" s="89"/>
      <c r="H212" s="89"/>
      <c r="I212" s="89"/>
      <c r="J212" s="89"/>
      <c r="K212" s="89"/>
      <c r="L212" s="89"/>
      <c r="M212" s="89"/>
      <c r="N212" s="90"/>
      <c r="O212" s="90"/>
      <c r="P212" s="89"/>
      <c r="R212" s="219">
        <f>IF(OR(ListaDeCursos[[#This Row],[Tipo ]]="FIC",ListaDeCursos[[#This Row],[Tipo ]]="PROEJA-FIC"),ListaDeCursos[[#This Row],[Carga horária mínima]]/800,1)</f>
        <v>1</v>
      </c>
      <c r="T21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3" spans="7:20" x14ac:dyDescent="0.25">
      <c r="G213" s="89"/>
      <c r="H213" s="89"/>
      <c r="I213" s="89"/>
      <c r="J213" s="89"/>
      <c r="K213" s="89"/>
      <c r="L213" s="89"/>
      <c r="M213" s="89"/>
      <c r="N213" s="90"/>
      <c r="O213" s="90"/>
      <c r="P213" s="89"/>
      <c r="R213" s="219">
        <f>IF(OR(ListaDeCursos[[#This Row],[Tipo ]]="FIC",ListaDeCursos[[#This Row],[Tipo ]]="PROEJA-FIC"),ListaDeCursos[[#This Row],[Carga horária mínima]]/800,1)</f>
        <v>1</v>
      </c>
      <c r="T21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4" spans="7:20" x14ac:dyDescent="0.25">
      <c r="G214" s="89"/>
      <c r="H214" s="89"/>
      <c r="I214" s="89"/>
      <c r="J214" s="89"/>
      <c r="K214" s="89"/>
      <c r="L214" s="89"/>
      <c r="M214" s="89"/>
      <c r="N214" s="90"/>
      <c r="O214" s="90"/>
      <c r="P214" s="89"/>
      <c r="R214" s="219">
        <f>IF(OR(ListaDeCursos[[#This Row],[Tipo ]]="FIC",ListaDeCursos[[#This Row],[Tipo ]]="PROEJA-FIC"),ListaDeCursos[[#This Row],[Carga horária mínima]]/800,1)</f>
        <v>1</v>
      </c>
      <c r="T21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5" spans="7:20" x14ac:dyDescent="0.25">
      <c r="G215" s="89"/>
      <c r="H215" s="89"/>
      <c r="I215" s="89"/>
      <c r="J215" s="89"/>
      <c r="K215" s="89"/>
      <c r="L215" s="89"/>
      <c r="M215" s="89"/>
      <c r="N215" s="90"/>
      <c r="O215" s="90"/>
      <c r="P215" s="89"/>
      <c r="R215" s="219">
        <f>IF(OR(ListaDeCursos[[#This Row],[Tipo ]]="FIC",ListaDeCursos[[#This Row],[Tipo ]]="PROEJA-FIC"),ListaDeCursos[[#This Row],[Carga horária mínima]]/800,1)</f>
        <v>1</v>
      </c>
      <c r="T21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6" spans="7:20" x14ac:dyDescent="0.25">
      <c r="G216" s="89"/>
      <c r="H216" s="89"/>
      <c r="I216" s="89"/>
      <c r="J216" s="89"/>
      <c r="K216" s="89"/>
      <c r="L216" s="89"/>
      <c r="M216" s="89"/>
      <c r="N216" s="90"/>
      <c r="O216" s="90"/>
      <c r="P216" s="89"/>
      <c r="R216" s="219">
        <f>IF(OR(ListaDeCursos[[#This Row],[Tipo ]]="FIC",ListaDeCursos[[#This Row],[Tipo ]]="PROEJA-FIC"),ListaDeCursos[[#This Row],[Carga horária mínima]]/800,1)</f>
        <v>1</v>
      </c>
      <c r="T21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7" spans="7:20" x14ac:dyDescent="0.25">
      <c r="G217" s="89"/>
      <c r="H217" s="89"/>
      <c r="I217" s="89"/>
      <c r="J217" s="89"/>
      <c r="K217" s="89"/>
      <c r="L217" s="89"/>
      <c r="M217" s="89"/>
      <c r="N217" s="90"/>
      <c r="O217" s="90"/>
      <c r="P217" s="89"/>
      <c r="R217" s="219">
        <f>IF(OR(ListaDeCursos[[#This Row],[Tipo ]]="FIC",ListaDeCursos[[#This Row],[Tipo ]]="PROEJA-FIC"),ListaDeCursos[[#This Row],[Carga horária mínima]]/800,1)</f>
        <v>1</v>
      </c>
      <c r="T21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8" spans="7:20" x14ac:dyDescent="0.25">
      <c r="G218" s="89"/>
      <c r="H218" s="89"/>
      <c r="I218" s="89"/>
      <c r="J218" s="89"/>
      <c r="K218" s="89"/>
      <c r="L218" s="89"/>
      <c r="M218" s="89"/>
      <c r="N218" s="90"/>
      <c r="O218" s="90"/>
      <c r="P218" s="89"/>
      <c r="R218" s="219">
        <f>IF(OR(ListaDeCursos[[#This Row],[Tipo ]]="FIC",ListaDeCursos[[#This Row],[Tipo ]]="PROEJA-FIC"),ListaDeCursos[[#This Row],[Carga horária mínima]]/800,1)</f>
        <v>1</v>
      </c>
      <c r="T21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19" spans="7:20" x14ac:dyDescent="0.25">
      <c r="G219" s="89"/>
      <c r="H219" s="89"/>
      <c r="I219" s="89"/>
      <c r="J219" s="89"/>
      <c r="K219" s="89"/>
      <c r="L219" s="89"/>
      <c r="M219" s="89"/>
      <c r="N219" s="90"/>
      <c r="O219" s="90"/>
      <c r="P219" s="89"/>
      <c r="R219" s="219">
        <f>IF(OR(ListaDeCursos[[#This Row],[Tipo ]]="FIC",ListaDeCursos[[#This Row],[Tipo ]]="PROEJA-FIC"),ListaDeCursos[[#This Row],[Carga horária mínima]]/800,1)</f>
        <v>1</v>
      </c>
      <c r="T21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0" spans="7:20" x14ac:dyDescent="0.25">
      <c r="G220" s="89"/>
      <c r="H220" s="89"/>
      <c r="I220" s="89"/>
      <c r="J220" s="89"/>
      <c r="K220" s="89"/>
      <c r="L220" s="89"/>
      <c r="M220" s="89"/>
      <c r="N220" s="90"/>
      <c r="O220" s="90"/>
      <c r="P220" s="89"/>
      <c r="R220" s="219">
        <f>IF(OR(ListaDeCursos[[#This Row],[Tipo ]]="FIC",ListaDeCursos[[#This Row],[Tipo ]]="PROEJA-FIC"),ListaDeCursos[[#This Row],[Carga horária mínima]]/800,1)</f>
        <v>1</v>
      </c>
      <c r="T22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1" spans="7:20" x14ac:dyDescent="0.25">
      <c r="G221" s="89"/>
      <c r="H221" s="89"/>
      <c r="I221" s="89"/>
      <c r="J221" s="89"/>
      <c r="K221" s="89"/>
      <c r="L221" s="89"/>
      <c r="M221" s="89"/>
      <c r="N221" s="90"/>
      <c r="O221" s="90"/>
      <c r="P221" s="89"/>
      <c r="R221" s="219">
        <f>IF(OR(ListaDeCursos[[#This Row],[Tipo ]]="FIC",ListaDeCursos[[#This Row],[Tipo ]]="PROEJA-FIC"),ListaDeCursos[[#This Row],[Carga horária mínima]]/800,1)</f>
        <v>1</v>
      </c>
      <c r="T22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2" spans="7:20" x14ac:dyDescent="0.25">
      <c r="G222" s="89"/>
      <c r="H222" s="89"/>
      <c r="I222" s="89"/>
      <c r="J222" s="89"/>
      <c r="K222" s="89"/>
      <c r="L222" s="89"/>
      <c r="M222" s="89"/>
      <c r="N222" s="90"/>
      <c r="O222" s="90"/>
      <c r="P222" s="89"/>
      <c r="R222" s="219">
        <f>IF(OR(ListaDeCursos[[#This Row],[Tipo ]]="FIC",ListaDeCursos[[#This Row],[Tipo ]]="PROEJA-FIC"),ListaDeCursos[[#This Row],[Carga horária mínima]]/800,1)</f>
        <v>1</v>
      </c>
      <c r="T22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3" spans="7:20" x14ac:dyDescent="0.25">
      <c r="G223" s="89"/>
      <c r="H223" s="89"/>
      <c r="I223" s="89"/>
      <c r="J223" s="89"/>
      <c r="K223" s="89"/>
      <c r="L223" s="89"/>
      <c r="M223" s="89"/>
      <c r="N223" s="90"/>
      <c r="O223" s="90"/>
      <c r="P223" s="89"/>
      <c r="R223" s="219">
        <f>IF(OR(ListaDeCursos[[#This Row],[Tipo ]]="FIC",ListaDeCursos[[#This Row],[Tipo ]]="PROEJA-FIC"),ListaDeCursos[[#This Row],[Carga horária mínima]]/800,1)</f>
        <v>1</v>
      </c>
      <c r="T22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4" spans="7:20" x14ac:dyDescent="0.25">
      <c r="G224" s="89"/>
      <c r="H224" s="89"/>
      <c r="I224" s="89"/>
      <c r="J224" s="89"/>
      <c r="K224" s="89"/>
      <c r="L224" s="89"/>
      <c r="M224" s="89"/>
      <c r="N224" s="90"/>
      <c r="O224" s="90"/>
      <c r="P224" s="89"/>
      <c r="R224" s="219">
        <f>IF(OR(ListaDeCursos[[#This Row],[Tipo ]]="FIC",ListaDeCursos[[#This Row],[Tipo ]]="PROEJA-FIC"),ListaDeCursos[[#This Row],[Carga horária mínima]]/800,1)</f>
        <v>1</v>
      </c>
      <c r="T22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5" spans="7:20" x14ac:dyDescent="0.25">
      <c r="G225" s="89"/>
      <c r="H225" s="89"/>
      <c r="I225" s="89"/>
      <c r="J225" s="89"/>
      <c r="K225" s="89"/>
      <c r="L225" s="89"/>
      <c r="M225" s="89"/>
      <c r="N225" s="90"/>
      <c r="O225" s="90"/>
      <c r="P225" s="89"/>
      <c r="R225" s="219">
        <f>IF(OR(ListaDeCursos[[#This Row],[Tipo ]]="FIC",ListaDeCursos[[#This Row],[Tipo ]]="PROEJA-FIC"),ListaDeCursos[[#This Row],[Carga horária mínima]]/800,1)</f>
        <v>1</v>
      </c>
      <c r="T22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6" spans="7:20" x14ac:dyDescent="0.25">
      <c r="G226" s="89"/>
      <c r="H226" s="89"/>
      <c r="I226" s="89"/>
      <c r="J226" s="89"/>
      <c r="K226" s="89"/>
      <c r="L226" s="89"/>
      <c r="M226" s="89"/>
      <c r="N226" s="90"/>
      <c r="O226" s="90"/>
      <c r="P226" s="89"/>
      <c r="R226" s="219">
        <f>IF(OR(ListaDeCursos[[#This Row],[Tipo ]]="FIC",ListaDeCursos[[#This Row],[Tipo ]]="PROEJA-FIC"),ListaDeCursos[[#This Row],[Carga horária mínima]]/800,1)</f>
        <v>1</v>
      </c>
      <c r="T22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7" spans="7:20" x14ac:dyDescent="0.25">
      <c r="G227" s="89"/>
      <c r="H227" s="89"/>
      <c r="I227" s="89"/>
      <c r="J227" s="89"/>
      <c r="K227" s="89"/>
      <c r="L227" s="89"/>
      <c r="M227" s="89"/>
      <c r="N227" s="90"/>
      <c r="O227" s="90"/>
      <c r="P227" s="89"/>
      <c r="R227" s="219">
        <f>IF(OR(ListaDeCursos[[#This Row],[Tipo ]]="FIC",ListaDeCursos[[#This Row],[Tipo ]]="PROEJA-FIC"),ListaDeCursos[[#This Row],[Carga horária mínima]]/800,1)</f>
        <v>1</v>
      </c>
      <c r="T22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8" spans="7:20" x14ac:dyDescent="0.25">
      <c r="G228" s="89"/>
      <c r="H228" s="89"/>
      <c r="I228" s="89"/>
      <c r="J228" s="89"/>
      <c r="K228" s="89"/>
      <c r="L228" s="89"/>
      <c r="M228" s="89"/>
      <c r="N228" s="90"/>
      <c r="O228" s="90"/>
      <c r="P228" s="89"/>
      <c r="R228" s="219">
        <f>IF(OR(ListaDeCursos[[#This Row],[Tipo ]]="FIC",ListaDeCursos[[#This Row],[Tipo ]]="PROEJA-FIC"),ListaDeCursos[[#This Row],[Carga horária mínima]]/800,1)</f>
        <v>1</v>
      </c>
      <c r="T22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29" spans="7:20" x14ac:dyDescent="0.25">
      <c r="G229" s="89"/>
      <c r="H229" s="89"/>
      <c r="I229" s="89"/>
      <c r="J229" s="89"/>
      <c r="K229" s="89"/>
      <c r="L229" s="89"/>
      <c r="M229" s="89"/>
      <c r="N229" s="90"/>
      <c r="O229" s="90"/>
      <c r="P229" s="89"/>
      <c r="R229" s="219">
        <f>IF(OR(ListaDeCursos[[#This Row],[Tipo ]]="FIC",ListaDeCursos[[#This Row],[Tipo ]]="PROEJA-FIC"),ListaDeCursos[[#This Row],[Carga horária mínima]]/800,1)</f>
        <v>1</v>
      </c>
      <c r="T22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0" spans="7:20" x14ac:dyDescent="0.25">
      <c r="G230" s="89"/>
      <c r="H230" s="89"/>
      <c r="I230" s="89"/>
      <c r="J230" s="89"/>
      <c r="K230" s="89"/>
      <c r="L230" s="89"/>
      <c r="M230" s="89"/>
      <c r="N230" s="90"/>
      <c r="O230" s="90"/>
      <c r="P230" s="89"/>
      <c r="R230" s="219">
        <f>IF(OR(ListaDeCursos[[#This Row],[Tipo ]]="FIC",ListaDeCursos[[#This Row],[Tipo ]]="PROEJA-FIC"),ListaDeCursos[[#This Row],[Carga horária mínima]]/800,1)</f>
        <v>1</v>
      </c>
      <c r="T23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1" spans="7:20" x14ac:dyDescent="0.25">
      <c r="G231" s="89"/>
      <c r="H231" s="89"/>
      <c r="I231" s="89"/>
      <c r="J231" s="89"/>
      <c r="K231" s="89"/>
      <c r="L231" s="89"/>
      <c r="M231" s="89"/>
      <c r="N231" s="90"/>
      <c r="O231" s="90"/>
      <c r="P231" s="89"/>
      <c r="R231" s="219">
        <f>IF(OR(ListaDeCursos[[#This Row],[Tipo ]]="FIC",ListaDeCursos[[#This Row],[Tipo ]]="PROEJA-FIC"),ListaDeCursos[[#This Row],[Carga horária mínima]]/800,1)</f>
        <v>1</v>
      </c>
      <c r="T23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2" spans="7:20" x14ac:dyDescent="0.25">
      <c r="G232" s="89"/>
      <c r="H232" s="89"/>
      <c r="I232" s="89"/>
      <c r="J232" s="89"/>
      <c r="K232" s="89"/>
      <c r="L232" s="89"/>
      <c r="M232" s="89"/>
      <c r="N232" s="90"/>
      <c r="O232" s="90"/>
      <c r="P232" s="89"/>
      <c r="R232" s="219">
        <f>IF(OR(ListaDeCursos[[#This Row],[Tipo ]]="FIC",ListaDeCursos[[#This Row],[Tipo ]]="PROEJA-FIC"),ListaDeCursos[[#This Row],[Carga horária mínima]]/800,1)</f>
        <v>1</v>
      </c>
      <c r="T23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3" spans="7:20" x14ac:dyDescent="0.25">
      <c r="G233" s="89"/>
      <c r="H233" s="89"/>
      <c r="I233" s="89"/>
      <c r="J233" s="89"/>
      <c r="K233" s="89"/>
      <c r="L233" s="89"/>
      <c r="M233" s="89"/>
      <c r="N233" s="90"/>
      <c r="O233" s="90"/>
      <c r="P233" s="89"/>
      <c r="R233" s="219">
        <f>IF(OR(ListaDeCursos[[#This Row],[Tipo ]]="FIC",ListaDeCursos[[#This Row],[Tipo ]]="PROEJA-FIC"),ListaDeCursos[[#This Row],[Carga horária mínima]]/800,1)</f>
        <v>1</v>
      </c>
      <c r="T23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4" spans="7:20" x14ac:dyDescent="0.25">
      <c r="G234" s="89"/>
      <c r="H234" s="89"/>
      <c r="I234" s="89"/>
      <c r="J234" s="89"/>
      <c r="K234" s="89"/>
      <c r="L234" s="89"/>
      <c r="M234" s="89"/>
      <c r="N234" s="90"/>
      <c r="O234" s="90"/>
      <c r="P234" s="89"/>
      <c r="R234" s="219">
        <f>IF(OR(ListaDeCursos[[#This Row],[Tipo ]]="FIC",ListaDeCursos[[#This Row],[Tipo ]]="PROEJA-FIC"),ListaDeCursos[[#This Row],[Carga horária mínima]]/800,1)</f>
        <v>1</v>
      </c>
      <c r="T23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5" spans="7:20" x14ac:dyDescent="0.25">
      <c r="G235" s="89"/>
      <c r="H235" s="89"/>
      <c r="I235" s="89"/>
      <c r="J235" s="89"/>
      <c r="K235" s="89"/>
      <c r="L235" s="89"/>
      <c r="M235" s="89"/>
      <c r="N235" s="90"/>
      <c r="O235" s="90"/>
      <c r="P235" s="89"/>
      <c r="R235" s="219">
        <f>IF(OR(ListaDeCursos[[#This Row],[Tipo ]]="FIC",ListaDeCursos[[#This Row],[Tipo ]]="PROEJA-FIC"),ListaDeCursos[[#This Row],[Carga horária mínima]]/800,1)</f>
        <v>1</v>
      </c>
      <c r="T23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6" spans="7:20" x14ac:dyDescent="0.25">
      <c r="G236" s="89"/>
      <c r="H236" s="89"/>
      <c r="I236" s="89"/>
      <c r="J236" s="89"/>
      <c r="K236" s="89"/>
      <c r="L236" s="89"/>
      <c r="M236" s="89"/>
      <c r="N236" s="90"/>
      <c r="O236" s="90"/>
      <c r="P236" s="89"/>
      <c r="R236" s="219">
        <f>IF(OR(ListaDeCursos[[#This Row],[Tipo ]]="FIC",ListaDeCursos[[#This Row],[Tipo ]]="PROEJA-FIC"),ListaDeCursos[[#This Row],[Carga horária mínima]]/800,1)</f>
        <v>1</v>
      </c>
      <c r="T23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7" spans="7:20" x14ac:dyDescent="0.25">
      <c r="G237" s="89"/>
      <c r="H237" s="89"/>
      <c r="I237" s="89"/>
      <c r="J237" s="89"/>
      <c r="K237" s="89"/>
      <c r="L237" s="89"/>
      <c r="M237" s="89"/>
      <c r="N237" s="90"/>
      <c r="O237" s="90"/>
      <c r="P237" s="89"/>
      <c r="R237" s="219">
        <f>IF(OR(ListaDeCursos[[#This Row],[Tipo ]]="FIC",ListaDeCursos[[#This Row],[Tipo ]]="PROEJA-FIC"),ListaDeCursos[[#This Row],[Carga horária mínima]]/800,1)</f>
        <v>1</v>
      </c>
      <c r="T23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8" spans="7:20" x14ac:dyDescent="0.25">
      <c r="G238" s="89"/>
      <c r="H238" s="89"/>
      <c r="I238" s="89"/>
      <c r="J238" s="89"/>
      <c r="K238" s="89"/>
      <c r="L238" s="89"/>
      <c r="M238" s="89"/>
      <c r="N238" s="90"/>
      <c r="O238" s="90"/>
      <c r="P238" s="89"/>
      <c r="R238" s="219">
        <f>IF(OR(ListaDeCursos[[#This Row],[Tipo ]]="FIC",ListaDeCursos[[#This Row],[Tipo ]]="PROEJA-FIC"),ListaDeCursos[[#This Row],[Carga horária mínima]]/800,1)</f>
        <v>1</v>
      </c>
      <c r="T23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39" spans="7:20" x14ac:dyDescent="0.25">
      <c r="G239" s="89"/>
      <c r="H239" s="89"/>
      <c r="I239" s="89"/>
      <c r="J239" s="89"/>
      <c r="K239" s="89"/>
      <c r="L239" s="89"/>
      <c r="M239" s="89"/>
      <c r="N239" s="90"/>
      <c r="O239" s="90"/>
      <c r="P239" s="89"/>
      <c r="R239" s="219">
        <f>IF(OR(ListaDeCursos[[#This Row],[Tipo ]]="FIC",ListaDeCursos[[#This Row],[Tipo ]]="PROEJA-FIC"),ListaDeCursos[[#This Row],[Carga horária mínima]]/800,1)</f>
        <v>1</v>
      </c>
      <c r="T23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0" spans="7:20" x14ac:dyDescent="0.25">
      <c r="G240" s="89"/>
      <c r="H240" s="89"/>
      <c r="I240" s="89"/>
      <c r="J240" s="89"/>
      <c r="K240" s="89"/>
      <c r="L240" s="89"/>
      <c r="M240" s="89"/>
      <c r="N240" s="90"/>
      <c r="O240" s="90"/>
      <c r="P240" s="89"/>
      <c r="R240" s="219">
        <f>IF(OR(ListaDeCursos[[#This Row],[Tipo ]]="FIC",ListaDeCursos[[#This Row],[Tipo ]]="PROEJA-FIC"),ListaDeCursos[[#This Row],[Carga horária mínima]]/800,1)</f>
        <v>1</v>
      </c>
      <c r="T24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1" spans="7:20" x14ac:dyDescent="0.25">
      <c r="G241" s="89"/>
      <c r="H241" s="89"/>
      <c r="I241" s="89"/>
      <c r="J241" s="89"/>
      <c r="K241" s="89"/>
      <c r="L241" s="89"/>
      <c r="M241" s="89"/>
      <c r="N241" s="90"/>
      <c r="O241" s="90"/>
      <c r="P241" s="89"/>
      <c r="R241" s="219">
        <f>IF(OR(ListaDeCursos[[#This Row],[Tipo ]]="FIC",ListaDeCursos[[#This Row],[Tipo ]]="PROEJA-FIC"),ListaDeCursos[[#This Row],[Carga horária mínima]]/800,1)</f>
        <v>1</v>
      </c>
      <c r="T24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2" spans="7:20" x14ac:dyDescent="0.25">
      <c r="G242" s="89"/>
      <c r="H242" s="89"/>
      <c r="I242" s="89"/>
      <c r="J242" s="89"/>
      <c r="K242" s="89"/>
      <c r="L242" s="89"/>
      <c r="M242" s="89"/>
      <c r="N242" s="90"/>
      <c r="O242" s="90"/>
      <c r="P242" s="89"/>
      <c r="R242" s="219">
        <f>IF(OR(ListaDeCursos[[#This Row],[Tipo ]]="FIC",ListaDeCursos[[#This Row],[Tipo ]]="PROEJA-FIC"),ListaDeCursos[[#This Row],[Carga horária mínima]]/800,1)</f>
        <v>1</v>
      </c>
      <c r="T24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3" spans="7:20" x14ac:dyDescent="0.25">
      <c r="G243" s="89"/>
      <c r="H243" s="89"/>
      <c r="I243" s="89"/>
      <c r="J243" s="89"/>
      <c r="K243" s="89"/>
      <c r="L243" s="89"/>
      <c r="M243" s="89"/>
      <c r="N243" s="90"/>
      <c r="O243" s="90"/>
      <c r="P243" s="89"/>
      <c r="R243" s="219">
        <f>IF(OR(ListaDeCursos[[#This Row],[Tipo ]]="FIC",ListaDeCursos[[#This Row],[Tipo ]]="PROEJA-FIC"),ListaDeCursos[[#This Row],[Carga horária mínima]]/800,1)</f>
        <v>1</v>
      </c>
      <c r="T24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4" spans="7:20" x14ac:dyDescent="0.25">
      <c r="G244" s="89"/>
      <c r="H244" s="89"/>
      <c r="I244" s="89"/>
      <c r="J244" s="89"/>
      <c r="K244" s="89"/>
      <c r="L244" s="89"/>
      <c r="M244" s="89"/>
      <c r="N244" s="90"/>
      <c r="O244" s="90"/>
      <c r="P244" s="89"/>
      <c r="R244" s="219">
        <f>IF(OR(ListaDeCursos[[#This Row],[Tipo ]]="FIC",ListaDeCursos[[#This Row],[Tipo ]]="PROEJA-FIC"),ListaDeCursos[[#This Row],[Carga horária mínima]]/800,1)</f>
        <v>1</v>
      </c>
      <c r="T24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5" spans="7:20" x14ac:dyDescent="0.25">
      <c r="G245" s="89"/>
      <c r="H245" s="89"/>
      <c r="I245" s="89"/>
      <c r="J245" s="89"/>
      <c r="K245" s="89"/>
      <c r="L245" s="89"/>
      <c r="M245" s="89"/>
      <c r="N245" s="90"/>
      <c r="O245" s="90"/>
      <c r="P245" s="89"/>
      <c r="R245" s="219">
        <f>IF(OR(ListaDeCursos[[#This Row],[Tipo ]]="FIC",ListaDeCursos[[#This Row],[Tipo ]]="PROEJA-FIC"),ListaDeCursos[[#This Row],[Carga horária mínima]]/800,1)</f>
        <v>1</v>
      </c>
      <c r="T24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6" spans="7:20" x14ac:dyDescent="0.25">
      <c r="G246" s="89"/>
      <c r="H246" s="89"/>
      <c r="I246" s="89"/>
      <c r="J246" s="89"/>
      <c r="K246" s="89"/>
      <c r="L246" s="89"/>
      <c r="M246" s="89"/>
      <c r="N246" s="90"/>
      <c r="O246" s="90"/>
      <c r="P246" s="89"/>
      <c r="R246" s="219">
        <f>IF(OR(ListaDeCursos[[#This Row],[Tipo ]]="FIC",ListaDeCursos[[#This Row],[Tipo ]]="PROEJA-FIC"),ListaDeCursos[[#This Row],[Carga horária mínima]]/800,1)</f>
        <v>1</v>
      </c>
      <c r="T24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7" spans="7:20" x14ac:dyDescent="0.25">
      <c r="G247" s="89"/>
      <c r="H247" s="89"/>
      <c r="I247" s="89"/>
      <c r="J247" s="89"/>
      <c r="K247" s="89"/>
      <c r="L247" s="89"/>
      <c r="M247" s="89"/>
      <c r="N247" s="90"/>
      <c r="O247" s="90"/>
      <c r="P247" s="89"/>
      <c r="R247" s="219">
        <f>IF(OR(ListaDeCursos[[#This Row],[Tipo ]]="FIC",ListaDeCursos[[#This Row],[Tipo ]]="PROEJA-FIC"),ListaDeCursos[[#This Row],[Carga horária mínima]]/800,1)</f>
        <v>1</v>
      </c>
      <c r="T24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8" spans="7:20" x14ac:dyDescent="0.25">
      <c r="G248" s="89"/>
      <c r="H248" s="89"/>
      <c r="I248" s="89"/>
      <c r="J248" s="89"/>
      <c r="K248" s="89"/>
      <c r="L248" s="89"/>
      <c r="M248" s="89"/>
      <c r="N248" s="90"/>
      <c r="O248" s="90"/>
      <c r="P248" s="89"/>
      <c r="R248" s="219">
        <f>IF(OR(ListaDeCursos[[#This Row],[Tipo ]]="FIC",ListaDeCursos[[#This Row],[Tipo ]]="PROEJA-FIC"),ListaDeCursos[[#This Row],[Carga horária mínima]]/800,1)</f>
        <v>1</v>
      </c>
      <c r="T24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49" spans="7:20" x14ac:dyDescent="0.25">
      <c r="G249" s="89"/>
      <c r="H249" s="89"/>
      <c r="I249" s="89"/>
      <c r="J249" s="89"/>
      <c r="K249" s="89"/>
      <c r="L249" s="89"/>
      <c r="M249" s="89"/>
      <c r="N249" s="90"/>
      <c r="O249" s="90"/>
      <c r="P249" s="89"/>
      <c r="R249" s="219">
        <f>IF(OR(ListaDeCursos[[#This Row],[Tipo ]]="FIC",ListaDeCursos[[#This Row],[Tipo ]]="PROEJA-FIC"),ListaDeCursos[[#This Row],[Carga horária mínima]]/800,1)</f>
        <v>1</v>
      </c>
      <c r="T24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0" spans="7:20" x14ac:dyDescent="0.25">
      <c r="G250" s="89"/>
      <c r="H250" s="89"/>
      <c r="I250" s="89"/>
      <c r="J250" s="89"/>
      <c r="K250" s="89"/>
      <c r="L250" s="89"/>
      <c r="M250" s="89"/>
      <c r="N250" s="90"/>
      <c r="O250" s="90"/>
      <c r="P250" s="89"/>
      <c r="R250" s="219">
        <f>IF(OR(ListaDeCursos[[#This Row],[Tipo ]]="FIC",ListaDeCursos[[#This Row],[Tipo ]]="PROEJA-FIC"),ListaDeCursos[[#This Row],[Carga horária mínima]]/800,1)</f>
        <v>1</v>
      </c>
      <c r="T25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1" spans="7:20" x14ac:dyDescent="0.25">
      <c r="G251" s="89"/>
      <c r="H251" s="89"/>
      <c r="I251" s="89"/>
      <c r="J251" s="89"/>
      <c r="K251" s="89"/>
      <c r="L251" s="89"/>
      <c r="M251" s="89"/>
      <c r="N251" s="90"/>
      <c r="O251" s="90"/>
      <c r="P251" s="89"/>
      <c r="R251" s="219">
        <f>IF(OR(ListaDeCursos[[#This Row],[Tipo ]]="FIC",ListaDeCursos[[#This Row],[Tipo ]]="PROEJA-FIC"),ListaDeCursos[[#This Row],[Carga horária mínima]]/800,1)</f>
        <v>1</v>
      </c>
      <c r="T25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2" spans="7:20" x14ac:dyDescent="0.25">
      <c r="G252" s="89"/>
      <c r="H252" s="89"/>
      <c r="I252" s="89"/>
      <c r="J252" s="89"/>
      <c r="K252" s="89"/>
      <c r="L252" s="89"/>
      <c r="M252" s="89"/>
      <c r="N252" s="90"/>
      <c r="O252" s="90"/>
      <c r="P252" s="89"/>
      <c r="R252" s="219">
        <f>IF(OR(ListaDeCursos[[#This Row],[Tipo ]]="FIC",ListaDeCursos[[#This Row],[Tipo ]]="PROEJA-FIC"),ListaDeCursos[[#This Row],[Carga horária mínima]]/800,1)</f>
        <v>1</v>
      </c>
      <c r="T25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3" spans="7:20" x14ac:dyDescent="0.25">
      <c r="G253" s="89"/>
      <c r="H253" s="89"/>
      <c r="I253" s="89"/>
      <c r="J253" s="89"/>
      <c r="K253" s="89"/>
      <c r="L253" s="89"/>
      <c r="M253" s="89"/>
      <c r="N253" s="90"/>
      <c r="O253" s="90"/>
      <c r="P253" s="89"/>
      <c r="R253" s="219">
        <f>IF(OR(ListaDeCursos[[#This Row],[Tipo ]]="FIC",ListaDeCursos[[#This Row],[Tipo ]]="PROEJA-FIC"),ListaDeCursos[[#This Row],[Carga horária mínima]]/800,1)</f>
        <v>1</v>
      </c>
      <c r="T25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4" spans="7:20" x14ac:dyDescent="0.25">
      <c r="G254" s="89"/>
      <c r="H254" s="89"/>
      <c r="I254" s="89"/>
      <c r="J254" s="89"/>
      <c r="K254" s="89"/>
      <c r="L254" s="89"/>
      <c r="M254" s="89"/>
      <c r="N254" s="90"/>
      <c r="O254" s="90"/>
      <c r="P254" s="89"/>
      <c r="R254" s="219">
        <f>IF(OR(ListaDeCursos[[#This Row],[Tipo ]]="FIC",ListaDeCursos[[#This Row],[Tipo ]]="PROEJA-FIC"),ListaDeCursos[[#This Row],[Carga horária mínima]]/800,1)</f>
        <v>1</v>
      </c>
      <c r="T25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5" spans="7:20" x14ac:dyDescent="0.25">
      <c r="G255" s="89"/>
      <c r="H255" s="89"/>
      <c r="I255" s="89"/>
      <c r="J255" s="89"/>
      <c r="K255" s="89"/>
      <c r="L255" s="89"/>
      <c r="M255" s="89"/>
      <c r="N255" s="90"/>
      <c r="O255" s="90"/>
      <c r="P255" s="89"/>
      <c r="R255" s="219">
        <f>IF(OR(ListaDeCursos[[#This Row],[Tipo ]]="FIC",ListaDeCursos[[#This Row],[Tipo ]]="PROEJA-FIC"),ListaDeCursos[[#This Row],[Carga horária mínima]]/800,1)</f>
        <v>1</v>
      </c>
      <c r="T25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6" spans="7:20" x14ac:dyDescent="0.25">
      <c r="G256" s="89"/>
      <c r="H256" s="89"/>
      <c r="I256" s="89"/>
      <c r="J256" s="89"/>
      <c r="K256" s="89"/>
      <c r="L256" s="89"/>
      <c r="M256" s="89"/>
      <c r="N256" s="90"/>
      <c r="O256" s="90"/>
      <c r="P256" s="89"/>
      <c r="R256" s="219">
        <f>IF(OR(ListaDeCursos[[#This Row],[Tipo ]]="FIC",ListaDeCursos[[#This Row],[Tipo ]]="PROEJA-FIC"),ListaDeCursos[[#This Row],[Carga horária mínima]]/800,1)</f>
        <v>1</v>
      </c>
      <c r="T25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7" spans="7:20" x14ac:dyDescent="0.25">
      <c r="G257" s="89"/>
      <c r="H257" s="89"/>
      <c r="I257" s="89"/>
      <c r="J257" s="89"/>
      <c r="K257" s="89"/>
      <c r="L257" s="89"/>
      <c r="M257" s="89"/>
      <c r="N257" s="90"/>
      <c r="O257" s="90"/>
      <c r="P257" s="89"/>
      <c r="R257" s="219">
        <f>IF(OR(ListaDeCursos[[#This Row],[Tipo ]]="FIC",ListaDeCursos[[#This Row],[Tipo ]]="PROEJA-FIC"),ListaDeCursos[[#This Row],[Carga horária mínima]]/800,1)</f>
        <v>1</v>
      </c>
      <c r="T25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8" spans="7:20" x14ac:dyDescent="0.25">
      <c r="G258" s="89"/>
      <c r="H258" s="89"/>
      <c r="I258" s="89"/>
      <c r="J258" s="89"/>
      <c r="K258" s="89"/>
      <c r="L258" s="89"/>
      <c r="M258" s="89"/>
      <c r="N258" s="90"/>
      <c r="O258" s="90"/>
      <c r="P258" s="89"/>
      <c r="R258" s="219">
        <f>IF(OR(ListaDeCursos[[#This Row],[Tipo ]]="FIC",ListaDeCursos[[#This Row],[Tipo ]]="PROEJA-FIC"),ListaDeCursos[[#This Row],[Carga horária mínima]]/800,1)</f>
        <v>1</v>
      </c>
      <c r="T25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59" spans="7:20" x14ac:dyDescent="0.25">
      <c r="G259" s="89"/>
      <c r="H259" s="89"/>
      <c r="I259" s="89"/>
      <c r="J259" s="89"/>
      <c r="K259" s="89"/>
      <c r="L259" s="89"/>
      <c r="M259" s="89"/>
      <c r="N259" s="90"/>
      <c r="O259" s="90"/>
      <c r="P259" s="89"/>
      <c r="R259" s="219">
        <f>IF(OR(ListaDeCursos[[#This Row],[Tipo ]]="FIC",ListaDeCursos[[#This Row],[Tipo ]]="PROEJA-FIC"),ListaDeCursos[[#This Row],[Carga horária mínima]]/800,1)</f>
        <v>1</v>
      </c>
      <c r="T25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0" spans="7:20" x14ac:dyDescent="0.25">
      <c r="G260" s="89"/>
      <c r="H260" s="89"/>
      <c r="I260" s="89"/>
      <c r="J260" s="89"/>
      <c r="K260" s="89"/>
      <c r="L260" s="89"/>
      <c r="M260" s="89"/>
      <c r="N260" s="90"/>
      <c r="O260" s="90"/>
      <c r="P260" s="89"/>
      <c r="R260" s="219">
        <f>IF(OR(ListaDeCursos[[#This Row],[Tipo ]]="FIC",ListaDeCursos[[#This Row],[Tipo ]]="PROEJA-FIC"),ListaDeCursos[[#This Row],[Carga horária mínima]]/800,1)</f>
        <v>1</v>
      </c>
      <c r="T26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1" spans="7:20" x14ac:dyDescent="0.25">
      <c r="G261" s="89"/>
      <c r="H261" s="89"/>
      <c r="I261" s="89"/>
      <c r="J261" s="89"/>
      <c r="K261" s="89"/>
      <c r="L261" s="89"/>
      <c r="M261" s="89"/>
      <c r="N261" s="90"/>
      <c r="O261" s="90"/>
      <c r="P261" s="89"/>
      <c r="R261" s="219">
        <f>IF(OR(ListaDeCursos[[#This Row],[Tipo ]]="FIC",ListaDeCursos[[#This Row],[Tipo ]]="PROEJA-FIC"),ListaDeCursos[[#This Row],[Carga horária mínima]]/800,1)</f>
        <v>1</v>
      </c>
      <c r="T26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2" spans="7:20" x14ac:dyDescent="0.25">
      <c r="G262" s="89"/>
      <c r="H262" s="89"/>
      <c r="I262" s="89"/>
      <c r="J262" s="89"/>
      <c r="K262" s="89"/>
      <c r="L262" s="89"/>
      <c r="M262" s="89"/>
      <c r="N262" s="90"/>
      <c r="O262" s="90"/>
      <c r="P262" s="89"/>
      <c r="R262" s="219">
        <f>IF(OR(ListaDeCursos[[#This Row],[Tipo ]]="FIC",ListaDeCursos[[#This Row],[Tipo ]]="PROEJA-FIC"),ListaDeCursos[[#This Row],[Carga horária mínima]]/800,1)</f>
        <v>1</v>
      </c>
      <c r="T26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3" spans="7:20" x14ac:dyDescent="0.25">
      <c r="G263" s="89"/>
      <c r="H263" s="89"/>
      <c r="I263" s="89"/>
      <c r="J263" s="89"/>
      <c r="K263" s="89"/>
      <c r="L263" s="89"/>
      <c r="M263" s="89"/>
      <c r="N263" s="90"/>
      <c r="O263" s="90"/>
      <c r="P263" s="89"/>
      <c r="R263" s="219">
        <f>IF(OR(ListaDeCursos[[#This Row],[Tipo ]]="FIC",ListaDeCursos[[#This Row],[Tipo ]]="PROEJA-FIC"),ListaDeCursos[[#This Row],[Carga horária mínima]]/800,1)</f>
        <v>1</v>
      </c>
      <c r="T26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4" spans="7:20" x14ac:dyDescent="0.25">
      <c r="G264" s="89"/>
      <c r="H264" s="89"/>
      <c r="I264" s="89"/>
      <c r="J264" s="89"/>
      <c r="K264" s="89"/>
      <c r="L264" s="89"/>
      <c r="M264" s="89"/>
      <c r="N264" s="90"/>
      <c r="O264" s="90"/>
      <c r="P264" s="89"/>
      <c r="R264" s="219">
        <f>IF(OR(ListaDeCursos[[#This Row],[Tipo ]]="FIC",ListaDeCursos[[#This Row],[Tipo ]]="PROEJA-FIC"),ListaDeCursos[[#This Row],[Carga horária mínima]]/800,1)</f>
        <v>1</v>
      </c>
      <c r="T26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5" spans="7:20" x14ac:dyDescent="0.25">
      <c r="G265" s="89"/>
      <c r="H265" s="89"/>
      <c r="I265" s="89"/>
      <c r="J265" s="89"/>
      <c r="K265" s="89"/>
      <c r="L265" s="89"/>
      <c r="M265" s="89"/>
      <c r="N265" s="90"/>
      <c r="O265" s="90"/>
      <c r="P265" s="89"/>
      <c r="R265" s="219">
        <f>IF(OR(ListaDeCursos[[#This Row],[Tipo ]]="FIC",ListaDeCursos[[#This Row],[Tipo ]]="PROEJA-FIC"),ListaDeCursos[[#This Row],[Carga horária mínima]]/800,1)</f>
        <v>1</v>
      </c>
      <c r="T26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6" spans="7:20" x14ac:dyDescent="0.25">
      <c r="G266" s="89"/>
      <c r="H266" s="89"/>
      <c r="I266" s="89"/>
      <c r="J266" s="89"/>
      <c r="K266" s="89"/>
      <c r="L266" s="89"/>
      <c r="M266" s="89"/>
      <c r="N266" s="90"/>
      <c r="O266" s="90"/>
      <c r="P266" s="89"/>
      <c r="R266" s="219">
        <f>IF(OR(ListaDeCursos[[#This Row],[Tipo ]]="FIC",ListaDeCursos[[#This Row],[Tipo ]]="PROEJA-FIC"),ListaDeCursos[[#This Row],[Carga horária mínima]]/800,1)</f>
        <v>1</v>
      </c>
      <c r="T26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7" spans="7:20" x14ac:dyDescent="0.25">
      <c r="G267" s="89"/>
      <c r="H267" s="89"/>
      <c r="I267" s="89"/>
      <c r="J267" s="89"/>
      <c r="K267" s="89"/>
      <c r="L267" s="89"/>
      <c r="M267" s="89"/>
      <c r="N267" s="90"/>
      <c r="O267" s="90"/>
      <c r="P267" s="89"/>
      <c r="R267" s="219">
        <f>IF(OR(ListaDeCursos[[#This Row],[Tipo ]]="FIC",ListaDeCursos[[#This Row],[Tipo ]]="PROEJA-FIC"),ListaDeCursos[[#This Row],[Carga horária mínima]]/800,1)</f>
        <v>1</v>
      </c>
      <c r="T26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8" spans="7:20" x14ac:dyDescent="0.25">
      <c r="G268" s="89"/>
      <c r="H268" s="89"/>
      <c r="I268" s="89"/>
      <c r="J268" s="89"/>
      <c r="K268" s="89"/>
      <c r="L268" s="89"/>
      <c r="M268" s="89"/>
      <c r="N268" s="90"/>
      <c r="O268" s="90"/>
      <c r="P268" s="89"/>
      <c r="R268" s="219">
        <f>IF(OR(ListaDeCursos[[#This Row],[Tipo ]]="FIC",ListaDeCursos[[#This Row],[Tipo ]]="PROEJA-FIC"),ListaDeCursos[[#This Row],[Carga horária mínima]]/800,1)</f>
        <v>1</v>
      </c>
      <c r="T26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69" spans="7:20" x14ac:dyDescent="0.25">
      <c r="G269" s="89"/>
      <c r="H269" s="89"/>
      <c r="I269" s="89"/>
      <c r="J269" s="89"/>
      <c r="K269" s="89"/>
      <c r="L269" s="89"/>
      <c r="M269" s="89"/>
      <c r="N269" s="90"/>
      <c r="O269" s="90"/>
      <c r="P269" s="89"/>
      <c r="R269" s="219">
        <f>IF(OR(ListaDeCursos[[#This Row],[Tipo ]]="FIC",ListaDeCursos[[#This Row],[Tipo ]]="PROEJA-FIC"),ListaDeCursos[[#This Row],[Carga horária mínima]]/800,1)</f>
        <v>1</v>
      </c>
      <c r="T26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0" spans="7:20" x14ac:dyDescent="0.25">
      <c r="G270" s="89"/>
      <c r="H270" s="89"/>
      <c r="I270" s="89"/>
      <c r="J270" s="89"/>
      <c r="K270" s="89"/>
      <c r="L270" s="89"/>
      <c r="M270" s="89"/>
      <c r="N270" s="90"/>
      <c r="O270" s="90"/>
      <c r="P270" s="89"/>
      <c r="R270" s="219">
        <f>IF(OR(ListaDeCursos[[#This Row],[Tipo ]]="FIC",ListaDeCursos[[#This Row],[Tipo ]]="PROEJA-FIC"),ListaDeCursos[[#This Row],[Carga horária mínima]]/800,1)</f>
        <v>1</v>
      </c>
      <c r="T27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1" spans="7:20" x14ac:dyDescent="0.25">
      <c r="G271" s="89"/>
      <c r="H271" s="89"/>
      <c r="I271" s="89"/>
      <c r="J271" s="89"/>
      <c r="K271" s="89"/>
      <c r="L271" s="89"/>
      <c r="M271" s="89"/>
      <c r="N271" s="90"/>
      <c r="O271" s="90"/>
      <c r="P271" s="89"/>
      <c r="R271" s="219">
        <f>IF(OR(ListaDeCursos[[#This Row],[Tipo ]]="FIC",ListaDeCursos[[#This Row],[Tipo ]]="PROEJA-FIC"),ListaDeCursos[[#This Row],[Carga horária mínima]]/800,1)</f>
        <v>1</v>
      </c>
      <c r="T27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2" spans="7:20" x14ac:dyDescent="0.25">
      <c r="G272" s="89"/>
      <c r="H272" s="89"/>
      <c r="I272" s="89"/>
      <c r="J272" s="89"/>
      <c r="K272" s="89"/>
      <c r="L272" s="89"/>
      <c r="M272" s="89"/>
      <c r="N272" s="90"/>
      <c r="O272" s="90"/>
      <c r="P272" s="89"/>
      <c r="R272" s="219">
        <f>IF(OR(ListaDeCursos[[#This Row],[Tipo ]]="FIC",ListaDeCursos[[#This Row],[Tipo ]]="PROEJA-FIC"),ListaDeCursos[[#This Row],[Carga horária mínima]]/800,1)</f>
        <v>1</v>
      </c>
      <c r="T27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3" spans="7:20" x14ac:dyDescent="0.25">
      <c r="G273" s="89"/>
      <c r="H273" s="89"/>
      <c r="I273" s="89"/>
      <c r="J273" s="89"/>
      <c r="K273" s="89"/>
      <c r="L273" s="89"/>
      <c r="M273" s="89"/>
      <c r="N273" s="90"/>
      <c r="O273" s="90"/>
      <c r="P273" s="89"/>
      <c r="R273" s="219">
        <f>IF(OR(ListaDeCursos[[#This Row],[Tipo ]]="FIC",ListaDeCursos[[#This Row],[Tipo ]]="PROEJA-FIC"),ListaDeCursos[[#This Row],[Carga horária mínima]]/800,1)</f>
        <v>1</v>
      </c>
      <c r="T27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4" spans="7:20" x14ac:dyDescent="0.25">
      <c r="G274" s="89"/>
      <c r="H274" s="89"/>
      <c r="I274" s="89"/>
      <c r="J274" s="89"/>
      <c r="K274" s="89"/>
      <c r="L274" s="89"/>
      <c r="M274" s="89"/>
      <c r="N274" s="90"/>
      <c r="O274" s="90"/>
      <c r="P274" s="89"/>
      <c r="R274" s="219">
        <f>IF(OR(ListaDeCursos[[#This Row],[Tipo ]]="FIC",ListaDeCursos[[#This Row],[Tipo ]]="PROEJA-FIC"),ListaDeCursos[[#This Row],[Carga horária mínima]]/800,1)</f>
        <v>1</v>
      </c>
      <c r="T27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5" spans="7:20" x14ac:dyDescent="0.25">
      <c r="G275" s="89"/>
      <c r="H275" s="89"/>
      <c r="I275" s="89"/>
      <c r="J275" s="89"/>
      <c r="K275" s="89"/>
      <c r="L275" s="89"/>
      <c r="M275" s="89"/>
      <c r="N275" s="90"/>
      <c r="O275" s="90"/>
      <c r="P275" s="89"/>
      <c r="R275" s="219">
        <f>IF(OR(ListaDeCursos[[#This Row],[Tipo ]]="FIC",ListaDeCursos[[#This Row],[Tipo ]]="PROEJA-FIC"),ListaDeCursos[[#This Row],[Carga horária mínima]]/800,1)</f>
        <v>1</v>
      </c>
      <c r="T27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6" spans="7:20" x14ac:dyDescent="0.25">
      <c r="G276" s="89"/>
      <c r="H276" s="89"/>
      <c r="I276" s="89"/>
      <c r="J276" s="89"/>
      <c r="K276" s="89"/>
      <c r="L276" s="89"/>
      <c r="M276" s="89"/>
      <c r="N276" s="90"/>
      <c r="O276" s="90"/>
      <c r="P276" s="89"/>
      <c r="R276" s="219">
        <f>IF(OR(ListaDeCursos[[#This Row],[Tipo ]]="FIC",ListaDeCursos[[#This Row],[Tipo ]]="PROEJA-FIC"),ListaDeCursos[[#This Row],[Carga horária mínima]]/800,1)</f>
        <v>1</v>
      </c>
      <c r="T27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7" spans="7:20" x14ac:dyDescent="0.25">
      <c r="G277" s="89"/>
      <c r="H277" s="89"/>
      <c r="I277" s="89"/>
      <c r="J277" s="89"/>
      <c r="K277" s="89"/>
      <c r="L277" s="89"/>
      <c r="M277" s="89"/>
      <c r="N277" s="90"/>
      <c r="O277" s="90"/>
      <c r="P277" s="89"/>
      <c r="R277" s="219">
        <f>IF(OR(ListaDeCursos[[#This Row],[Tipo ]]="FIC",ListaDeCursos[[#This Row],[Tipo ]]="PROEJA-FIC"),ListaDeCursos[[#This Row],[Carga horária mínima]]/800,1)</f>
        <v>1</v>
      </c>
      <c r="T27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8" spans="7:20" x14ac:dyDescent="0.25">
      <c r="G278" s="89"/>
      <c r="H278" s="89"/>
      <c r="I278" s="89"/>
      <c r="J278" s="89"/>
      <c r="K278" s="89"/>
      <c r="L278" s="89"/>
      <c r="M278" s="89"/>
      <c r="N278" s="90"/>
      <c r="O278" s="90"/>
      <c r="P278" s="89"/>
      <c r="R278" s="219">
        <f>IF(OR(ListaDeCursos[[#This Row],[Tipo ]]="FIC",ListaDeCursos[[#This Row],[Tipo ]]="PROEJA-FIC"),ListaDeCursos[[#This Row],[Carga horária mínima]]/800,1)</f>
        <v>1</v>
      </c>
      <c r="T27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79" spans="7:20" x14ac:dyDescent="0.25">
      <c r="G279" s="89"/>
      <c r="H279" s="89"/>
      <c r="I279" s="89"/>
      <c r="J279" s="89"/>
      <c r="K279" s="89"/>
      <c r="L279" s="89"/>
      <c r="M279" s="89"/>
      <c r="N279" s="90"/>
      <c r="O279" s="90"/>
      <c r="P279" s="89"/>
      <c r="R279" s="219">
        <f>IF(OR(ListaDeCursos[[#This Row],[Tipo ]]="FIC",ListaDeCursos[[#This Row],[Tipo ]]="PROEJA-FIC"),ListaDeCursos[[#This Row],[Carga horária mínima]]/800,1)</f>
        <v>1</v>
      </c>
      <c r="T27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0" spans="7:20" x14ac:dyDescent="0.25">
      <c r="G280" s="89"/>
      <c r="H280" s="89"/>
      <c r="I280" s="89"/>
      <c r="J280" s="89"/>
      <c r="K280" s="89"/>
      <c r="L280" s="89"/>
      <c r="M280" s="89"/>
      <c r="N280" s="90"/>
      <c r="O280" s="90"/>
      <c r="P280" s="89"/>
      <c r="R280" s="219">
        <f>IF(OR(ListaDeCursos[[#This Row],[Tipo ]]="FIC",ListaDeCursos[[#This Row],[Tipo ]]="PROEJA-FIC"),ListaDeCursos[[#This Row],[Carga horária mínima]]/800,1)</f>
        <v>1</v>
      </c>
      <c r="T28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1" spans="7:20" x14ac:dyDescent="0.25">
      <c r="G281" s="89"/>
      <c r="H281" s="89"/>
      <c r="I281" s="89"/>
      <c r="J281" s="89"/>
      <c r="K281" s="89"/>
      <c r="L281" s="89"/>
      <c r="M281" s="89"/>
      <c r="N281" s="90"/>
      <c r="O281" s="90"/>
      <c r="P281" s="89"/>
      <c r="R281" s="219">
        <f>IF(OR(ListaDeCursos[[#This Row],[Tipo ]]="FIC",ListaDeCursos[[#This Row],[Tipo ]]="PROEJA-FIC"),ListaDeCursos[[#This Row],[Carga horária mínima]]/800,1)</f>
        <v>1</v>
      </c>
      <c r="T28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2" spans="7:20" x14ac:dyDescent="0.25">
      <c r="G282" s="89"/>
      <c r="H282" s="89"/>
      <c r="I282" s="89"/>
      <c r="J282" s="89"/>
      <c r="K282" s="89"/>
      <c r="L282" s="89"/>
      <c r="M282" s="89"/>
      <c r="N282" s="90"/>
      <c r="O282" s="90"/>
      <c r="P282" s="89"/>
      <c r="R282" s="219">
        <f>IF(OR(ListaDeCursos[[#This Row],[Tipo ]]="FIC",ListaDeCursos[[#This Row],[Tipo ]]="PROEJA-FIC"),ListaDeCursos[[#This Row],[Carga horária mínima]]/800,1)</f>
        <v>1</v>
      </c>
      <c r="T28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3" spans="7:20" x14ac:dyDescent="0.25">
      <c r="G283" s="89"/>
      <c r="H283" s="89"/>
      <c r="I283" s="89"/>
      <c r="J283" s="89"/>
      <c r="K283" s="89"/>
      <c r="L283" s="89"/>
      <c r="M283" s="89"/>
      <c r="N283" s="90"/>
      <c r="O283" s="90"/>
      <c r="P283" s="89"/>
      <c r="R283" s="219">
        <f>IF(OR(ListaDeCursos[[#This Row],[Tipo ]]="FIC",ListaDeCursos[[#This Row],[Tipo ]]="PROEJA-FIC"),ListaDeCursos[[#This Row],[Carga horária mínima]]/800,1)</f>
        <v>1</v>
      </c>
      <c r="T28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4" spans="7:20" x14ac:dyDescent="0.25">
      <c r="G284" s="89"/>
      <c r="H284" s="89"/>
      <c r="I284" s="89"/>
      <c r="J284" s="89"/>
      <c r="K284" s="89"/>
      <c r="L284" s="89"/>
      <c r="M284" s="89"/>
      <c r="N284" s="90"/>
      <c r="O284" s="90"/>
      <c r="P284" s="89"/>
      <c r="R284" s="219">
        <f>IF(OR(ListaDeCursos[[#This Row],[Tipo ]]="FIC",ListaDeCursos[[#This Row],[Tipo ]]="PROEJA-FIC"),ListaDeCursos[[#This Row],[Carga horária mínima]]/800,1)</f>
        <v>1</v>
      </c>
      <c r="T28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5" spans="7:20" x14ac:dyDescent="0.25">
      <c r="G285" s="89"/>
      <c r="H285" s="89"/>
      <c r="I285" s="89"/>
      <c r="J285" s="89"/>
      <c r="K285" s="89"/>
      <c r="L285" s="89"/>
      <c r="M285" s="89"/>
      <c r="N285" s="90"/>
      <c r="O285" s="90"/>
      <c r="P285" s="89"/>
      <c r="R285" s="219">
        <f>IF(OR(ListaDeCursos[[#This Row],[Tipo ]]="FIC",ListaDeCursos[[#This Row],[Tipo ]]="PROEJA-FIC"),ListaDeCursos[[#This Row],[Carga horária mínima]]/800,1)</f>
        <v>1</v>
      </c>
      <c r="T28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6" spans="7:20" x14ac:dyDescent="0.25">
      <c r="G286" s="89"/>
      <c r="H286" s="89"/>
      <c r="I286" s="89"/>
      <c r="J286" s="89"/>
      <c r="K286" s="89"/>
      <c r="L286" s="89"/>
      <c r="M286" s="89"/>
      <c r="N286" s="90"/>
      <c r="O286" s="90"/>
      <c r="P286" s="89"/>
      <c r="R286" s="219">
        <f>IF(OR(ListaDeCursos[[#This Row],[Tipo ]]="FIC",ListaDeCursos[[#This Row],[Tipo ]]="PROEJA-FIC"),ListaDeCursos[[#This Row],[Carga horária mínima]]/800,1)</f>
        <v>1</v>
      </c>
      <c r="T28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7" spans="7:20" x14ac:dyDescent="0.25">
      <c r="G287" s="89"/>
      <c r="H287" s="89"/>
      <c r="I287" s="89"/>
      <c r="J287" s="89"/>
      <c r="K287" s="89"/>
      <c r="L287" s="89"/>
      <c r="M287" s="89"/>
      <c r="N287" s="90"/>
      <c r="O287" s="90"/>
      <c r="P287" s="89"/>
      <c r="R287" s="219">
        <f>IF(OR(ListaDeCursos[[#This Row],[Tipo ]]="FIC",ListaDeCursos[[#This Row],[Tipo ]]="PROEJA-FIC"),ListaDeCursos[[#This Row],[Carga horária mínima]]/800,1)</f>
        <v>1</v>
      </c>
      <c r="T28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8" spans="7:20" x14ac:dyDescent="0.25">
      <c r="G288" s="89"/>
      <c r="H288" s="89"/>
      <c r="I288" s="89"/>
      <c r="J288" s="89"/>
      <c r="K288" s="89"/>
      <c r="L288" s="89"/>
      <c r="M288" s="89"/>
      <c r="N288" s="90"/>
      <c r="O288" s="90"/>
      <c r="P288" s="89"/>
      <c r="R288" s="219">
        <f>IF(OR(ListaDeCursos[[#This Row],[Tipo ]]="FIC",ListaDeCursos[[#This Row],[Tipo ]]="PROEJA-FIC"),ListaDeCursos[[#This Row],[Carga horária mínima]]/800,1)</f>
        <v>1</v>
      </c>
      <c r="T28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89" spans="7:20" x14ac:dyDescent="0.25">
      <c r="G289" s="89"/>
      <c r="H289" s="89"/>
      <c r="I289" s="89"/>
      <c r="J289" s="89"/>
      <c r="K289" s="89"/>
      <c r="L289" s="89"/>
      <c r="M289" s="89"/>
      <c r="N289" s="90"/>
      <c r="O289" s="90"/>
      <c r="P289" s="89"/>
      <c r="R289" s="219">
        <f>IF(OR(ListaDeCursos[[#This Row],[Tipo ]]="FIC",ListaDeCursos[[#This Row],[Tipo ]]="PROEJA-FIC"),ListaDeCursos[[#This Row],[Carga horária mínima]]/800,1)</f>
        <v>1</v>
      </c>
      <c r="T28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0" spans="7:20" x14ac:dyDescent="0.25">
      <c r="G290" s="89"/>
      <c r="H290" s="89"/>
      <c r="I290" s="89"/>
      <c r="J290" s="89"/>
      <c r="K290" s="89"/>
      <c r="L290" s="89"/>
      <c r="M290" s="89"/>
      <c r="N290" s="90"/>
      <c r="O290" s="90"/>
      <c r="P290" s="89"/>
      <c r="R290" s="219">
        <f>IF(OR(ListaDeCursos[[#This Row],[Tipo ]]="FIC",ListaDeCursos[[#This Row],[Tipo ]]="PROEJA-FIC"),ListaDeCursos[[#This Row],[Carga horária mínima]]/800,1)</f>
        <v>1</v>
      </c>
      <c r="T29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1" spans="7:20" x14ac:dyDescent="0.25">
      <c r="G291" s="89"/>
      <c r="H291" s="89"/>
      <c r="I291" s="89"/>
      <c r="J291" s="89"/>
      <c r="K291" s="89"/>
      <c r="L291" s="89"/>
      <c r="M291" s="89"/>
      <c r="N291" s="90"/>
      <c r="O291" s="90"/>
      <c r="P291" s="89"/>
      <c r="R291" s="219">
        <f>IF(OR(ListaDeCursos[[#This Row],[Tipo ]]="FIC",ListaDeCursos[[#This Row],[Tipo ]]="PROEJA-FIC"),ListaDeCursos[[#This Row],[Carga horária mínima]]/800,1)</f>
        <v>1</v>
      </c>
      <c r="T291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2" spans="7:20" x14ac:dyDescent="0.25">
      <c r="G292" s="89"/>
      <c r="H292" s="89"/>
      <c r="I292" s="89"/>
      <c r="J292" s="89"/>
      <c r="K292" s="89"/>
      <c r="L292" s="89"/>
      <c r="M292" s="89"/>
      <c r="N292" s="90"/>
      <c r="O292" s="90"/>
      <c r="P292" s="89"/>
      <c r="R292" s="219">
        <f>IF(OR(ListaDeCursos[[#This Row],[Tipo ]]="FIC",ListaDeCursos[[#This Row],[Tipo ]]="PROEJA-FIC"),ListaDeCursos[[#This Row],[Carga horária mínima]]/800,1)</f>
        <v>1</v>
      </c>
      <c r="T292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3" spans="7:20" x14ac:dyDescent="0.25">
      <c r="G293" s="89"/>
      <c r="H293" s="89"/>
      <c r="I293" s="89"/>
      <c r="J293" s="89"/>
      <c r="K293" s="89"/>
      <c r="L293" s="89"/>
      <c r="M293" s="89"/>
      <c r="N293" s="90"/>
      <c r="O293" s="90"/>
      <c r="P293" s="89"/>
      <c r="R293" s="219">
        <f>IF(OR(ListaDeCursos[[#This Row],[Tipo ]]="FIC",ListaDeCursos[[#This Row],[Tipo ]]="PROEJA-FIC"),ListaDeCursos[[#This Row],[Carga horária mínima]]/800,1)</f>
        <v>1</v>
      </c>
      <c r="T293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4" spans="7:20" x14ac:dyDescent="0.25">
      <c r="G294" s="89"/>
      <c r="H294" s="89"/>
      <c r="I294" s="89"/>
      <c r="J294" s="89"/>
      <c r="K294" s="89"/>
      <c r="L294" s="89"/>
      <c r="M294" s="89"/>
      <c r="N294" s="90"/>
      <c r="O294" s="90"/>
      <c r="P294" s="89"/>
      <c r="R294" s="219">
        <f>IF(OR(ListaDeCursos[[#This Row],[Tipo ]]="FIC",ListaDeCursos[[#This Row],[Tipo ]]="PROEJA-FIC"),ListaDeCursos[[#This Row],[Carga horária mínima]]/800,1)</f>
        <v>1</v>
      </c>
      <c r="T294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5" spans="7:20" x14ac:dyDescent="0.25">
      <c r="G295" s="89"/>
      <c r="H295" s="89"/>
      <c r="I295" s="89"/>
      <c r="J295" s="89"/>
      <c r="K295" s="89"/>
      <c r="L295" s="89"/>
      <c r="M295" s="89"/>
      <c r="N295" s="90"/>
      <c r="O295" s="90"/>
      <c r="P295" s="89"/>
      <c r="R295" s="219">
        <f>IF(OR(ListaDeCursos[[#This Row],[Tipo ]]="FIC",ListaDeCursos[[#This Row],[Tipo ]]="PROEJA-FIC"),ListaDeCursos[[#This Row],[Carga horária mínima]]/800,1)</f>
        <v>1</v>
      </c>
      <c r="T295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6" spans="7:20" x14ac:dyDescent="0.25">
      <c r="G296" s="89"/>
      <c r="H296" s="89"/>
      <c r="I296" s="89"/>
      <c r="J296" s="89"/>
      <c r="K296" s="89"/>
      <c r="L296" s="89"/>
      <c r="M296" s="89"/>
      <c r="N296" s="90"/>
      <c r="O296" s="90"/>
      <c r="P296" s="89"/>
      <c r="R296" s="219">
        <f>IF(OR(ListaDeCursos[[#This Row],[Tipo ]]="FIC",ListaDeCursos[[#This Row],[Tipo ]]="PROEJA-FIC"),ListaDeCursos[[#This Row],[Carga horária mínima]]/800,1)</f>
        <v>1</v>
      </c>
      <c r="T296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7" spans="7:20" x14ac:dyDescent="0.25">
      <c r="G297" s="89"/>
      <c r="H297" s="89"/>
      <c r="I297" s="89"/>
      <c r="J297" s="89"/>
      <c r="K297" s="89"/>
      <c r="L297" s="89"/>
      <c r="M297" s="89"/>
      <c r="N297" s="90"/>
      <c r="O297" s="90"/>
      <c r="P297" s="89"/>
      <c r="R297" s="219">
        <f>IF(OR(ListaDeCursos[[#This Row],[Tipo ]]="FIC",ListaDeCursos[[#This Row],[Tipo ]]="PROEJA-FIC"),ListaDeCursos[[#This Row],[Carga horária mínima]]/800,1)</f>
        <v>1</v>
      </c>
      <c r="T297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8" spans="7:20" x14ac:dyDescent="0.25">
      <c r="G298" s="89"/>
      <c r="H298" s="89"/>
      <c r="I298" s="89"/>
      <c r="J298" s="89"/>
      <c r="K298" s="89"/>
      <c r="L298" s="89"/>
      <c r="M298" s="89"/>
      <c r="N298" s="90"/>
      <c r="O298" s="90"/>
      <c r="P298" s="89"/>
      <c r="R298" s="219">
        <f>IF(OR(ListaDeCursos[[#This Row],[Tipo ]]="FIC",ListaDeCursos[[#This Row],[Tipo ]]="PROEJA-FIC"),ListaDeCursos[[#This Row],[Carga horária mínima]]/800,1)</f>
        <v>1</v>
      </c>
      <c r="T298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299" spans="7:20" x14ac:dyDescent="0.25">
      <c r="G299" s="89"/>
      <c r="H299" s="89"/>
      <c r="I299" s="89"/>
      <c r="J299" s="89"/>
      <c r="K299" s="89"/>
      <c r="L299" s="89"/>
      <c r="M299" s="89"/>
      <c r="N299" s="90"/>
      <c r="O299" s="90"/>
      <c r="P299" s="89"/>
      <c r="R299" s="219">
        <f>IF(OR(ListaDeCursos[[#This Row],[Tipo ]]="FIC",ListaDeCursos[[#This Row],[Tipo ]]="PROEJA-FIC"),ListaDeCursos[[#This Row],[Carga horária mínima]]/800,1)</f>
        <v>1</v>
      </c>
      <c r="T299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  <row r="300" spans="7:20" x14ac:dyDescent="0.25">
      <c r="G300" s="89"/>
      <c r="H300" s="89"/>
      <c r="I300" s="89"/>
      <c r="J300" s="89"/>
      <c r="K300" s="89"/>
      <c r="L300" s="89"/>
      <c r="M300" s="89"/>
      <c r="N300" s="90"/>
      <c r="O300" s="90"/>
      <c r="P300" s="89"/>
      <c r="R300" s="219">
        <f>IF(OR(ListaDeCursos[[#This Row],[Tipo ]]="FIC",ListaDeCursos[[#This Row],[Tipo ]]="PROEJA-FIC"),ListaDeCursos[[#This Row],[Carga horária mínima]]/800,1)</f>
        <v>1</v>
      </c>
      <c r="T300" s="219">
        <f>IF(ListaDeCursos[[#This Row],[Tipo ]]="FIC",20/20,IF(NOT(ISERR(FIND("Médio",ListaDeCursos[[#This Row],[Tipo ]]))),20/20,IF(OR(ListaDeCursos[[#This Row],[Tipo ]]="Superior",ListaDeCursos[[#This Row],[Tipo ]]="Licenciatura"),20/18,IF(ListaDeCursos[[#This Row],[Tipo ]]="Esp. Formação",20/20,20/20))))</f>
        <v>1</v>
      </c>
    </row>
  </sheetData>
  <sortState xmlns:xlrd2="http://schemas.microsoft.com/office/spreadsheetml/2017/richdata2" ref="A3:B22">
    <sortCondition ref="A3"/>
  </sortState>
  <dataConsolidate link="1"/>
  <dataValidations count="9">
    <dataValidation type="custom" allowBlank="1" showInputMessage="1" showErrorMessage="1" sqref="P3:Q6 P55:Q55 P76:Q79" xr:uid="{00000000-0002-0000-2A00-000000000000}">
      <formula1>_xlfn.SHEET()</formula1>
    </dataValidation>
    <dataValidation type="list" allowBlank="1" showInputMessage="1" showErrorMessage="1" sqref="K16 I44:I46 K44:K46 I40:I42 K33:K38 K40:K42 I32:I38 I16 I50 K50 K53:K56 I3:I6 K3:K6 K14 K8:K12 I14 I8:I12 I18:I19 K18:K19 K22:K27 I22:I27 I53:I60 K58:K60 K64:K79 I64:I79 I81:I84 K81:K84 I87:I1048576 K87:K1048576" xr:uid="{00000000-0002-0000-2A00-000001000000}">
      <formula1>"Anual,Semestral"</formula1>
    </dataValidation>
    <dataValidation type="whole" allowBlank="1" showInputMessage="1" showErrorMessage="1" sqref="L16 L44:L46 L33:L38 L40:L42 L50 L53:L56 L3:L6 L14 L8:L12 L18:L19 L22:L27 L58:L60 L64:L79 L81:L84 L87:L1048576" xr:uid="{00000000-0002-0000-2A00-000002000000}">
      <formula1>1</formula1>
      <formula2>12</formula2>
    </dataValidation>
    <dataValidation type="date" allowBlank="1" showInputMessage="1" showErrorMessage="1" sqref="N16:O16 N53:O56 N33:O38 N40:O42 N50:O50 O44 N3:O6 N14:O14 N8:O12 N18:O19 N22:O27 N58:O60 N44:N46 O46 N48:O48 N64:O79 N81:O84 N86 N87:O1048576" xr:uid="{00000000-0002-0000-2A00-000003000000}">
      <formula1>36526</formula1>
      <formula2>117610</formula2>
    </dataValidation>
    <dataValidation type="list" allowBlank="1" showInputMessage="1" showErrorMessage="1" sqref="H53 H44:H46 H40:H42 H32:H38 H1:H6 H14 H8:H12 H18:H19 H21:H30 H55:H60 H64:H79 H81:H1048576" xr:uid="{00000000-0002-0000-2A00-000004000000}">
      <formula1>"Superior,Médio Integrado,Proeja Médio,Médio Concomitante,FIC,Esp. Formação,EJA,PROEJA-FIC"</formula1>
    </dataValidation>
    <dataValidation type="list" allowBlank="1" showInputMessage="1" showErrorMessage="1" sqref="H16 H54" xr:uid="{00000000-0002-0000-2A00-000005000000}">
      <formula1>"Superior,Licenciatura,Médio Integrado,Médio Concomitante,FIC,PROEJA-FIC"</formula1>
    </dataValidation>
    <dataValidation type="list" allowBlank="1" showInputMessage="1" showErrorMessage="1" sqref="H50" xr:uid="{00000000-0002-0000-2A00-000006000000}">
      <formula1>"Superior,Médio Integrado,Médio Concomitante,FIC,Pós lato-sensu,PROEJA-FIC"</formula1>
    </dataValidation>
    <dataValidation type="list" allowBlank="1" showInputMessage="1" showErrorMessage="1" sqref="J44:J46 J40:J42 J32:J38 J16 J50 J3:J6 J14 J8:J12 J18:J19 J22:J27 J53:J60 J64:J79 J81:J84 J87:J1048576" xr:uid="{00000000-0002-0000-2A00-000007000000}">
      <formula1>"Integral,Matutino,Vespertino,Noturno"</formula1>
    </dataValidation>
    <dataValidation type="list" allowBlank="1" showInputMessage="1" showErrorMessage="1" sqref="F40:F42 F32:F38 F16 F50 F3:F6 F14 F8:F12 F18:F19 F22:F27 F53:F60 F44:F46 F48 F64:F300" xr:uid="{00000000-0002-0000-2A00-000008000000}">
      <formula1>"S,N"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3"/>
  <dimension ref="A1:AQ28"/>
  <sheetViews>
    <sheetView zoomScaleNormal="100" workbookViewId="0">
      <pane ySplit="1" topLeftCell="A64" activePane="bottomLeft" state="frozen"/>
      <selection activeCell="E33" sqref="E33"/>
      <selection pane="bottomLeft" activeCell="L96" sqref="L96"/>
    </sheetView>
  </sheetViews>
  <sheetFormatPr defaultRowHeight="15" x14ac:dyDescent="0.25"/>
  <cols>
    <col min="1" max="1" width="75.140625" customWidth="1"/>
    <col min="2" max="3" width="20.7109375" customWidth="1"/>
    <col min="4" max="4" width="43.28515625" customWidth="1"/>
    <col min="5" max="5" width="16.28515625" customWidth="1"/>
    <col min="6" max="6" width="17.5703125" style="99" customWidth="1"/>
    <col min="7" max="7" width="19.5703125" style="99" customWidth="1"/>
    <col min="8" max="8" width="21.42578125" customWidth="1"/>
    <col min="9" max="9" width="33.85546875" customWidth="1"/>
    <col min="10" max="10" width="19.5703125" customWidth="1"/>
    <col min="16" max="16" width="15" style="104" customWidth="1"/>
    <col min="17" max="17" width="10.7109375" bestFit="1" customWidth="1"/>
    <col min="18" max="18" width="29.42578125" bestFit="1" customWidth="1"/>
    <col min="19" max="19" width="22.42578125" bestFit="1" customWidth="1"/>
    <col min="20" max="20" width="29.42578125" bestFit="1" customWidth="1"/>
    <col min="21" max="21" width="22.42578125" bestFit="1" customWidth="1"/>
    <col min="22" max="22" width="29.42578125" bestFit="1" customWidth="1"/>
    <col min="23" max="23" width="22.42578125" bestFit="1" customWidth="1"/>
    <col min="24" max="24" width="29.42578125" bestFit="1" customWidth="1"/>
    <col min="25" max="25" width="22.42578125" bestFit="1" customWidth="1"/>
    <col min="26" max="26" width="29.42578125" bestFit="1" customWidth="1"/>
    <col min="27" max="27" width="22.42578125" bestFit="1" customWidth="1"/>
    <col min="28" max="28" width="29.42578125" bestFit="1" customWidth="1"/>
    <col min="29" max="29" width="22.42578125" bestFit="1" customWidth="1"/>
    <col min="30" max="30" width="29.42578125" bestFit="1" customWidth="1"/>
    <col min="31" max="31" width="22.42578125" bestFit="1" customWidth="1"/>
    <col min="32" max="32" width="29.42578125" bestFit="1" customWidth="1"/>
    <col min="33" max="33" width="22.42578125" bestFit="1" customWidth="1"/>
    <col min="34" max="34" width="34.5703125" bestFit="1" customWidth="1"/>
    <col min="35" max="35" width="27.42578125" bestFit="1" customWidth="1"/>
    <col min="36" max="36" width="11.42578125" bestFit="1" customWidth="1"/>
    <col min="37" max="37" width="14.42578125" bestFit="1" customWidth="1"/>
    <col min="38" max="38" width="12" bestFit="1" customWidth="1"/>
    <col min="39" max="39" width="15.140625" bestFit="1" customWidth="1"/>
    <col min="40" max="40" width="11.85546875" bestFit="1" customWidth="1"/>
    <col min="41" max="41" width="15" bestFit="1" customWidth="1"/>
    <col min="42" max="42" width="11.42578125" bestFit="1" customWidth="1"/>
    <col min="43" max="43" width="13.28515625" bestFit="1" customWidth="1"/>
    <col min="44" max="44" width="24.85546875" bestFit="1" customWidth="1"/>
    <col min="45" max="45" width="20.28515625" bestFit="1" customWidth="1"/>
    <col min="46" max="46" width="11.42578125" bestFit="1" customWidth="1"/>
    <col min="47" max="47" width="15" bestFit="1" customWidth="1"/>
    <col min="48" max="48" width="10.7109375" bestFit="1" customWidth="1"/>
    <col min="49" max="49" width="6.7109375" bestFit="1" customWidth="1"/>
    <col min="50" max="50" width="7.140625" bestFit="1" customWidth="1"/>
    <col min="51" max="51" width="6.140625" bestFit="1" customWidth="1"/>
    <col min="52" max="52" width="3.5703125" bestFit="1" customWidth="1"/>
    <col min="53" max="53" width="3.85546875" bestFit="1" customWidth="1"/>
    <col min="54" max="55" width="5.85546875" bestFit="1" customWidth="1"/>
    <col min="56" max="56" width="4.140625" bestFit="1" customWidth="1"/>
    <col min="57" max="57" width="6.140625" bestFit="1" customWidth="1"/>
    <col min="58" max="58" width="6.85546875" bestFit="1" customWidth="1"/>
    <col min="59" max="59" width="4.140625" bestFit="1" customWidth="1"/>
    <col min="60" max="60" width="6.140625" bestFit="1" customWidth="1"/>
    <col min="61" max="61" width="3.85546875" bestFit="1" customWidth="1"/>
    <col min="62" max="62" width="5.7109375" bestFit="1" customWidth="1"/>
    <col min="63" max="63" width="5.85546875" bestFit="1" customWidth="1"/>
    <col min="64" max="65" width="7.28515625" bestFit="1" customWidth="1"/>
    <col min="66" max="67" width="6.140625" bestFit="1" customWidth="1"/>
    <col min="68" max="68" width="6.28515625" bestFit="1" customWidth="1"/>
    <col min="69" max="69" width="6.140625" bestFit="1" customWidth="1"/>
    <col min="70" max="70" width="7.5703125" bestFit="1" customWidth="1"/>
    <col min="71" max="72" width="6.85546875" bestFit="1" customWidth="1"/>
    <col min="73" max="73" width="6.28515625" bestFit="1" customWidth="1"/>
    <col min="74" max="74" width="6.140625" bestFit="1" customWidth="1"/>
    <col min="75" max="75" width="6" bestFit="1" customWidth="1"/>
    <col min="76" max="77" width="6.42578125" bestFit="1" customWidth="1"/>
    <col min="78" max="78" width="3.42578125" bestFit="1" customWidth="1"/>
    <col min="79" max="79" width="6" bestFit="1" customWidth="1"/>
    <col min="80" max="80" width="3.5703125" bestFit="1" customWidth="1"/>
    <col min="81" max="81" width="6.7109375" bestFit="1" customWidth="1"/>
    <col min="82" max="82" width="7.140625" bestFit="1" customWidth="1"/>
    <col min="83" max="83" width="6.5703125" bestFit="1" customWidth="1"/>
    <col min="84" max="84" width="6.140625" bestFit="1" customWidth="1"/>
    <col min="85" max="85" width="7.7109375" bestFit="1" customWidth="1"/>
    <col min="86" max="86" width="6.5703125" bestFit="1" customWidth="1"/>
    <col min="87" max="87" width="7.85546875" bestFit="1" customWidth="1"/>
    <col min="88" max="88" width="7.5703125" bestFit="1" customWidth="1"/>
    <col min="89" max="89" width="7.28515625" bestFit="1" customWidth="1"/>
    <col min="90" max="90" width="6.42578125" bestFit="1" customWidth="1"/>
    <col min="91" max="91" width="4.85546875" bestFit="1" customWidth="1"/>
    <col min="92" max="92" width="7.7109375" bestFit="1" customWidth="1"/>
    <col min="93" max="93" width="6.5703125" bestFit="1" customWidth="1"/>
    <col min="94" max="94" width="6.28515625" bestFit="1" customWidth="1"/>
    <col min="95" max="95" width="6.7109375" bestFit="1" customWidth="1"/>
    <col min="96" max="96" width="6.85546875" bestFit="1" customWidth="1"/>
    <col min="97" max="98" width="6.7109375" bestFit="1" customWidth="1"/>
    <col min="99" max="99" width="7.28515625" bestFit="1" customWidth="1"/>
    <col min="100" max="100" width="4.42578125" bestFit="1" customWidth="1"/>
    <col min="101" max="101" width="3.85546875" bestFit="1" customWidth="1"/>
    <col min="102" max="102" width="8" bestFit="1" customWidth="1"/>
    <col min="103" max="103" width="6.85546875" bestFit="1" customWidth="1"/>
    <col min="104" max="104" width="7.140625" bestFit="1" customWidth="1"/>
    <col min="105" max="105" width="5.42578125" bestFit="1" customWidth="1"/>
    <col min="106" max="106" width="5.140625" bestFit="1" customWidth="1"/>
    <col min="107" max="107" width="5.42578125" bestFit="1" customWidth="1"/>
    <col min="108" max="108" width="3.7109375" bestFit="1" customWidth="1"/>
    <col min="109" max="110" width="6.85546875" bestFit="1" customWidth="1"/>
    <col min="111" max="111" width="6.28515625" bestFit="1" customWidth="1"/>
    <col min="112" max="112" width="4.42578125" bestFit="1" customWidth="1"/>
    <col min="113" max="113" width="5.5703125" bestFit="1" customWidth="1"/>
    <col min="114" max="114" width="4" bestFit="1" customWidth="1"/>
    <col min="115" max="115" width="5.42578125" bestFit="1" customWidth="1"/>
    <col min="116" max="116" width="5.5703125" bestFit="1" customWidth="1"/>
    <col min="117" max="117" width="6" bestFit="1" customWidth="1"/>
    <col min="118" max="118" width="6.85546875" bestFit="1" customWidth="1"/>
    <col min="119" max="119" width="6.140625" bestFit="1" customWidth="1"/>
    <col min="120" max="120" width="7.5703125" bestFit="1" customWidth="1"/>
    <col min="121" max="122" width="6.28515625" bestFit="1" customWidth="1"/>
    <col min="123" max="123" width="3.85546875" bestFit="1" customWidth="1"/>
    <col min="124" max="126" width="7.140625" bestFit="1" customWidth="1"/>
    <col min="127" max="127" width="8.28515625" bestFit="1" customWidth="1"/>
    <col min="128" max="128" width="5.140625" bestFit="1" customWidth="1"/>
    <col min="129" max="129" width="7.140625" bestFit="1" customWidth="1"/>
    <col min="130" max="130" width="5" bestFit="1" customWidth="1"/>
    <col min="131" max="131" width="7.140625" bestFit="1" customWidth="1"/>
    <col min="132" max="132" width="8" bestFit="1" customWidth="1"/>
    <col min="133" max="134" width="6.7109375" bestFit="1" customWidth="1"/>
    <col min="135" max="135" width="5.7109375" bestFit="1" customWidth="1"/>
    <col min="136" max="136" width="6.85546875" bestFit="1" customWidth="1"/>
    <col min="137" max="139" width="7.7109375" bestFit="1" customWidth="1"/>
    <col min="140" max="140" width="7.28515625" bestFit="1" customWidth="1"/>
    <col min="141" max="141" width="6.7109375" bestFit="1" customWidth="1"/>
    <col min="142" max="142" width="4.5703125" bestFit="1" customWidth="1"/>
    <col min="143" max="143" width="6.5703125" bestFit="1" customWidth="1"/>
    <col min="144" max="144" width="5.7109375" bestFit="1" customWidth="1"/>
    <col min="145" max="145" width="6.42578125" bestFit="1" customWidth="1"/>
    <col min="146" max="146" width="7.85546875" bestFit="1" customWidth="1"/>
    <col min="147" max="147" width="4.85546875" bestFit="1" customWidth="1"/>
    <col min="148" max="148" width="6.42578125" bestFit="1" customWidth="1"/>
    <col min="149" max="152" width="7.28515625" bestFit="1" customWidth="1"/>
    <col min="153" max="153" width="6.140625" bestFit="1" customWidth="1"/>
    <col min="154" max="154" width="3.42578125" bestFit="1" customWidth="1"/>
    <col min="155" max="155" width="5.42578125" bestFit="1" customWidth="1"/>
    <col min="156" max="156" width="8.140625" bestFit="1" customWidth="1"/>
    <col min="157" max="157" width="5" bestFit="1" customWidth="1"/>
    <col min="158" max="158" width="7.5703125" bestFit="1" customWidth="1"/>
    <col min="159" max="159" width="7.140625" bestFit="1" customWidth="1"/>
    <col min="160" max="162" width="6.28515625" bestFit="1" customWidth="1"/>
    <col min="163" max="163" width="6.7109375" bestFit="1" customWidth="1"/>
    <col min="164" max="164" width="6.5703125" bestFit="1" customWidth="1"/>
    <col min="165" max="165" width="7.140625" bestFit="1" customWidth="1"/>
    <col min="166" max="168" width="6.85546875" bestFit="1" customWidth="1"/>
    <col min="169" max="169" width="4.42578125" bestFit="1" customWidth="1"/>
    <col min="170" max="170" width="5" bestFit="1" customWidth="1"/>
    <col min="171" max="171" width="6.140625" bestFit="1" customWidth="1"/>
    <col min="172" max="172" width="6" bestFit="1" customWidth="1"/>
    <col min="173" max="173" width="7.28515625" bestFit="1" customWidth="1"/>
    <col min="174" max="174" width="3.85546875" bestFit="1" customWidth="1"/>
    <col min="175" max="175" width="5.85546875" bestFit="1" customWidth="1"/>
    <col min="176" max="176" width="6.85546875" bestFit="1" customWidth="1"/>
    <col min="177" max="177" width="6" bestFit="1" customWidth="1"/>
    <col min="178" max="178" width="4.5703125" bestFit="1" customWidth="1"/>
    <col min="179" max="179" width="6.5703125" bestFit="1" customWidth="1"/>
    <col min="180" max="181" width="4.28515625" bestFit="1" customWidth="1"/>
    <col min="182" max="182" width="4.140625" bestFit="1" customWidth="1"/>
    <col min="183" max="183" width="6.140625" bestFit="1" customWidth="1"/>
    <col min="184" max="184" width="6.5703125" bestFit="1" customWidth="1"/>
    <col min="185" max="185" width="7.140625" bestFit="1" customWidth="1"/>
    <col min="186" max="186" width="5.85546875" bestFit="1" customWidth="1"/>
    <col min="187" max="187" width="5" bestFit="1" customWidth="1"/>
    <col min="188" max="188" width="7.5703125" bestFit="1" customWidth="1"/>
    <col min="189" max="189" width="6.140625" bestFit="1" customWidth="1"/>
    <col min="190" max="190" width="6.42578125" bestFit="1" customWidth="1"/>
    <col min="191" max="191" width="6.5703125" bestFit="1" customWidth="1"/>
    <col min="192" max="192" width="4.85546875" bestFit="1" customWidth="1"/>
    <col min="193" max="193" width="4" bestFit="1" customWidth="1"/>
    <col min="194" max="194" width="10.7109375" bestFit="1" customWidth="1"/>
  </cols>
  <sheetData>
    <row r="1" spans="1:43" s="67" customFormat="1" ht="69.75" x14ac:dyDescent="0.35">
      <c r="A1" s="66" t="s">
        <v>0</v>
      </c>
      <c r="B1" s="66" t="s">
        <v>1</v>
      </c>
      <c r="C1" s="66" t="s">
        <v>703</v>
      </c>
      <c r="D1" s="66" t="s">
        <v>35</v>
      </c>
      <c r="E1" s="66" t="s">
        <v>312</v>
      </c>
      <c r="F1" s="98" t="s">
        <v>223</v>
      </c>
      <c r="G1" s="98" t="s">
        <v>2</v>
      </c>
      <c r="H1" s="66" t="s">
        <v>3</v>
      </c>
      <c r="I1" s="66" t="s">
        <v>224</v>
      </c>
      <c r="J1" s="66" t="s">
        <v>482</v>
      </c>
      <c r="K1" s="66" t="s">
        <v>1702</v>
      </c>
      <c r="L1" s="66" t="s">
        <v>1703</v>
      </c>
      <c r="M1" s="66" t="s">
        <v>1704</v>
      </c>
      <c r="N1" s="66" t="s">
        <v>1705</v>
      </c>
      <c r="O1" s="66" t="s">
        <v>1706</v>
      </c>
      <c r="P1" s="495" t="s">
        <v>1707</v>
      </c>
      <c r="Q1" s="66" t="s">
        <v>1708</v>
      </c>
      <c r="R1" s="66" t="s">
        <v>1709</v>
      </c>
      <c r="S1" s="66" t="s">
        <v>1710</v>
      </c>
      <c r="T1" s="66" t="s">
        <v>1711</v>
      </c>
      <c r="U1" s="66" t="s">
        <v>1712</v>
      </c>
      <c r="V1" s="66" t="s">
        <v>1713</v>
      </c>
      <c r="W1" s="66" t="s">
        <v>1714</v>
      </c>
      <c r="X1" s="66" t="s">
        <v>1715</v>
      </c>
      <c r="Y1" s="66" t="s">
        <v>1716</v>
      </c>
      <c r="Z1" s="66" t="s">
        <v>1717</v>
      </c>
      <c r="AA1" s="66" t="s">
        <v>1718</v>
      </c>
      <c r="AB1" s="66" t="s">
        <v>1719</v>
      </c>
      <c r="AC1" s="66" t="s">
        <v>1720</v>
      </c>
      <c r="AD1" s="66" t="s">
        <v>1721</v>
      </c>
      <c r="AE1" s="66" t="s">
        <v>1722</v>
      </c>
      <c r="AF1" s="66" t="s">
        <v>1723</v>
      </c>
      <c r="AG1" s="66" t="s">
        <v>1724</v>
      </c>
      <c r="AH1" s="66" t="s">
        <v>1725</v>
      </c>
      <c r="AI1" s="66" t="s">
        <v>1726</v>
      </c>
      <c r="AJ1" s="66" t="s">
        <v>1727</v>
      </c>
      <c r="AK1" s="66" t="s">
        <v>1728</v>
      </c>
      <c r="AL1" s="66" t="s">
        <v>1729</v>
      </c>
      <c r="AM1" s="66" t="s">
        <v>1730</v>
      </c>
      <c r="AN1" s="66" t="s">
        <v>1731</v>
      </c>
      <c r="AO1" s="66" t="s">
        <v>1732</v>
      </c>
      <c r="AP1" s="66" t="s">
        <v>1733</v>
      </c>
      <c r="AQ1" s="66" t="s">
        <v>1734</v>
      </c>
    </row>
    <row r="2" spans="1:43" hidden="1" x14ac:dyDescent="0.25">
      <c r="A2" t="s">
        <v>574</v>
      </c>
      <c r="B2" t="s">
        <v>51</v>
      </c>
      <c r="C2" t="s">
        <v>446</v>
      </c>
      <c r="D2" t="s">
        <v>266</v>
      </c>
      <c r="E2" t="s">
        <v>536</v>
      </c>
      <c r="F2" s="99">
        <v>4</v>
      </c>
      <c r="G2" s="99">
        <v>1</v>
      </c>
      <c r="H2" t="s">
        <v>19</v>
      </c>
      <c r="I2" t="s">
        <v>251</v>
      </c>
      <c r="J2">
        <f>Tabela1[[#This Row],[No de professores]]*Tabela1[[#This Row],[Carga semanal (aulas)]]</f>
        <v>4</v>
      </c>
    </row>
    <row r="3" spans="1:43" x14ac:dyDescent="0.25">
      <c r="A3" t="s">
        <v>574</v>
      </c>
      <c r="B3" t="s">
        <v>51</v>
      </c>
      <c r="C3" t="s">
        <v>446</v>
      </c>
      <c r="D3" t="s">
        <v>319</v>
      </c>
      <c r="E3" t="s">
        <v>537</v>
      </c>
      <c r="F3" s="99">
        <v>2</v>
      </c>
      <c r="G3" s="99">
        <v>1</v>
      </c>
      <c r="H3" t="s">
        <v>14</v>
      </c>
      <c r="I3" t="s">
        <v>251</v>
      </c>
      <c r="J3" s="604">
        <f>Tabela1[[#This Row],[No de professores]]*Tabela1[[#This Row],[Carga semanal (aulas)]]</f>
        <v>2</v>
      </c>
    </row>
    <row r="4" spans="1:43" x14ac:dyDescent="0.25">
      <c r="A4" t="s">
        <v>574</v>
      </c>
      <c r="B4" t="s">
        <v>51</v>
      </c>
      <c r="C4" t="s">
        <v>446</v>
      </c>
      <c r="D4" t="s">
        <v>488</v>
      </c>
      <c r="E4" t="s">
        <v>538</v>
      </c>
      <c r="F4" s="99">
        <v>2</v>
      </c>
      <c r="G4" s="99">
        <v>2</v>
      </c>
      <c r="H4" t="s">
        <v>19</v>
      </c>
      <c r="I4" t="s">
        <v>232</v>
      </c>
      <c r="J4" s="604">
        <f>Tabela1[[#This Row],[No de professores]]*Tabela1[[#This Row],[Carga semanal (aulas)]]</f>
        <v>4</v>
      </c>
    </row>
    <row r="5" spans="1:43" x14ac:dyDescent="0.25">
      <c r="A5" t="s">
        <v>574</v>
      </c>
      <c r="B5" t="s">
        <v>51</v>
      </c>
      <c r="C5" t="s">
        <v>446</v>
      </c>
      <c r="D5" t="s">
        <v>490</v>
      </c>
      <c r="E5" t="s">
        <v>539</v>
      </c>
      <c r="F5" s="99">
        <v>4</v>
      </c>
      <c r="G5" s="99">
        <v>1</v>
      </c>
      <c r="H5" t="s">
        <v>19</v>
      </c>
      <c r="I5" t="s">
        <v>251</v>
      </c>
      <c r="J5" s="604">
        <f>Tabela1[[#This Row],[No de professores]]*Tabela1[[#This Row],[Carga semanal (aulas)]]</f>
        <v>4</v>
      </c>
    </row>
    <row r="6" spans="1:43" x14ac:dyDescent="0.25">
      <c r="A6" t="s">
        <v>574</v>
      </c>
      <c r="B6" t="s">
        <v>51</v>
      </c>
      <c r="C6" t="s">
        <v>446</v>
      </c>
      <c r="D6" t="s">
        <v>492</v>
      </c>
      <c r="E6" t="s">
        <v>540</v>
      </c>
      <c r="F6" s="99">
        <v>4</v>
      </c>
      <c r="G6" s="99">
        <v>1</v>
      </c>
      <c r="H6" t="s">
        <v>19</v>
      </c>
      <c r="I6" t="s">
        <v>251</v>
      </c>
      <c r="J6" s="604">
        <f>Tabela1[[#This Row],[No de professores]]*Tabela1[[#This Row],[Carga semanal (aulas)]]</f>
        <v>4</v>
      </c>
    </row>
    <row r="7" spans="1:43" x14ac:dyDescent="0.25">
      <c r="A7" t="s">
        <v>574</v>
      </c>
      <c r="B7" t="s">
        <v>51</v>
      </c>
      <c r="C7" t="s">
        <v>446</v>
      </c>
      <c r="D7" t="s">
        <v>494</v>
      </c>
      <c r="E7" t="s">
        <v>541</v>
      </c>
      <c r="F7" s="99">
        <v>2</v>
      </c>
      <c r="G7" s="99">
        <v>1</v>
      </c>
      <c r="H7" t="s">
        <v>19</v>
      </c>
      <c r="I7" t="s">
        <v>251</v>
      </c>
      <c r="J7" s="604">
        <f>Tabela1[[#This Row],[No de professores]]*Tabela1[[#This Row],[Carga semanal (aulas)]]</f>
        <v>2</v>
      </c>
    </row>
    <row r="8" spans="1:43" x14ac:dyDescent="0.25">
      <c r="A8" t="s">
        <v>574</v>
      </c>
      <c r="B8" t="s">
        <v>51</v>
      </c>
      <c r="C8" t="s">
        <v>446</v>
      </c>
      <c r="D8" t="s">
        <v>542</v>
      </c>
      <c r="E8" t="s">
        <v>543</v>
      </c>
      <c r="F8" s="99">
        <v>2</v>
      </c>
      <c r="G8" s="99">
        <v>2</v>
      </c>
      <c r="H8" t="s">
        <v>1213</v>
      </c>
      <c r="I8" t="s">
        <v>231</v>
      </c>
      <c r="J8" s="604">
        <f>Tabela1[[#This Row],[No de professores]]*Tabela1[[#This Row],[Carga semanal (aulas)]]</f>
        <v>4</v>
      </c>
    </row>
    <row r="9" spans="1:43" x14ac:dyDescent="0.25">
      <c r="A9" t="s">
        <v>574</v>
      </c>
      <c r="B9" t="s">
        <v>67</v>
      </c>
      <c r="C9" t="s">
        <v>446</v>
      </c>
      <c r="D9" t="s">
        <v>499</v>
      </c>
      <c r="E9" t="s">
        <v>544</v>
      </c>
      <c r="F9" s="99">
        <v>2</v>
      </c>
      <c r="G9" s="99">
        <v>2</v>
      </c>
      <c r="H9" t="s">
        <v>19</v>
      </c>
      <c r="I9" t="s">
        <v>232</v>
      </c>
      <c r="J9" s="604">
        <f>Tabela1[[#This Row],[No de professores]]*Tabela1[[#This Row],[Carga semanal (aulas)]]</f>
        <v>4</v>
      </c>
    </row>
    <row r="10" spans="1:43" x14ac:dyDescent="0.25">
      <c r="A10" t="s">
        <v>574</v>
      </c>
      <c r="B10" t="s">
        <v>67</v>
      </c>
      <c r="C10" t="s">
        <v>446</v>
      </c>
      <c r="D10" t="s">
        <v>545</v>
      </c>
      <c r="E10" t="s">
        <v>546</v>
      </c>
      <c r="F10" s="99">
        <v>4</v>
      </c>
      <c r="G10" s="99">
        <v>2</v>
      </c>
      <c r="H10" t="s">
        <v>19</v>
      </c>
      <c r="I10" t="s">
        <v>232</v>
      </c>
      <c r="J10" s="604">
        <f>Tabela1[[#This Row],[No de professores]]*Tabela1[[#This Row],[Carga semanal (aulas)]]</f>
        <v>8</v>
      </c>
    </row>
    <row r="11" spans="1:43" x14ac:dyDescent="0.25">
      <c r="A11" t="s">
        <v>574</v>
      </c>
      <c r="B11" t="s">
        <v>67</v>
      </c>
      <c r="C11" t="s">
        <v>446</v>
      </c>
      <c r="D11" t="s">
        <v>277</v>
      </c>
      <c r="E11" t="s">
        <v>547</v>
      </c>
      <c r="F11" s="99">
        <v>4</v>
      </c>
      <c r="G11" s="99">
        <v>1</v>
      </c>
      <c r="H11" t="s">
        <v>19</v>
      </c>
      <c r="I11" t="s">
        <v>232</v>
      </c>
      <c r="J11" s="604">
        <f>Tabela1[[#This Row],[No de professores]]*Tabela1[[#This Row],[Carga semanal (aulas)]]</f>
        <v>4</v>
      </c>
    </row>
    <row r="12" spans="1:43" x14ac:dyDescent="0.25">
      <c r="A12" t="s">
        <v>574</v>
      </c>
      <c r="B12" t="s">
        <v>67</v>
      </c>
      <c r="C12" t="s">
        <v>446</v>
      </c>
      <c r="D12" t="s">
        <v>504</v>
      </c>
      <c r="E12" t="s">
        <v>548</v>
      </c>
      <c r="F12" s="99">
        <v>4</v>
      </c>
      <c r="G12" s="99">
        <v>2</v>
      </c>
      <c r="H12" t="s">
        <v>19</v>
      </c>
      <c r="I12" t="s">
        <v>231</v>
      </c>
      <c r="J12" s="604">
        <f>Tabela1[[#This Row],[No de professores]]*Tabela1[[#This Row],[Carga semanal (aulas)]]</f>
        <v>8</v>
      </c>
    </row>
    <row r="13" spans="1:43" x14ac:dyDescent="0.25">
      <c r="A13" t="s">
        <v>574</v>
      </c>
      <c r="B13" t="s">
        <v>67</v>
      </c>
      <c r="C13" t="s">
        <v>446</v>
      </c>
      <c r="D13" t="s">
        <v>549</v>
      </c>
      <c r="E13" t="s">
        <v>550</v>
      </c>
      <c r="F13" s="99">
        <v>2</v>
      </c>
      <c r="G13" s="99">
        <v>1</v>
      </c>
      <c r="H13" t="s">
        <v>19</v>
      </c>
      <c r="I13" t="s">
        <v>232</v>
      </c>
      <c r="J13" s="604">
        <f>Tabela1[[#This Row],[No de professores]]*Tabela1[[#This Row],[Carga semanal (aulas)]]</f>
        <v>2</v>
      </c>
    </row>
    <row r="14" spans="1:43" x14ac:dyDescent="0.25">
      <c r="A14" t="s">
        <v>574</v>
      </c>
      <c r="B14" t="s">
        <v>67</v>
      </c>
      <c r="C14" t="s">
        <v>446</v>
      </c>
      <c r="D14" t="s">
        <v>130</v>
      </c>
      <c r="E14" t="s">
        <v>551</v>
      </c>
      <c r="F14" s="99">
        <v>4</v>
      </c>
      <c r="G14" s="99">
        <v>1</v>
      </c>
      <c r="H14" t="s">
        <v>19</v>
      </c>
      <c r="I14" t="s">
        <v>251</v>
      </c>
      <c r="J14" s="604">
        <f>Tabela1[[#This Row],[No de professores]]*Tabela1[[#This Row],[Carga semanal (aulas)]]</f>
        <v>4</v>
      </c>
    </row>
    <row r="15" spans="1:43" x14ac:dyDescent="0.25">
      <c r="A15" t="s">
        <v>574</v>
      </c>
      <c r="B15" t="s">
        <v>85</v>
      </c>
      <c r="C15" t="s">
        <v>446</v>
      </c>
      <c r="D15" t="s">
        <v>552</v>
      </c>
      <c r="E15" t="s">
        <v>553</v>
      </c>
      <c r="F15" s="99">
        <v>4</v>
      </c>
      <c r="G15" s="99">
        <v>1</v>
      </c>
      <c r="H15" t="s">
        <v>19</v>
      </c>
      <c r="I15" t="s">
        <v>232</v>
      </c>
      <c r="J15" s="604">
        <f>Tabela1[[#This Row],[No de professores]]*Tabela1[[#This Row],[Carga semanal (aulas)]]</f>
        <v>4</v>
      </c>
    </row>
    <row r="16" spans="1:43" x14ac:dyDescent="0.25">
      <c r="A16" t="s">
        <v>574</v>
      </c>
      <c r="B16" t="s">
        <v>85</v>
      </c>
      <c r="C16" t="s">
        <v>446</v>
      </c>
      <c r="D16" t="s">
        <v>507</v>
      </c>
      <c r="E16" t="s">
        <v>554</v>
      </c>
      <c r="F16" s="99">
        <v>2</v>
      </c>
      <c r="G16" s="99">
        <v>1</v>
      </c>
      <c r="H16" t="s">
        <v>19</v>
      </c>
      <c r="I16" t="s">
        <v>232</v>
      </c>
      <c r="J16" s="604">
        <f>Tabela1[[#This Row],[No de professores]]*Tabela1[[#This Row],[Carga semanal (aulas)]]</f>
        <v>2</v>
      </c>
    </row>
    <row r="17" spans="1:10" x14ac:dyDescent="0.25">
      <c r="A17" t="s">
        <v>574</v>
      </c>
      <c r="B17" t="s">
        <v>85</v>
      </c>
      <c r="C17" t="s">
        <v>446</v>
      </c>
      <c r="D17" t="s">
        <v>555</v>
      </c>
      <c r="E17" t="s">
        <v>556</v>
      </c>
      <c r="F17" s="99">
        <v>4</v>
      </c>
      <c r="G17" s="99">
        <v>1</v>
      </c>
      <c r="H17" t="s">
        <v>19</v>
      </c>
      <c r="I17" t="s">
        <v>232</v>
      </c>
      <c r="J17" s="604">
        <f>Tabela1[[#This Row],[No de professores]]*Tabela1[[#This Row],[Carga semanal (aulas)]]</f>
        <v>4</v>
      </c>
    </row>
    <row r="18" spans="1:10" x14ac:dyDescent="0.25">
      <c r="A18" t="s">
        <v>574</v>
      </c>
      <c r="B18" t="s">
        <v>85</v>
      </c>
      <c r="C18" t="s">
        <v>446</v>
      </c>
      <c r="D18" t="s">
        <v>515</v>
      </c>
      <c r="E18" t="s">
        <v>557</v>
      </c>
      <c r="F18" s="99">
        <v>2</v>
      </c>
      <c r="G18" s="99">
        <v>1</v>
      </c>
      <c r="H18" t="s">
        <v>19</v>
      </c>
      <c r="I18" t="s">
        <v>251</v>
      </c>
      <c r="J18" s="604">
        <f>Tabela1[[#This Row],[No de professores]]*Tabela1[[#This Row],[Carga semanal (aulas)]]</f>
        <v>2</v>
      </c>
    </row>
    <row r="19" spans="1:10" x14ac:dyDescent="0.25">
      <c r="A19" t="s">
        <v>574</v>
      </c>
      <c r="B19" t="s">
        <v>85</v>
      </c>
      <c r="C19" t="s">
        <v>446</v>
      </c>
      <c r="D19" t="s">
        <v>517</v>
      </c>
      <c r="E19" t="s">
        <v>558</v>
      </c>
      <c r="F19" s="99">
        <v>2</v>
      </c>
      <c r="G19" s="99">
        <v>1</v>
      </c>
      <c r="H19" t="s">
        <v>19</v>
      </c>
      <c r="I19" t="s">
        <v>232</v>
      </c>
      <c r="J19" s="604">
        <f>Tabela1[[#This Row],[No de professores]]*Tabela1[[#This Row],[Carga semanal (aulas)]]</f>
        <v>2</v>
      </c>
    </row>
    <row r="20" spans="1:10" x14ac:dyDescent="0.25">
      <c r="A20" t="s">
        <v>574</v>
      </c>
      <c r="B20" t="s">
        <v>85</v>
      </c>
      <c r="C20" t="s">
        <v>446</v>
      </c>
      <c r="D20" t="s">
        <v>171</v>
      </c>
      <c r="E20" t="s">
        <v>559</v>
      </c>
      <c r="F20" s="99">
        <v>4</v>
      </c>
      <c r="G20" s="99">
        <v>1</v>
      </c>
      <c r="H20" t="s">
        <v>19</v>
      </c>
      <c r="I20" t="s">
        <v>232</v>
      </c>
      <c r="J20" s="604">
        <f>Tabela1[[#This Row],[No de professores]]*Tabela1[[#This Row],[Carga semanal (aulas)]]</f>
        <v>4</v>
      </c>
    </row>
    <row r="21" spans="1:10" x14ac:dyDescent="0.25">
      <c r="A21" t="s">
        <v>574</v>
      </c>
      <c r="B21" t="s">
        <v>85</v>
      </c>
      <c r="C21" t="s">
        <v>446</v>
      </c>
      <c r="D21" t="s">
        <v>187</v>
      </c>
      <c r="E21" t="s">
        <v>560</v>
      </c>
      <c r="F21" s="99">
        <v>2</v>
      </c>
      <c r="G21" s="99">
        <v>1</v>
      </c>
      <c r="H21" t="s">
        <v>19</v>
      </c>
      <c r="I21" t="s">
        <v>251</v>
      </c>
      <c r="J21" s="604">
        <f>Tabela1[[#This Row],[No de professores]]*Tabela1[[#This Row],[Carga semanal (aulas)]]</f>
        <v>2</v>
      </c>
    </row>
    <row r="22" spans="1:10" x14ac:dyDescent="0.25">
      <c r="A22" t="s">
        <v>574</v>
      </c>
      <c r="B22" t="s">
        <v>99</v>
      </c>
      <c r="C22" t="s">
        <v>446</v>
      </c>
      <c r="D22" t="s">
        <v>561</v>
      </c>
      <c r="E22" t="s">
        <v>562</v>
      </c>
      <c r="F22" s="99">
        <v>2</v>
      </c>
      <c r="G22" s="99">
        <v>1</v>
      </c>
      <c r="H22" t="s">
        <v>315</v>
      </c>
      <c r="I22" t="s">
        <v>251</v>
      </c>
      <c r="J22" s="604">
        <f>Tabela1[[#This Row],[No de professores]]*Tabela1[[#This Row],[Carga semanal (aulas)]]</f>
        <v>2</v>
      </c>
    </row>
    <row r="23" spans="1:10" x14ac:dyDescent="0.25">
      <c r="A23" t="s">
        <v>574</v>
      </c>
      <c r="B23" t="s">
        <v>99</v>
      </c>
      <c r="C23" t="s">
        <v>446</v>
      </c>
      <c r="D23" t="s">
        <v>563</v>
      </c>
      <c r="E23" t="s">
        <v>564</v>
      </c>
      <c r="F23" s="99">
        <v>4</v>
      </c>
      <c r="G23" s="99">
        <v>1</v>
      </c>
      <c r="H23" t="s">
        <v>19</v>
      </c>
      <c r="I23" t="s">
        <v>498</v>
      </c>
      <c r="J23" s="604">
        <f>Tabela1[[#This Row],[No de professores]]*Tabela1[[#This Row],[Carga semanal (aulas)]]</f>
        <v>4</v>
      </c>
    </row>
    <row r="24" spans="1:10" x14ac:dyDescent="0.25">
      <c r="A24" t="s">
        <v>574</v>
      </c>
      <c r="B24" t="s">
        <v>99</v>
      </c>
      <c r="C24" t="s">
        <v>446</v>
      </c>
      <c r="D24" t="s">
        <v>523</v>
      </c>
      <c r="E24" t="s">
        <v>565</v>
      </c>
      <c r="F24" s="99">
        <v>2</v>
      </c>
      <c r="G24" s="99">
        <v>1</v>
      </c>
      <c r="H24" t="s">
        <v>19</v>
      </c>
      <c r="I24" t="s">
        <v>251</v>
      </c>
      <c r="J24" s="604">
        <f>Tabela1[[#This Row],[No de professores]]*Tabela1[[#This Row],[Carga semanal (aulas)]]</f>
        <v>2</v>
      </c>
    </row>
    <row r="25" spans="1:10" x14ac:dyDescent="0.25">
      <c r="A25" t="s">
        <v>574</v>
      </c>
      <c r="B25" t="s">
        <v>99</v>
      </c>
      <c r="C25" t="s">
        <v>446</v>
      </c>
      <c r="D25" t="s">
        <v>566</v>
      </c>
      <c r="E25" t="s">
        <v>567</v>
      </c>
      <c r="F25" s="99">
        <v>4</v>
      </c>
      <c r="G25" s="99">
        <v>1</v>
      </c>
      <c r="H25" t="s">
        <v>19</v>
      </c>
      <c r="I25" t="s">
        <v>232</v>
      </c>
      <c r="J25" s="604">
        <f>Tabela1[[#This Row],[No de professores]]*Tabela1[[#This Row],[Carga semanal (aulas)]]</f>
        <v>4</v>
      </c>
    </row>
    <row r="26" spans="1:10" x14ac:dyDescent="0.25">
      <c r="A26" t="s">
        <v>574</v>
      </c>
      <c r="B26" t="s">
        <v>99</v>
      </c>
      <c r="C26" t="s">
        <v>446</v>
      </c>
      <c r="D26" t="s">
        <v>527</v>
      </c>
      <c r="E26" t="s">
        <v>568</v>
      </c>
      <c r="F26" s="99">
        <v>2</v>
      </c>
      <c r="G26" s="99">
        <v>1</v>
      </c>
      <c r="H26" t="s">
        <v>19</v>
      </c>
      <c r="I26" t="s">
        <v>232</v>
      </c>
      <c r="J26" s="604">
        <f>Tabela1[[#This Row],[No de professores]]*Tabela1[[#This Row],[Carga semanal (aulas)]]</f>
        <v>2</v>
      </c>
    </row>
    <row r="27" spans="1:10" x14ac:dyDescent="0.25">
      <c r="A27" t="s">
        <v>574</v>
      </c>
      <c r="B27" t="s">
        <v>99</v>
      </c>
      <c r="C27" t="s">
        <v>446</v>
      </c>
      <c r="D27" t="s">
        <v>569</v>
      </c>
      <c r="E27" t="s">
        <v>570</v>
      </c>
      <c r="F27" s="99">
        <v>2</v>
      </c>
      <c r="G27" s="99">
        <v>1</v>
      </c>
      <c r="H27" t="s">
        <v>19</v>
      </c>
      <c r="I27" t="s">
        <v>251</v>
      </c>
      <c r="J27" s="604">
        <f>Tabela1[[#This Row],[No de professores]]*Tabela1[[#This Row],[Carga semanal (aulas)]]</f>
        <v>2</v>
      </c>
    </row>
    <row r="28" spans="1:10" x14ac:dyDescent="0.25">
      <c r="A28" t="s">
        <v>574</v>
      </c>
      <c r="B28" t="s">
        <v>99</v>
      </c>
      <c r="C28" t="s">
        <v>446</v>
      </c>
      <c r="D28" t="s">
        <v>529</v>
      </c>
      <c r="E28" t="s">
        <v>530</v>
      </c>
      <c r="F28" s="99">
        <v>4</v>
      </c>
      <c r="G28" s="99">
        <v>1</v>
      </c>
      <c r="H28" t="s">
        <v>19</v>
      </c>
      <c r="I28" t="s">
        <v>251</v>
      </c>
      <c r="J28" s="604">
        <f>Tabela1[[#This Row],[No de professores]]*Tabela1[[#This Row],[Carga semanal (aulas)]]</f>
        <v>4</v>
      </c>
    </row>
  </sheetData>
  <phoneticPr fontId="41" type="noConversion"/>
  <dataValidations count="1">
    <dataValidation type="list" allowBlank="1" showInputMessage="1" showErrorMessage="1" sqref="H2:H1048576" xr:uid="{00000000-0002-0000-2B00-000000000000}">
      <formula1>Áreas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reencheResumoDasDisciplinas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0</xdr:col>
                    <xdr:colOff>1600200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ilha7">
    <pageSetUpPr fitToPage="1"/>
  </sheetPr>
  <dimension ref="A1:AR207"/>
  <sheetViews>
    <sheetView zoomScaleNormal="100" workbookViewId="0">
      <pane xSplit="2" ySplit="2" topLeftCell="C3" activePane="bottomRight" state="frozen"/>
      <selection activeCell="E33" sqref="E33"/>
      <selection pane="topRight" activeCell="E33" sqref="E33"/>
      <selection pane="bottomLeft" activeCell="E33" sqref="E33"/>
      <selection pane="bottomRight" activeCell="M3" sqref="M3"/>
    </sheetView>
  </sheetViews>
  <sheetFormatPr defaultColWidth="9.140625" defaultRowHeight="15" x14ac:dyDescent="0.25"/>
  <cols>
    <col min="1" max="1" width="25.7109375" style="609" customWidth="1"/>
    <col min="2" max="2" width="12.7109375" style="609" customWidth="1"/>
    <col min="3" max="44" width="4.85546875" style="609" customWidth="1"/>
    <col min="45" max="16384" width="9.140625" style="609"/>
  </cols>
  <sheetData>
    <row r="1" spans="1:44" s="607" customFormat="1" ht="18.75" x14ac:dyDescent="0.3">
      <c r="A1" s="605"/>
      <c r="B1" s="605"/>
      <c r="C1" s="605">
        <v>2011</v>
      </c>
      <c r="D1" s="605"/>
      <c r="E1" s="605">
        <f>C1+1</f>
        <v>2012</v>
      </c>
      <c r="F1" s="605"/>
      <c r="G1" s="605">
        <f>E1+1</f>
        <v>2013</v>
      </c>
      <c r="H1" s="605"/>
      <c r="I1" s="605">
        <f>G1+1</f>
        <v>2014</v>
      </c>
      <c r="J1" s="605"/>
      <c r="K1" s="605">
        <f>I1+1</f>
        <v>2015</v>
      </c>
      <c r="L1" s="605"/>
      <c r="M1" s="605">
        <f>K1+1</f>
        <v>2016</v>
      </c>
      <c r="N1" s="605"/>
      <c r="O1" s="605">
        <f>M1+1</f>
        <v>2017</v>
      </c>
      <c r="P1" s="605"/>
      <c r="Q1" s="605">
        <f>O1+1</f>
        <v>2018</v>
      </c>
      <c r="R1" s="605"/>
      <c r="S1" s="605">
        <f>Q1+1</f>
        <v>2019</v>
      </c>
      <c r="T1" s="605"/>
      <c r="U1" s="605">
        <f>S1+1</f>
        <v>2020</v>
      </c>
      <c r="V1" s="605"/>
      <c r="W1" s="605">
        <f>U1+1</f>
        <v>2021</v>
      </c>
      <c r="X1" s="605"/>
      <c r="Y1" s="605">
        <f>W1+1</f>
        <v>2022</v>
      </c>
      <c r="Z1" s="605"/>
      <c r="AA1" s="605">
        <f>Y1+1</f>
        <v>2023</v>
      </c>
      <c r="AB1" s="605"/>
      <c r="AC1" s="605">
        <f>AA1+1</f>
        <v>2024</v>
      </c>
      <c r="AD1" s="605"/>
      <c r="AE1" s="605">
        <f>AC1+1</f>
        <v>2025</v>
      </c>
      <c r="AF1" s="605"/>
      <c r="AG1" s="605">
        <f>AE1+1</f>
        <v>2026</v>
      </c>
      <c r="AH1" s="605"/>
      <c r="AI1" s="605">
        <f>AG1+1</f>
        <v>2027</v>
      </c>
      <c r="AJ1" s="605"/>
      <c r="AK1" s="605">
        <f>AI1+1</f>
        <v>2028</v>
      </c>
      <c r="AL1" s="605"/>
      <c r="AM1" s="605">
        <f>AK1+1</f>
        <v>2029</v>
      </c>
      <c r="AN1" s="605"/>
      <c r="AO1" s="605">
        <f>AM1+1</f>
        <v>2030</v>
      </c>
      <c r="AP1" s="606"/>
    </row>
    <row r="2" spans="1:44" s="608" customFormat="1" ht="19.5" thickBot="1" x14ac:dyDescent="0.35">
      <c r="A2" s="609" t="s">
        <v>474</v>
      </c>
      <c r="B2" s="609" t="s">
        <v>479</v>
      </c>
      <c r="C2" s="609">
        <v>1</v>
      </c>
      <c r="D2" s="609">
        <v>2</v>
      </c>
      <c r="E2" s="609">
        <f>C2</f>
        <v>1</v>
      </c>
      <c r="F2" s="609">
        <f t="shared" ref="F2:AP2" si="0">D2</f>
        <v>2</v>
      </c>
      <c r="G2" s="609">
        <f t="shared" si="0"/>
        <v>1</v>
      </c>
      <c r="H2" s="609">
        <f t="shared" si="0"/>
        <v>2</v>
      </c>
      <c r="I2" s="609">
        <f t="shared" si="0"/>
        <v>1</v>
      </c>
      <c r="J2" s="609">
        <f t="shared" si="0"/>
        <v>2</v>
      </c>
      <c r="K2" s="609">
        <f t="shared" si="0"/>
        <v>1</v>
      </c>
      <c r="L2" s="609">
        <f t="shared" si="0"/>
        <v>2</v>
      </c>
      <c r="M2" s="609">
        <f t="shared" si="0"/>
        <v>1</v>
      </c>
      <c r="N2" s="609">
        <f t="shared" si="0"/>
        <v>2</v>
      </c>
      <c r="O2" s="609">
        <f t="shared" si="0"/>
        <v>1</v>
      </c>
      <c r="P2" s="609">
        <f t="shared" si="0"/>
        <v>2</v>
      </c>
      <c r="Q2" s="609">
        <f t="shared" si="0"/>
        <v>1</v>
      </c>
      <c r="R2" s="609">
        <f t="shared" si="0"/>
        <v>2</v>
      </c>
      <c r="S2" s="609">
        <f t="shared" si="0"/>
        <v>1</v>
      </c>
      <c r="T2" s="609">
        <f t="shared" si="0"/>
        <v>2</v>
      </c>
      <c r="U2" s="609">
        <f t="shared" si="0"/>
        <v>1</v>
      </c>
      <c r="V2" s="609">
        <f t="shared" si="0"/>
        <v>2</v>
      </c>
      <c r="W2" s="609">
        <f t="shared" si="0"/>
        <v>1</v>
      </c>
      <c r="X2" s="609">
        <f t="shared" si="0"/>
        <v>2</v>
      </c>
      <c r="Y2" s="609">
        <f t="shared" si="0"/>
        <v>1</v>
      </c>
      <c r="Z2" s="609">
        <f t="shared" si="0"/>
        <v>2</v>
      </c>
      <c r="AA2" s="609">
        <f t="shared" si="0"/>
        <v>1</v>
      </c>
      <c r="AB2" s="609">
        <f t="shared" si="0"/>
        <v>2</v>
      </c>
      <c r="AC2" s="609">
        <f t="shared" si="0"/>
        <v>1</v>
      </c>
      <c r="AD2" s="609">
        <f t="shared" si="0"/>
        <v>2</v>
      </c>
      <c r="AE2" s="609">
        <f t="shared" si="0"/>
        <v>1</v>
      </c>
      <c r="AF2" s="609">
        <f t="shared" si="0"/>
        <v>2</v>
      </c>
      <c r="AG2" s="609">
        <f t="shared" si="0"/>
        <v>1</v>
      </c>
      <c r="AH2" s="609">
        <f t="shared" si="0"/>
        <v>2</v>
      </c>
      <c r="AI2" s="609">
        <f t="shared" si="0"/>
        <v>1</v>
      </c>
      <c r="AJ2" s="609">
        <f t="shared" si="0"/>
        <v>2</v>
      </c>
      <c r="AK2" s="609">
        <f t="shared" si="0"/>
        <v>1</v>
      </c>
      <c r="AL2" s="609">
        <f t="shared" si="0"/>
        <v>2</v>
      </c>
      <c r="AM2" s="609">
        <f t="shared" si="0"/>
        <v>1</v>
      </c>
      <c r="AN2" s="609">
        <f t="shared" si="0"/>
        <v>2</v>
      </c>
      <c r="AO2" s="609">
        <f t="shared" si="0"/>
        <v>1</v>
      </c>
      <c r="AP2" s="609">
        <f t="shared" si="0"/>
        <v>2</v>
      </c>
    </row>
    <row r="3" spans="1:44" ht="15" customHeight="1" thickTop="1" x14ac:dyDescent="0.25">
      <c r="A3" s="619" t="s">
        <v>574</v>
      </c>
      <c r="B3" s="613" t="s">
        <v>51</v>
      </c>
      <c r="C3" s="613"/>
      <c r="D3" s="613"/>
      <c r="E3" s="613"/>
      <c r="F3" s="613"/>
      <c r="G3" s="613"/>
      <c r="H3" s="613"/>
      <c r="I3" s="613"/>
      <c r="J3" s="613"/>
      <c r="K3" s="613"/>
      <c r="L3" s="613"/>
      <c r="M3" s="613" t="s">
        <v>447</v>
      </c>
      <c r="N3" s="613"/>
      <c r="O3" s="613" t="s">
        <v>447</v>
      </c>
      <c r="P3" s="613"/>
      <c r="Q3" s="613" t="s">
        <v>447</v>
      </c>
      <c r="R3" s="613"/>
      <c r="S3" s="613" t="s">
        <v>447</v>
      </c>
      <c r="T3" s="613"/>
      <c r="U3" s="613" t="s">
        <v>447</v>
      </c>
      <c r="V3" s="613"/>
      <c r="W3" s="613" t="s">
        <v>447</v>
      </c>
      <c r="X3" s="613"/>
      <c r="Y3" s="613" t="s">
        <v>447</v>
      </c>
      <c r="Z3" s="613"/>
      <c r="AA3" s="613" t="s">
        <v>447</v>
      </c>
      <c r="AB3" s="613"/>
      <c r="AC3" s="613"/>
      <c r="AD3" s="613"/>
      <c r="AE3" s="613"/>
      <c r="AF3" s="613"/>
      <c r="AG3" s="613"/>
      <c r="AH3" s="613"/>
      <c r="AI3" s="613"/>
      <c r="AJ3" s="613"/>
      <c r="AK3" s="613"/>
      <c r="AL3" s="613"/>
      <c r="AM3" s="613"/>
      <c r="AN3" s="613"/>
      <c r="AO3" s="613"/>
      <c r="AP3" s="613"/>
      <c r="AQ3" s="613"/>
      <c r="AR3" s="614"/>
    </row>
    <row r="4" spans="1:44" x14ac:dyDescent="0.25">
      <c r="A4" s="620"/>
      <c r="B4" s="615" t="s">
        <v>67</v>
      </c>
      <c r="C4" s="615"/>
      <c r="D4" s="615"/>
      <c r="E4" s="615"/>
      <c r="F4" s="615"/>
      <c r="G4" s="615"/>
      <c r="H4" s="615"/>
      <c r="I4" s="615"/>
      <c r="J4" s="615"/>
      <c r="K4" s="615"/>
      <c r="L4" s="615"/>
      <c r="M4" s="615"/>
      <c r="N4" s="615" t="s">
        <v>447</v>
      </c>
      <c r="O4" s="615"/>
      <c r="P4" s="615" t="s">
        <v>447</v>
      </c>
      <c r="Q4" s="615"/>
      <c r="R4" s="615" t="s">
        <v>447</v>
      </c>
      <c r="S4" s="615"/>
      <c r="T4" s="615" t="s">
        <v>447</v>
      </c>
      <c r="U4" s="615"/>
      <c r="V4" s="615" t="s">
        <v>447</v>
      </c>
      <c r="W4" s="615"/>
      <c r="X4" s="615" t="s">
        <v>447</v>
      </c>
      <c r="Y4" s="615"/>
      <c r="Z4" s="615" t="s">
        <v>447</v>
      </c>
      <c r="AA4" s="615"/>
      <c r="AB4" s="615" t="s">
        <v>447</v>
      </c>
      <c r="AC4" s="615"/>
      <c r="AD4" s="615"/>
      <c r="AE4" s="615"/>
      <c r="AF4" s="615"/>
      <c r="AG4" s="615"/>
      <c r="AH4" s="615"/>
      <c r="AI4" s="615"/>
      <c r="AJ4" s="615"/>
      <c r="AK4" s="615"/>
      <c r="AL4" s="615"/>
      <c r="AM4" s="615"/>
      <c r="AN4" s="615"/>
      <c r="AO4" s="615"/>
      <c r="AP4" s="615"/>
      <c r="AQ4" s="615"/>
      <c r="AR4" s="616"/>
    </row>
    <row r="5" spans="1:44" ht="14.45" customHeight="1" x14ac:dyDescent="0.25">
      <c r="A5" s="620"/>
      <c r="B5" s="615" t="s">
        <v>85</v>
      </c>
      <c r="C5" s="615"/>
      <c r="D5" s="615"/>
      <c r="E5" s="615"/>
      <c r="F5" s="615"/>
      <c r="G5" s="615"/>
      <c r="H5" s="615"/>
      <c r="I5" s="615"/>
      <c r="J5" s="615"/>
      <c r="K5" s="615"/>
      <c r="L5" s="615"/>
      <c r="M5" s="615"/>
      <c r="N5" s="615"/>
      <c r="O5" s="615" t="s">
        <v>447</v>
      </c>
      <c r="P5" s="615"/>
      <c r="Q5" s="615" t="s">
        <v>447</v>
      </c>
      <c r="R5" s="615"/>
      <c r="S5" s="615" t="s">
        <v>447</v>
      </c>
      <c r="T5" s="615"/>
      <c r="U5" s="615" t="s">
        <v>447</v>
      </c>
      <c r="V5" s="615"/>
      <c r="W5" s="615" t="s">
        <v>447</v>
      </c>
      <c r="X5" s="615"/>
      <c r="Y5" s="615" t="s">
        <v>447</v>
      </c>
      <c r="Z5" s="615"/>
      <c r="AA5" s="615" t="s">
        <v>447</v>
      </c>
      <c r="AB5" s="615"/>
      <c r="AC5" s="615" t="s">
        <v>447</v>
      </c>
      <c r="AD5" s="615"/>
      <c r="AE5" s="615"/>
      <c r="AF5" s="615"/>
      <c r="AG5" s="615"/>
      <c r="AH5" s="615"/>
      <c r="AI5" s="615"/>
      <c r="AJ5" s="615"/>
      <c r="AK5" s="615"/>
      <c r="AL5" s="615"/>
      <c r="AM5" s="615"/>
      <c r="AN5" s="615"/>
      <c r="AO5" s="615"/>
      <c r="AP5" s="615"/>
      <c r="AQ5" s="615"/>
      <c r="AR5" s="616"/>
    </row>
    <row r="6" spans="1:44" ht="15" customHeight="1" thickBot="1" x14ac:dyDescent="0.3">
      <c r="A6" s="621"/>
      <c r="B6" s="617" t="s">
        <v>99</v>
      </c>
      <c r="C6" s="617"/>
      <c r="D6" s="617"/>
      <c r="E6" s="617"/>
      <c r="F6" s="617"/>
      <c r="G6" s="617"/>
      <c r="H6" s="617"/>
      <c r="I6" s="617"/>
      <c r="J6" s="617"/>
      <c r="K6" s="617"/>
      <c r="L6" s="617"/>
      <c r="M6" s="617"/>
      <c r="N6" s="617"/>
      <c r="O6" s="617"/>
      <c r="P6" s="617" t="s">
        <v>447</v>
      </c>
      <c r="Q6" s="617"/>
      <c r="R6" s="617" t="s">
        <v>447</v>
      </c>
      <c r="S6" s="617"/>
      <c r="T6" s="617" t="s">
        <v>447</v>
      </c>
      <c r="U6" s="617"/>
      <c r="V6" s="617" t="s">
        <v>447</v>
      </c>
      <c r="W6" s="617"/>
      <c r="X6" s="617" t="s">
        <v>447</v>
      </c>
      <c r="Y6" s="617"/>
      <c r="Z6" s="617" t="s">
        <v>447</v>
      </c>
      <c r="AA6" s="617"/>
      <c r="AB6" s="617" t="s">
        <v>447</v>
      </c>
      <c r="AC6" s="617"/>
      <c r="AD6" s="617" t="s">
        <v>447</v>
      </c>
      <c r="AE6" s="617"/>
      <c r="AF6" s="617"/>
      <c r="AG6" s="617"/>
      <c r="AH6" s="617"/>
      <c r="AI6" s="617"/>
      <c r="AJ6" s="617"/>
      <c r="AK6" s="617"/>
      <c r="AL6" s="617"/>
      <c r="AM6" s="617"/>
      <c r="AN6" s="617"/>
      <c r="AO6" s="617"/>
      <c r="AP6" s="617"/>
      <c r="AQ6" s="617"/>
      <c r="AR6" s="618"/>
    </row>
    <row r="7" spans="1:44" ht="15" customHeight="1" thickTop="1" x14ac:dyDescent="0.25">
      <c r="A7" s="610"/>
    </row>
    <row r="8" spans="1:44" x14ac:dyDescent="0.25">
      <c r="A8" s="610"/>
    </row>
    <row r="9" spans="1:44" ht="15" customHeight="1" x14ac:dyDescent="0.25">
      <c r="A9" s="610"/>
    </row>
    <row r="10" spans="1:44" ht="15" customHeight="1" x14ac:dyDescent="0.25">
      <c r="A10" s="610"/>
    </row>
    <row r="11" spans="1:44" ht="15" customHeight="1" x14ac:dyDescent="0.25">
      <c r="A11" s="610"/>
    </row>
    <row r="12" spans="1:44" ht="15" customHeight="1" x14ac:dyDescent="0.25">
      <c r="A12" s="610"/>
    </row>
    <row r="13" spans="1:44" ht="15" customHeight="1" x14ac:dyDescent="0.25">
      <c r="A13" s="610"/>
    </row>
    <row r="14" spans="1:44" ht="15" customHeight="1" x14ac:dyDescent="0.25">
      <c r="A14" s="610"/>
    </row>
    <row r="15" spans="1:44" ht="15" customHeight="1" x14ac:dyDescent="0.25">
      <c r="A15" s="610"/>
    </row>
    <row r="16" spans="1:44" ht="15" customHeight="1" x14ac:dyDescent="0.25">
      <c r="A16" s="610"/>
    </row>
    <row r="17" spans="1:1" ht="15" customHeight="1" x14ac:dyDescent="0.25">
      <c r="A17" s="610"/>
    </row>
    <row r="18" spans="1:1" ht="15" customHeight="1" x14ac:dyDescent="0.25">
      <c r="A18" s="610"/>
    </row>
    <row r="19" spans="1:1" ht="15" customHeight="1" x14ac:dyDescent="0.25">
      <c r="A19" s="610"/>
    </row>
    <row r="20" spans="1:1" ht="15" customHeight="1" x14ac:dyDescent="0.25">
      <c r="A20" s="610"/>
    </row>
    <row r="21" spans="1:1" ht="15" customHeight="1" x14ac:dyDescent="0.25">
      <c r="A21" s="610"/>
    </row>
    <row r="22" spans="1:1" ht="15" customHeight="1" x14ac:dyDescent="0.25">
      <c r="A22" s="610"/>
    </row>
    <row r="23" spans="1:1" ht="15" customHeight="1" x14ac:dyDescent="0.25">
      <c r="A23" s="610"/>
    </row>
    <row r="24" spans="1:1" ht="15" customHeight="1" x14ac:dyDescent="0.25">
      <c r="A24" s="610"/>
    </row>
    <row r="25" spans="1:1" ht="15" customHeight="1" x14ac:dyDescent="0.25">
      <c r="A25" s="610"/>
    </row>
    <row r="26" spans="1:1" ht="15" customHeight="1" x14ac:dyDescent="0.25">
      <c r="A26" s="610"/>
    </row>
    <row r="27" spans="1:1" ht="15" customHeight="1" x14ac:dyDescent="0.25">
      <c r="A27" s="610"/>
    </row>
    <row r="28" spans="1:1" ht="15" customHeight="1" x14ac:dyDescent="0.25">
      <c r="A28" s="610"/>
    </row>
    <row r="29" spans="1:1" ht="15" customHeight="1" x14ac:dyDescent="0.25">
      <c r="A29" s="610"/>
    </row>
    <row r="30" spans="1:1" ht="15" customHeight="1" x14ac:dyDescent="0.25">
      <c r="A30" s="610"/>
    </row>
    <row r="31" spans="1:1" ht="15" customHeight="1" x14ac:dyDescent="0.25">
      <c r="A31" s="610"/>
    </row>
    <row r="32" spans="1:1" ht="15" customHeight="1" x14ac:dyDescent="0.25">
      <c r="A32" s="610"/>
    </row>
    <row r="33" spans="1:1" ht="15" customHeight="1" x14ac:dyDescent="0.25">
      <c r="A33" s="610"/>
    </row>
    <row r="34" spans="1:1" x14ac:dyDescent="0.25">
      <c r="A34" s="610"/>
    </row>
    <row r="35" spans="1:1" ht="15" customHeight="1" x14ac:dyDescent="0.25">
      <c r="A35" s="610"/>
    </row>
    <row r="36" spans="1:1" ht="15" customHeight="1" x14ac:dyDescent="0.25">
      <c r="A36" s="610"/>
    </row>
    <row r="37" spans="1:1" ht="15" customHeight="1" x14ac:dyDescent="0.25">
      <c r="A37" s="610"/>
    </row>
    <row r="38" spans="1:1" ht="15" customHeight="1" x14ac:dyDescent="0.25">
      <c r="A38" s="610"/>
    </row>
    <row r="39" spans="1:1" ht="15" customHeight="1" x14ac:dyDescent="0.25">
      <c r="A39" s="610"/>
    </row>
    <row r="40" spans="1:1" ht="15" customHeight="1" x14ac:dyDescent="0.25">
      <c r="A40" s="610"/>
    </row>
    <row r="41" spans="1:1" ht="15" customHeight="1" x14ac:dyDescent="0.25">
      <c r="A41" s="610"/>
    </row>
    <row r="42" spans="1:1" ht="15" customHeight="1" x14ac:dyDescent="0.25">
      <c r="A42" s="610"/>
    </row>
    <row r="43" spans="1:1" ht="15" customHeight="1" x14ac:dyDescent="0.25">
      <c r="A43" s="610"/>
    </row>
    <row r="44" spans="1:1" ht="15" customHeight="1" x14ac:dyDescent="0.25">
      <c r="A44" s="610"/>
    </row>
    <row r="45" spans="1:1" ht="15" customHeight="1" x14ac:dyDescent="0.25">
      <c r="A45" s="610"/>
    </row>
    <row r="46" spans="1:1" ht="15" customHeight="1" x14ac:dyDescent="0.25">
      <c r="A46" s="610"/>
    </row>
    <row r="47" spans="1:1" ht="15" customHeight="1" x14ac:dyDescent="0.25">
      <c r="A47" s="610"/>
    </row>
    <row r="48" spans="1:1" ht="15" customHeight="1" x14ac:dyDescent="0.25">
      <c r="A48" s="610"/>
    </row>
    <row r="49" spans="1:1" ht="15" customHeight="1" x14ac:dyDescent="0.25">
      <c r="A49" s="610"/>
    </row>
    <row r="50" spans="1:1" ht="15" customHeight="1" x14ac:dyDescent="0.25">
      <c r="A50" s="610"/>
    </row>
    <row r="51" spans="1:1" ht="15" customHeight="1" x14ac:dyDescent="0.25">
      <c r="A51" s="610"/>
    </row>
    <row r="52" spans="1:1" ht="15" customHeight="1" x14ac:dyDescent="0.25">
      <c r="A52" s="610"/>
    </row>
    <row r="53" spans="1:1" ht="15" customHeight="1" x14ac:dyDescent="0.25">
      <c r="A53" s="610"/>
    </row>
    <row r="54" spans="1:1" ht="15" customHeight="1" x14ac:dyDescent="0.25">
      <c r="A54" s="610"/>
    </row>
    <row r="55" spans="1:1" ht="15" customHeight="1" x14ac:dyDescent="0.25">
      <c r="A55" s="610"/>
    </row>
    <row r="56" spans="1:1" ht="15" customHeight="1" x14ac:dyDescent="0.25">
      <c r="A56" s="610"/>
    </row>
    <row r="57" spans="1:1" ht="15" customHeight="1" x14ac:dyDescent="0.25">
      <c r="A57" s="610"/>
    </row>
    <row r="58" spans="1:1" ht="15" customHeight="1" x14ac:dyDescent="0.25">
      <c r="A58" s="610"/>
    </row>
    <row r="59" spans="1:1" ht="15" customHeight="1" x14ac:dyDescent="0.25">
      <c r="A59" s="610"/>
    </row>
    <row r="60" spans="1:1" ht="15" customHeight="1" x14ac:dyDescent="0.25">
      <c r="A60" s="610"/>
    </row>
    <row r="61" spans="1:1" ht="15" customHeight="1" x14ac:dyDescent="0.25">
      <c r="A61" s="610"/>
    </row>
    <row r="62" spans="1:1" ht="15" customHeight="1" x14ac:dyDescent="0.25">
      <c r="A62" s="610"/>
    </row>
    <row r="63" spans="1:1" ht="15" customHeight="1" x14ac:dyDescent="0.25">
      <c r="A63" s="610"/>
    </row>
    <row r="64" spans="1:1" ht="15" customHeight="1" x14ac:dyDescent="0.25">
      <c r="A64" s="610"/>
    </row>
    <row r="65" spans="1:1" ht="15" customHeight="1" x14ac:dyDescent="0.25">
      <c r="A65" s="610"/>
    </row>
    <row r="66" spans="1:1" ht="15" customHeight="1" x14ac:dyDescent="0.25">
      <c r="A66" s="610"/>
    </row>
    <row r="67" spans="1:1" ht="15" customHeight="1" x14ac:dyDescent="0.25">
      <c r="A67" s="610"/>
    </row>
    <row r="68" spans="1:1" ht="15" customHeight="1" x14ac:dyDescent="0.25">
      <c r="A68" s="610"/>
    </row>
    <row r="69" spans="1:1" ht="15" customHeight="1" x14ac:dyDescent="0.25">
      <c r="A69" s="610"/>
    </row>
    <row r="70" spans="1:1" ht="15" customHeight="1" x14ac:dyDescent="0.25">
      <c r="A70" s="610"/>
    </row>
    <row r="71" spans="1:1" ht="15" customHeight="1" x14ac:dyDescent="0.25">
      <c r="A71" s="610"/>
    </row>
    <row r="72" spans="1:1" ht="15" customHeight="1" x14ac:dyDescent="0.25">
      <c r="A72" s="610"/>
    </row>
    <row r="73" spans="1:1" ht="15" customHeight="1" x14ac:dyDescent="0.25">
      <c r="A73" s="610"/>
    </row>
    <row r="74" spans="1:1" ht="15" customHeight="1" x14ac:dyDescent="0.25">
      <c r="A74" s="610"/>
    </row>
    <row r="75" spans="1:1" ht="15" customHeight="1" x14ac:dyDescent="0.25">
      <c r="A75" s="610"/>
    </row>
    <row r="76" spans="1:1" ht="15" customHeight="1" x14ac:dyDescent="0.25">
      <c r="A76" s="610"/>
    </row>
    <row r="77" spans="1:1" ht="15" customHeight="1" x14ac:dyDescent="0.25">
      <c r="A77" s="610"/>
    </row>
    <row r="78" spans="1:1" x14ac:dyDescent="0.25">
      <c r="A78" s="610"/>
    </row>
    <row r="79" spans="1:1" ht="15" customHeight="1" x14ac:dyDescent="0.25">
      <c r="A79" s="610"/>
    </row>
    <row r="80" spans="1:1" ht="15" customHeight="1" x14ac:dyDescent="0.25">
      <c r="A80" s="610"/>
    </row>
    <row r="81" spans="1:1" ht="15" customHeight="1" x14ac:dyDescent="0.25">
      <c r="A81" s="610"/>
    </row>
    <row r="82" spans="1:1" x14ac:dyDescent="0.25">
      <c r="A82" s="610"/>
    </row>
    <row r="83" spans="1:1" ht="15" customHeight="1" x14ac:dyDescent="0.25">
      <c r="A83" s="610"/>
    </row>
    <row r="84" spans="1:1" ht="15" customHeight="1" x14ac:dyDescent="0.25">
      <c r="A84" s="610"/>
    </row>
    <row r="85" spans="1:1" ht="15" customHeight="1" x14ac:dyDescent="0.25">
      <c r="A85" s="610"/>
    </row>
    <row r="86" spans="1:1" ht="15" customHeight="1" x14ac:dyDescent="0.25">
      <c r="A86" s="610"/>
    </row>
    <row r="87" spans="1:1" ht="15" customHeight="1" x14ac:dyDescent="0.25">
      <c r="A87" s="610"/>
    </row>
    <row r="88" spans="1:1" ht="15" customHeight="1" x14ac:dyDescent="0.25">
      <c r="A88" s="610"/>
    </row>
    <row r="89" spans="1:1" ht="15" customHeight="1" x14ac:dyDescent="0.25">
      <c r="A89" s="610"/>
    </row>
    <row r="90" spans="1:1" ht="15" customHeight="1" x14ac:dyDescent="0.25">
      <c r="A90" s="610"/>
    </row>
    <row r="91" spans="1:1" ht="15" customHeight="1" x14ac:dyDescent="0.25">
      <c r="A91" s="610"/>
    </row>
    <row r="92" spans="1:1" ht="15" customHeight="1" x14ac:dyDescent="0.25">
      <c r="A92" s="610"/>
    </row>
    <row r="93" spans="1:1" ht="15" customHeight="1" x14ac:dyDescent="0.25">
      <c r="A93" s="610"/>
    </row>
    <row r="94" spans="1:1" ht="15" customHeight="1" x14ac:dyDescent="0.25">
      <c r="A94" s="610"/>
    </row>
    <row r="95" spans="1:1" ht="15" customHeight="1" x14ac:dyDescent="0.25">
      <c r="A95" s="610"/>
    </row>
    <row r="96" spans="1:1" ht="15" customHeight="1" x14ac:dyDescent="0.25">
      <c r="A96" s="610"/>
    </row>
    <row r="97" spans="1:1" ht="15" customHeight="1" x14ac:dyDescent="0.25">
      <c r="A97" s="610"/>
    </row>
    <row r="98" spans="1:1" ht="15" customHeight="1" x14ac:dyDescent="0.25">
      <c r="A98" s="610"/>
    </row>
    <row r="99" spans="1:1" ht="15" customHeight="1" x14ac:dyDescent="0.25">
      <c r="A99" s="610"/>
    </row>
    <row r="100" spans="1:1" ht="15" customHeight="1" x14ac:dyDescent="0.25">
      <c r="A100" s="610"/>
    </row>
    <row r="101" spans="1:1" ht="15" customHeight="1" x14ac:dyDescent="0.25">
      <c r="A101" s="610"/>
    </row>
    <row r="102" spans="1:1" ht="15" customHeight="1" x14ac:dyDescent="0.25">
      <c r="A102" s="610"/>
    </row>
    <row r="103" spans="1:1" ht="15" customHeight="1" x14ac:dyDescent="0.25">
      <c r="A103" s="610"/>
    </row>
    <row r="104" spans="1:1" ht="15" customHeight="1" x14ac:dyDescent="0.25">
      <c r="A104" s="610"/>
    </row>
    <row r="105" spans="1:1" ht="15" customHeight="1" x14ac:dyDescent="0.25">
      <c r="A105" s="610"/>
    </row>
    <row r="106" spans="1:1" x14ac:dyDescent="0.25">
      <c r="A106" s="610"/>
    </row>
    <row r="107" spans="1:1" ht="15" customHeight="1" x14ac:dyDescent="0.25">
      <c r="A107" s="610"/>
    </row>
    <row r="108" spans="1:1" ht="15" customHeight="1" x14ac:dyDescent="0.25">
      <c r="A108" s="610"/>
    </row>
    <row r="109" spans="1:1" ht="15" customHeight="1" x14ac:dyDescent="0.25">
      <c r="A109" s="610"/>
    </row>
    <row r="110" spans="1:1" x14ac:dyDescent="0.25">
      <c r="A110" s="610"/>
    </row>
    <row r="111" spans="1:1" ht="15" customHeight="1" x14ac:dyDescent="0.25">
      <c r="A111" s="610"/>
    </row>
    <row r="112" spans="1:1" x14ac:dyDescent="0.25">
      <c r="A112" s="610"/>
    </row>
    <row r="113" spans="1:1" ht="15" customHeight="1" x14ac:dyDescent="0.25">
      <c r="A113" s="610"/>
    </row>
    <row r="114" spans="1:1" x14ac:dyDescent="0.25">
      <c r="A114" s="610"/>
    </row>
    <row r="115" spans="1:1" ht="15" customHeight="1" x14ac:dyDescent="0.25">
      <c r="A115" s="610"/>
    </row>
    <row r="116" spans="1:1" x14ac:dyDescent="0.25">
      <c r="A116" s="610"/>
    </row>
    <row r="117" spans="1:1" ht="15" customHeight="1" x14ac:dyDescent="0.25">
      <c r="A117" s="610"/>
    </row>
    <row r="118" spans="1:1" x14ac:dyDescent="0.25">
      <c r="A118" s="610"/>
    </row>
    <row r="119" spans="1:1" ht="15" customHeight="1" x14ac:dyDescent="0.25">
      <c r="A119" s="610"/>
    </row>
    <row r="120" spans="1:1" x14ac:dyDescent="0.25">
      <c r="A120" s="610"/>
    </row>
    <row r="121" spans="1:1" ht="14.45" customHeight="1" x14ac:dyDescent="0.25">
      <c r="A121" s="610"/>
    </row>
    <row r="122" spans="1:1" x14ac:dyDescent="0.25">
      <c r="A122" s="610"/>
    </row>
    <row r="123" spans="1:1" ht="15" customHeight="1" x14ac:dyDescent="0.25">
      <c r="A123" s="610"/>
    </row>
    <row r="124" spans="1:1" x14ac:dyDescent="0.25">
      <c r="A124" s="610"/>
    </row>
    <row r="125" spans="1:1" ht="15" customHeight="1" x14ac:dyDescent="0.25">
      <c r="A125" s="610"/>
    </row>
    <row r="126" spans="1:1" x14ac:dyDescent="0.25">
      <c r="A126" s="610"/>
    </row>
    <row r="127" spans="1:1" x14ac:dyDescent="0.25">
      <c r="A127" s="610"/>
    </row>
    <row r="128" spans="1:1" x14ac:dyDescent="0.25">
      <c r="A128" s="610"/>
    </row>
    <row r="129" spans="1:1" ht="15" customHeight="1" x14ac:dyDescent="0.25">
      <c r="A129" s="610"/>
    </row>
    <row r="130" spans="1:1" x14ac:dyDescent="0.25">
      <c r="A130" s="610"/>
    </row>
    <row r="131" spans="1:1" x14ac:dyDescent="0.25">
      <c r="A131" s="610"/>
    </row>
    <row r="132" spans="1:1" x14ac:dyDescent="0.25">
      <c r="A132" s="610"/>
    </row>
    <row r="133" spans="1:1" ht="15" customHeight="1" x14ac:dyDescent="0.25">
      <c r="A133" s="610"/>
    </row>
    <row r="134" spans="1:1" x14ac:dyDescent="0.25">
      <c r="A134" s="610"/>
    </row>
    <row r="135" spans="1:1" x14ac:dyDescent="0.25">
      <c r="A135" s="610"/>
    </row>
    <row r="136" spans="1:1" x14ac:dyDescent="0.25">
      <c r="A136" s="610"/>
    </row>
    <row r="137" spans="1:1" ht="15" customHeight="1" x14ac:dyDescent="0.25">
      <c r="A137" s="610"/>
    </row>
    <row r="138" spans="1:1" x14ac:dyDescent="0.25">
      <c r="A138" s="610"/>
    </row>
    <row r="139" spans="1:1" x14ac:dyDescent="0.25">
      <c r="A139" s="610"/>
    </row>
    <row r="140" spans="1:1" ht="14.45" customHeight="1" x14ac:dyDescent="0.25">
      <c r="A140" s="610"/>
    </row>
    <row r="141" spans="1:1" ht="15" customHeight="1" x14ac:dyDescent="0.25">
      <c r="A141" s="610"/>
    </row>
    <row r="142" spans="1:1" x14ac:dyDescent="0.25">
      <c r="A142" s="610"/>
    </row>
    <row r="143" spans="1:1" x14ac:dyDescent="0.25">
      <c r="A143" s="610"/>
    </row>
    <row r="144" spans="1:1" x14ac:dyDescent="0.25">
      <c r="A144" s="610"/>
    </row>
    <row r="145" spans="1:1" ht="15" customHeight="1" x14ac:dyDescent="0.25">
      <c r="A145" s="610"/>
    </row>
    <row r="146" spans="1:1" x14ac:dyDescent="0.25">
      <c r="A146" s="610"/>
    </row>
    <row r="147" spans="1:1" x14ac:dyDescent="0.25">
      <c r="A147" s="610"/>
    </row>
    <row r="148" spans="1:1" ht="14.45" customHeight="1" x14ac:dyDescent="0.25">
      <c r="A148" s="610"/>
    </row>
    <row r="149" spans="1:1" x14ac:dyDescent="0.25">
      <c r="A149" s="610"/>
    </row>
    <row r="150" spans="1:1" x14ac:dyDescent="0.25">
      <c r="A150" s="610"/>
    </row>
    <row r="151" spans="1:1" x14ac:dyDescent="0.25">
      <c r="A151" s="610"/>
    </row>
    <row r="152" spans="1:1" x14ac:dyDescent="0.25">
      <c r="A152" s="610"/>
    </row>
    <row r="153" spans="1:1" x14ac:dyDescent="0.25">
      <c r="A153" s="610"/>
    </row>
    <row r="154" spans="1:1" x14ac:dyDescent="0.25">
      <c r="A154" s="610"/>
    </row>
    <row r="155" spans="1:1" ht="14.45" customHeight="1" x14ac:dyDescent="0.25">
      <c r="A155" s="610"/>
    </row>
    <row r="156" spans="1:1" x14ac:dyDescent="0.25">
      <c r="A156" s="610"/>
    </row>
    <row r="157" spans="1:1" x14ac:dyDescent="0.25">
      <c r="A157" s="610"/>
    </row>
    <row r="158" spans="1:1" x14ac:dyDescent="0.25">
      <c r="A158" s="610"/>
    </row>
    <row r="159" spans="1:1" x14ac:dyDescent="0.25">
      <c r="A159" s="610"/>
    </row>
    <row r="160" spans="1:1" x14ac:dyDescent="0.25">
      <c r="A160" s="610"/>
    </row>
    <row r="161" spans="1:1" ht="14.45" customHeight="1" x14ac:dyDescent="0.25">
      <c r="A161" s="610"/>
    </row>
    <row r="162" spans="1:1" x14ac:dyDescent="0.25">
      <c r="A162" s="610"/>
    </row>
    <row r="163" spans="1:1" x14ac:dyDescent="0.25">
      <c r="A163" s="610"/>
    </row>
    <row r="164" spans="1:1" x14ac:dyDescent="0.25">
      <c r="A164" s="610"/>
    </row>
    <row r="165" spans="1:1" ht="14.45" customHeight="1" x14ac:dyDescent="0.25">
      <c r="A165" s="610"/>
    </row>
    <row r="166" spans="1:1" x14ac:dyDescent="0.25">
      <c r="A166" s="610"/>
    </row>
    <row r="167" spans="1:1" x14ac:dyDescent="0.25">
      <c r="A167" s="610"/>
    </row>
    <row r="168" spans="1:1" x14ac:dyDescent="0.25">
      <c r="A168" s="610"/>
    </row>
    <row r="169" spans="1:1" ht="14.45" customHeight="1" x14ac:dyDescent="0.25">
      <c r="A169" s="610"/>
    </row>
    <row r="170" spans="1:1" x14ac:dyDescent="0.25">
      <c r="A170" s="610"/>
    </row>
    <row r="171" spans="1:1" x14ac:dyDescent="0.25">
      <c r="A171" s="610"/>
    </row>
    <row r="172" spans="1:1" x14ac:dyDescent="0.25">
      <c r="A172" s="610"/>
    </row>
    <row r="173" spans="1:1" ht="14.45" customHeight="1" x14ac:dyDescent="0.25">
      <c r="A173" s="610"/>
    </row>
    <row r="174" spans="1:1" x14ac:dyDescent="0.25">
      <c r="A174" s="610"/>
    </row>
    <row r="175" spans="1:1" x14ac:dyDescent="0.25">
      <c r="A175" s="610"/>
    </row>
    <row r="176" spans="1:1" x14ac:dyDescent="0.25">
      <c r="A176" s="610"/>
    </row>
    <row r="177" spans="1:1" ht="14.45" customHeight="1" x14ac:dyDescent="0.25">
      <c r="A177" s="610"/>
    </row>
    <row r="178" spans="1:1" x14ac:dyDescent="0.25">
      <c r="A178" s="610"/>
    </row>
    <row r="179" spans="1:1" x14ac:dyDescent="0.25">
      <c r="A179" s="610"/>
    </row>
    <row r="180" spans="1:1" x14ac:dyDescent="0.25">
      <c r="A180" s="610"/>
    </row>
    <row r="181" spans="1:1" ht="14.45" customHeight="1" x14ac:dyDescent="0.25">
      <c r="A181" s="610"/>
    </row>
    <row r="182" spans="1:1" x14ac:dyDescent="0.25">
      <c r="A182" s="610"/>
    </row>
    <row r="183" spans="1:1" x14ac:dyDescent="0.25">
      <c r="A183" s="610"/>
    </row>
    <row r="184" spans="1:1" x14ac:dyDescent="0.25">
      <c r="A184" s="610"/>
    </row>
    <row r="185" spans="1:1" ht="14.45" customHeight="1" x14ac:dyDescent="0.25">
      <c r="A185" s="610"/>
    </row>
    <row r="186" spans="1:1" x14ac:dyDescent="0.25">
      <c r="A186" s="610"/>
    </row>
    <row r="187" spans="1:1" x14ac:dyDescent="0.25">
      <c r="A187" s="610"/>
    </row>
    <row r="188" spans="1:1" x14ac:dyDescent="0.25">
      <c r="A188" s="610"/>
    </row>
    <row r="189" spans="1:1" ht="14.45" customHeight="1" x14ac:dyDescent="0.25">
      <c r="A189" s="610"/>
    </row>
    <row r="190" spans="1:1" x14ac:dyDescent="0.25">
      <c r="A190" s="610"/>
    </row>
    <row r="191" spans="1:1" x14ac:dyDescent="0.25">
      <c r="A191" s="610"/>
    </row>
    <row r="192" spans="1:1" x14ac:dyDescent="0.25">
      <c r="A192" s="610"/>
    </row>
    <row r="193" spans="1:1" ht="14.45" customHeight="1" x14ac:dyDescent="0.25">
      <c r="A193" s="610"/>
    </row>
    <row r="194" spans="1:1" x14ac:dyDescent="0.25">
      <c r="A194" s="610"/>
    </row>
    <row r="195" spans="1:1" x14ac:dyDescent="0.25">
      <c r="A195" s="610"/>
    </row>
    <row r="196" spans="1:1" x14ac:dyDescent="0.25">
      <c r="A196" s="610"/>
    </row>
    <row r="197" spans="1:1" ht="14.45" customHeight="1" x14ac:dyDescent="0.25">
      <c r="A197" s="610"/>
    </row>
    <row r="198" spans="1:1" x14ac:dyDescent="0.25">
      <c r="A198" s="610"/>
    </row>
    <row r="199" spans="1:1" x14ac:dyDescent="0.25">
      <c r="A199" s="610"/>
    </row>
    <row r="200" spans="1:1" ht="14.45" customHeight="1" x14ac:dyDescent="0.25">
      <c r="A200" s="610"/>
    </row>
    <row r="201" spans="1:1" x14ac:dyDescent="0.25">
      <c r="A201" s="610"/>
    </row>
    <row r="202" spans="1:1" x14ac:dyDescent="0.25">
      <c r="A202" s="610"/>
    </row>
    <row r="203" spans="1:1" x14ac:dyDescent="0.25">
      <c r="A203" s="610"/>
    </row>
    <row r="204" spans="1:1" x14ac:dyDescent="0.25">
      <c r="A204" s="610"/>
    </row>
    <row r="205" spans="1:1" x14ac:dyDescent="0.25">
      <c r="A205" s="610"/>
    </row>
    <row r="206" spans="1:1" x14ac:dyDescent="0.25">
      <c r="A206" s="610"/>
    </row>
    <row r="207" spans="1:1" x14ac:dyDescent="0.25">
      <c r="A207" s="610"/>
    </row>
  </sheetData>
  <mergeCells count="1">
    <mergeCell ref="A3:A6"/>
  </mergeCells>
  <conditionalFormatting sqref="C1:BP1048576">
    <cfRule type="cellIs" dxfId="9" priority="1" operator="equal">
      <formula>"p"</formula>
    </cfRule>
    <cfRule type="cellIs" dxfId="8" priority="2" operator="equal">
      <formula>"x"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49" orientation="portrait" verticalDpi="300" r:id="rId1"/>
  <rowBreaks count="1" manualBreakCount="1">
    <brk id="30" max="28" man="1"/>
  </rowBreak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ilha9"/>
  <dimension ref="A1:AW207"/>
  <sheetViews>
    <sheetView workbookViewId="0">
      <pane xSplit="5" ySplit="2" topLeftCell="F48" activePane="bottomRight" state="frozen"/>
      <selection activeCell="E33" sqref="E33"/>
      <selection pane="topRight" activeCell="E33" sqref="E33"/>
      <selection pane="bottomLeft" activeCell="E33" sqref="E33"/>
      <selection pane="bottomRight" activeCell="AI118" sqref="AI118"/>
    </sheetView>
  </sheetViews>
  <sheetFormatPr defaultColWidth="9.140625" defaultRowHeight="15" x14ac:dyDescent="0.25"/>
  <cols>
    <col min="1" max="1" width="9.140625" style="609"/>
    <col min="2" max="2" width="7.140625" style="609" customWidth="1"/>
    <col min="3" max="3" width="16.5703125" style="609" customWidth="1"/>
    <col min="4" max="4" width="25.7109375" style="609" customWidth="1"/>
    <col min="5" max="5" width="12.7109375" style="609" customWidth="1"/>
    <col min="6" max="47" width="4.85546875" style="609" customWidth="1"/>
    <col min="48" max="16384" width="9.140625" style="609"/>
  </cols>
  <sheetData>
    <row r="1" spans="1:49" s="605" customFormat="1" x14ac:dyDescent="0.25">
      <c r="A1" s="605" t="s">
        <v>473</v>
      </c>
      <c r="C1" s="605" t="s">
        <v>11</v>
      </c>
      <c r="D1" s="605" t="s">
        <v>704</v>
      </c>
      <c r="F1" s="605">
        <v>2011</v>
      </c>
      <c r="H1" s="605">
        <f>F1+1</f>
        <v>2012</v>
      </c>
      <c r="J1" s="605">
        <f>H1+1</f>
        <v>2013</v>
      </c>
      <c r="L1" s="605">
        <f>J1+1</f>
        <v>2014</v>
      </c>
      <c r="N1" s="605">
        <f>L1+1</f>
        <v>2015</v>
      </c>
      <c r="P1" s="605">
        <f>N1+1</f>
        <v>2016</v>
      </c>
      <c r="R1" s="605">
        <f>P1+1</f>
        <v>2017</v>
      </c>
      <c r="T1" s="605">
        <f>R1+1</f>
        <v>2018</v>
      </c>
      <c r="V1" s="605">
        <f>T1+1</f>
        <v>2019</v>
      </c>
      <c r="X1" s="605">
        <f>V1+1</f>
        <v>2020</v>
      </c>
      <c r="Z1" s="605">
        <f>X1+1</f>
        <v>2021</v>
      </c>
      <c r="AB1" s="605">
        <f>Z1+1</f>
        <v>2022</v>
      </c>
      <c r="AD1" s="605">
        <f>AB1+1</f>
        <v>2023</v>
      </c>
      <c r="AF1" s="605">
        <f>AD1+1</f>
        <v>2024</v>
      </c>
      <c r="AH1" s="605">
        <f>AF1+1</f>
        <v>2025</v>
      </c>
      <c r="AJ1" s="605">
        <f>AH1+1</f>
        <v>2026</v>
      </c>
      <c r="AL1" s="605">
        <f>AJ1+1</f>
        <v>2027</v>
      </c>
      <c r="AN1" s="605">
        <f>AL1+1</f>
        <v>2028</v>
      </c>
      <c r="AP1" s="605">
        <f>AN1+1</f>
        <v>2029</v>
      </c>
      <c r="AR1" s="605">
        <f>AP1+1</f>
        <v>2030</v>
      </c>
    </row>
    <row r="2" spans="1:49" ht="15.75" thickBot="1" x14ac:dyDescent="0.3">
      <c r="A2" s="609" t="s">
        <v>480</v>
      </c>
      <c r="C2" s="609" t="s">
        <v>1026</v>
      </c>
      <c r="D2" s="609" t="s">
        <v>474</v>
      </c>
      <c r="E2" s="609" t="s">
        <v>479</v>
      </c>
      <c r="F2" s="609">
        <v>1</v>
      </c>
      <c r="G2" s="609">
        <v>2</v>
      </c>
      <c r="H2" s="609">
        <f>F2</f>
        <v>1</v>
      </c>
      <c r="I2" s="609">
        <f t="shared" ref="I2:AR2" si="0">G2</f>
        <v>2</v>
      </c>
      <c r="J2" s="609">
        <f t="shared" si="0"/>
        <v>1</v>
      </c>
      <c r="K2" s="609">
        <f t="shared" si="0"/>
        <v>2</v>
      </c>
      <c r="L2" s="609">
        <f t="shared" si="0"/>
        <v>1</v>
      </c>
      <c r="M2" s="609">
        <f t="shared" si="0"/>
        <v>2</v>
      </c>
      <c r="N2" s="609">
        <f t="shared" si="0"/>
        <v>1</v>
      </c>
      <c r="O2" s="609">
        <f t="shared" si="0"/>
        <v>2</v>
      </c>
      <c r="P2" s="609">
        <f t="shared" si="0"/>
        <v>1</v>
      </c>
      <c r="Q2" s="609">
        <f t="shared" si="0"/>
        <v>2</v>
      </c>
      <c r="R2" s="609">
        <f t="shared" si="0"/>
        <v>1</v>
      </c>
      <c r="S2" s="609">
        <f t="shared" si="0"/>
        <v>2</v>
      </c>
      <c r="T2" s="609">
        <f t="shared" si="0"/>
        <v>1</v>
      </c>
      <c r="U2" s="609">
        <f t="shared" si="0"/>
        <v>2</v>
      </c>
      <c r="V2" s="609">
        <f t="shared" si="0"/>
        <v>1</v>
      </c>
      <c r="W2" s="609">
        <f t="shared" si="0"/>
        <v>2</v>
      </c>
      <c r="X2" s="609">
        <f t="shared" si="0"/>
        <v>1</v>
      </c>
      <c r="Y2" s="609">
        <f t="shared" si="0"/>
        <v>2</v>
      </c>
      <c r="Z2" s="609">
        <f t="shared" si="0"/>
        <v>1</v>
      </c>
      <c r="AA2" s="609">
        <f t="shared" si="0"/>
        <v>2</v>
      </c>
      <c r="AB2" s="609">
        <f t="shared" si="0"/>
        <v>1</v>
      </c>
      <c r="AC2" s="609">
        <f t="shared" si="0"/>
        <v>2</v>
      </c>
      <c r="AD2" s="609">
        <f t="shared" si="0"/>
        <v>1</v>
      </c>
      <c r="AE2" s="609">
        <f t="shared" si="0"/>
        <v>2</v>
      </c>
      <c r="AF2" s="609">
        <f t="shared" si="0"/>
        <v>1</v>
      </c>
      <c r="AG2" s="609">
        <f t="shared" si="0"/>
        <v>2</v>
      </c>
      <c r="AH2" s="609">
        <f t="shared" si="0"/>
        <v>1</v>
      </c>
      <c r="AI2" s="609">
        <f t="shared" si="0"/>
        <v>2</v>
      </c>
      <c r="AJ2" s="609">
        <f t="shared" si="0"/>
        <v>1</v>
      </c>
      <c r="AK2" s="609">
        <f t="shared" si="0"/>
        <v>2</v>
      </c>
      <c r="AL2" s="609">
        <f t="shared" si="0"/>
        <v>1</v>
      </c>
      <c r="AM2" s="609">
        <f t="shared" si="0"/>
        <v>2</v>
      </c>
      <c r="AN2" s="609">
        <f t="shared" si="0"/>
        <v>1</v>
      </c>
      <c r="AO2" s="609">
        <f t="shared" si="0"/>
        <v>2</v>
      </c>
      <c r="AP2" s="609">
        <f t="shared" si="0"/>
        <v>1</v>
      </c>
      <c r="AQ2" s="609">
        <f t="shared" si="0"/>
        <v>2</v>
      </c>
      <c r="AR2" s="609">
        <f t="shared" si="0"/>
        <v>1</v>
      </c>
      <c r="AS2" s="609">
        <f>AQ2</f>
        <v>2</v>
      </c>
    </row>
    <row r="3" spans="1:49" ht="15" customHeight="1" thickTop="1" x14ac:dyDescent="0.25">
      <c r="A3" s="609" t="s">
        <v>481</v>
      </c>
      <c r="C3" s="609">
        <v>14</v>
      </c>
      <c r="D3" s="619" t="s">
        <v>574</v>
      </c>
      <c r="E3" s="613" t="s">
        <v>51</v>
      </c>
      <c r="F3" s="613" t="str">
        <f>IFERROR(IF(AND('Progressão temporal das turmas'!C3="x",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G3" s="613" t="str">
        <f>IFERROR(IF(AND('Progressão temporal das turmas'!D3="x",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H3" s="613" t="str">
        <f>IFERROR(IF(AND('Progressão temporal das turmas'!E3="x",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I3" s="613" t="str">
        <f>IFERROR(IF(AND('Progressão temporal das turmas'!F3="x",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J3" s="613" t="str">
        <f>IFERROR(IF(AND('Progressão temporal das turmas'!G3="x",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K3" s="613" t="str">
        <f>IFERROR(IF(AND('Progressão temporal das turmas'!H3="x",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L3" s="613" t="str">
        <f>IFERROR(IF(AND('Progressão temporal das turmas'!I3="x",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M3" s="613" t="str">
        <f>IFERROR(IF(AND('Progressão temporal das turmas'!J3="x",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N3" s="613" t="str">
        <f>IFERROR(IF(AND('Progressão temporal das turmas'!K3="x",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O3" s="613" t="str">
        <f>IFERROR(IF(AND('Progressão temporal das turmas'!L3="x",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P3" s="613" t="str">
        <f>IFERROR(IF(AND('Progressão temporal das turmas'!M3="x",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Q3" s="613" t="str">
        <f>IFERROR(IF(AND('Progressão temporal das turmas'!N3="x",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R3" s="613" t="str">
        <f>IFERROR(IF(AND('Progressão temporal das turmas'!O3="x",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S3" s="613" t="str">
        <f>IFERROR(IF(AND('Progressão temporal das turmas'!P3="x",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T3" s="613" t="str">
        <f>IFERROR(IF(AND('Progressão temporal das turmas'!Q3="x",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U3" s="613" t="str">
        <f>IFERROR(IF(AND('Progressão temporal das turmas'!R3="x",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V3" s="613" t="str">
        <f>IFERROR(IF(AND('Progressão temporal das turmas'!S3="x",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W3" s="613" t="str">
        <f>IFERROR(IF(AND('Progressão temporal das turmas'!T3="x",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X3" s="613" t="str">
        <f>IFERROR(IF(AND('Progressão temporal das turmas'!U3="x",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Y3" s="613" t="str">
        <f>IFERROR(IF(AND('Progressão temporal das turmas'!V3="x",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Z3" s="613" t="str">
        <f>IFERROR(IF(AND('Progressão temporal das turmas'!W3="x",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A3" s="613" t="str">
        <f>IFERROR(IF(AND('Progressão temporal das turmas'!X3="x",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B3" s="613" t="str">
        <f>IFERROR(IF(AND('Progressão temporal das turmas'!Y3="x",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C3" s="613" t="str">
        <f>IFERROR(IF(AND('Progressão temporal das turmas'!Z3="x",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D3" s="613" t="str">
        <f>IFERROR(IF(AND('Progressão temporal das turmas'!AA3="x",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E3" s="613" t="str">
        <f>IFERROR(IF(AND('Progressão temporal das turmas'!AB3="x",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F3" s="613" t="str">
        <f>IFERROR(IF(AND('Progressão temporal das turmas'!AC3="x",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G3" s="613" t="str">
        <f>IFERROR(IF(AND('Progressão temporal das turmas'!AD3="x",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H3" s="613" t="str">
        <f>IFERROR(IF(AND('Progressão temporal das turmas'!AE3="x",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I3" s="613" t="str">
        <f>IFERROR(IF(AND('Progressão temporal das turmas'!AF3="x",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J3" s="613" t="str">
        <f>IFERROR(IF(AND('Progressão temporal das turmas'!AG3="x",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K3" s="613" t="str">
        <f>IFERROR(IF(AND('Progressão temporal das turmas'!AH3="x",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L3" s="613" t="str">
        <f>IFERROR(IF(AND('Progressão temporal das turmas'!AI3="x",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M3" s="613" t="str">
        <f>IFERROR(IF(AND('Progressão temporal das turmas'!AJ3="x",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N3" s="613" t="str">
        <f>IFERROR(IF(AND('Progressão temporal das turmas'!AK3="x",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O3" s="613" t="str">
        <f>IFERROR(IF(AND('Progressão temporal das turmas'!AL3="x",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P3" s="613" t="str">
        <f>IFERROR(IF(AND('Progressão temporal das turmas'!AM3="x",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Q3" s="613" t="str">
        <f>IFERROR(IF(AND('Progressão temporal das turmas'!AN3="x",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R3" s="613" t="str">
        <f>IFERROR(IF(AND('Progressão temporal das turmas'!AO3="x", OR('Alocação de docentes'!$D$1="Noturno",'Alocação de docentes'!$D$1="Todos os turnos")),GETPIVOTDATA("Aula-docente semanal",'Tabela geral'!$A$3,"Curso","Técnico Concomitante em Fabricação Mecânica (novo - anual)","Período",$E3,"Atribuição",'Alocação de docentes'!$C$1), "")/IF($C$2="Num docentes",$C$3,1),"")</f>
        <v/>
      </c>
      <c r="AS3" s="613"/>
      <c r="AT3" s="613"/>
      <c r="AU3" s="614"/>
    </row>
    <row r="4" spans="1:49" x14ac:dyDescent="0.25">
      <c r="A4" s="611"/>
      <c r="D4" s="620"/>
      <c r="E4" s="615" t="s">
        <v>67</v>
      </c>
      <c r="F4" s="615" t="str">
        <f>IFERROR(IF(AND('Progressão temporal das turmas'!C4="x",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G4" s="615" t="str">
        <f>IFERROR(IF(AND('Progressão temporal das turmas'!D4="x",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H4" s="615" t="str">
        <f>IFERROR(IF(AND('Progressão temporal das turmas'!E4="x",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I4" s="615" t="str">
        <f>IFERROR(IF(AND('Progressão temporal das turmas'!F4="x",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J4" s="615" t="str">
        <f>IFERROR(IF(AND('Progressão temporal das turmas'!G4="x",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K4" s="615" t="str">
        <f>IFERROR(IF(AND('Progressão temporal das turmas'!H4="x",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L4" s="615" t="str">
        <f>IFERROR(IF(AND('Progressão temporal das turmas'!I4="x",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M4" s="615" t="str">
        <f>IFERROR(IF(AND('Progressão temporal das turmas'!J4="x",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N4" s="615" t="str">
        <f>IFERROR(IF(AND('Progressão temporal das turmas'!K4="x",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O4" s="615" t="str">
        <f>IFERROR(IF(AND('Progressão temporal das turmas'!L4="x",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P4" s="615" t="str">
        <f>IFERROR(IF(AND('Progressão temporal das turmas'!M4="x",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Q4" s="615" t="str">
        <f>IFERROR(IF(AND('Progressão temporal das turmas'!N4="x",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R4" s="615" t="str">
        <f>IFERROR(IF(AND('Progressão temporal das turmas'!O4="x",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S4" s="615" t="str">
        <f>IFERROR(IF(AND('Progressão temporal das turmas'!P4="x",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T4" s="615" t="str">
        <f>IFERROR(IF(AND('Progressão temporal das turmas'!Q4="x",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U4" s="615" t="str">
        <f>IFERROR(IF(AND('Progressão temporal das turmas'!R4="x",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V4" s="615" t="str">
        <f>IFERROR(IF(AND('Progressão temporal das turmas'!S4="x",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W4" s="615" t="str">
        <f>IFERROR(IF(AND('Progressão temporal das turmas'!T4="x",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X4" s="615" t="str">
        <f>IFERROR(IF(AND('Progressão temporal das turmas'!U4="x",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Y4" s="615" t="str">
        <f>IFERROR(IF(AND('Progressão temporal das turmas'!V4="x",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Z4" s="615" t="str">
        <f>IFERROR(IF(AND('Progressão temporal das turmas'!W4="x",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A4" s="615" t="str">
        <f>IFERROR(IF(AND('Progressão temporal das turmas'!X4="x",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B4" s="615" t="str">
        <f>IFERROR(IF(AND('Progressão temporal das turmas'!Y4="x",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C4" s="615" t="str">
        <f>IFERROR(IF(AND('Progressão temporal das turmas'!Z4="x",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D4" s="615" t="str">
        <f>IFERROR(IF(AND('Progressão temporal das turmas'!AA4="x",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E4" s="615" t="str">
        <f>IFERROR(IF(AND('Progressão temporal das turmas'!AB4="x",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F4" s="615" t="str">
        <f>IFERROR(IF(AND('Progressão temporal das turmas'!AC4="x",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G4" s="615" t="str">
        <f>IFERROR(IF(AND('Progressão temporal das turmas'!AD4="x",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H4" s="615" t="str">
        <f>IFERROR(IF(AND('Progressão temporal das turmas'!AE4="x",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I4" s="615" t="str">
        <f>IFERROR(IF(AND('Progressão temporal das turmas'!AF4="x",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J4" s="615" t="str">
        <f>IFERROR(IF(AND('Progressão temporal das turmas'!AG4="x",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K4" s="615" t="str">
        <f>IFERROR(IF(AND('Progressão temporal das turmas'!AH4="x",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L4" s="615" t="str">
        <f>IFERROR(IF(AND('Progressão temporal das turmas'!AI4="x",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M4" s="615" t="str">
        <f>IFERROR(IF(AND('Progressão temporal das turmas'!AJ4="x",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N4" s="615" t="str">
        <f>IFERROR(IF(AND('Progressão temporal das turmas'!AK4="x",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O4" s="615" t="str">
        <f>IFERROR(IF(AND('Progressão temporal das turmas'!AL4="x",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P4" s="615" t="str">
        <f>IFERROR(IF(AND('Progressão temporal das turmas'!AM4="x",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Q4" s="615" t="str">
        <f>IFERROR(IF(AND('Progressão temporal das turmas'!AN4="x",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R4" s="615" t="str">
        <f>IFERROR(IF(AND('Progressão temporal das turmas'!AO4="x", OR('Alocação de docentes'!$D$1="Noturno",'Alocação de docentes'!$D$1="Todos os turnos")),GETPIVOTDATA("Aula-docente semanal",'Tabela geral'!$A$3,"Curso","Técnico Concomitante em Fabricação Mecânica (novo - anual)","Período",$E4,"Atribuição",'Alocação de docentes'!$C$1), "")/IF($C$2="Num docentes",$C$3,1),"")</f>
        <v/>
      </c>
      <c r="AS4" s="615"/>
      <c r="AT4" s="615"/>
      <c r="AU4" s="616"/>
    </row>
    <row r="5" spans="1:49" ht="14.45" customHeight="1" x14ac:dyDescent="0.25">
      <c r="A5" s="611"/>
      <c r="D5" s="620"/>
      <c r="E5" s="615" t="s">
        <v>85</v>
      </c>
      <c r="F5" s="615" t="str">
        <f>IFERROR(IF(AND('Progressão temporal das turmas'!C5="x",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G5" s="615" t="str">
        <f>IFERROR(IF(AND('Progressão temporal das turmas'!D5="x",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H5" s="615" t="str">
        <f>IFERROR(IF(AND('Progressão temporal das turmas'!E5="x",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I5" s="615" t="str">
        <f>IFERROR(IF(AND('Progressão temporal das turmas'!F5="x",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J5" s="615" t="str">
        <f>IFERROR(IF(AND('Progressão temporal das turmas'!G5="x",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K5" s="615" t="str">
        <f>IFERROR(IF(AND('Progressão temporal das turmas'!H5="x",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L5" s="615" t="str">
        <f>IFERROR(IF(AND('Progressão temporal das turmas'!I5="x",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M5" s="615" t="str">
        <f>IFERROR(IF(AND('Progressão temporal das turmas'!J5="x",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N5" s="615" t="str">
        <f>IFERROR(IF(AND('Progressão temporal das turmas'!K5="x",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O5" s="615" t="str">
        <f>IFERROR(IF(AND('Progressão temporal das turmas'!L5="x",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P5" s="615" t="str">
        <f>IFERROR(IF(AND('Progressão temporal das turmas'!M5="x",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Q5" s="615" t="str">
        <f>IFERROR(IF(AND('Progressão temporal das turmas'!N5="x",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R5" s="615" t="str">
        <f>IFERROR(IF(AND('Progressão temporal das turmas'!O5="x",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S5" s="615" t="str">
        <f>IFERROR(IF(AND('Progressão temporal das turmas'!P5="x",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T5" s="615" t="str">
        <f>IFERROR(IF(AND('Progressão temporal das turmas'!Q5="x",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U5" s="615" t="str">
        <f>IFERROR(IF(AND('Progressão temporal das turmas'!R5="x",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V5" s="615" t="str">
        <f>IFERROR(IF(AND('Progressão temporal das turmas'!S5="x",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W5" s="615" t="str">
        <f>IFERROR(IF(AND('Progressão temporal das turmas'!T5="x",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X5" s="615" t="str">
        <f>IFERROR(IF(AND('Progressão temporal das turmas'!U5="x",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Y5" s="615" t="str">
        <f>IFERROR(IF(AND('Progressão temporal das turmas'!V5="x",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Z5" s="615" t="str">
        <f>IFERROR(IF(AND('Progressão temporal das turmas'!W5="x",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A5" s="615" t="str">
        <f>IFERROR(IF(AND('Progressão temporal das turmas'!X5="x",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B5" s="615" t="str">
        <f>IFERROR(IF(AND('Progressão temporal das turmas'!Y5="x",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C5" s="615" t="str">
        <f>IFERROR(IF(AND('Progressão temporal das turmas'!Z5="x",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D5" s="615" t="str">
        <f>IFERROR(IF(AND('Progressão temporal das turmas'!AA5="x",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E5" s="615" t="str">
        <f>IFERROR(IF(AND('Progressão temporal das turmas'!AB5="x",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F5" s="615" t="str">
        <f>IFERROR(IF(AND('Progressão temporal das turmas'!AC5="x",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G5" s="615" t="str">
        <f>IFERROR(IF(AND('Progressão temporal das turmas'!AD5="x",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H5" s="615" t="str">
        <f>IFERROR(IF(AND('Progressão temporal das turmas'!AE5="x",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I5" s="615" t="str">
        <f>IFERROR(IF(AND('Progressão temporal das turmas'!AF5="x",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J5" s="615" t="str">
        <f>IFERROR(IF(AND('Progressão temporal das turmas'!AG5="x",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K5" s="615" t="str">
        <f>IFERROR(IF(AND('Progressão temporal das turmas'!AH5="x",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L5" s="615" t="str">
        <f>IFERROR(IF(AND('Progressão temporal das turmas'!AI5="x",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M5" s="615" t="str">
        <f>IFERROR(IF(AND('Progressão temporal das turmas'!AJ5="x",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N5" s="615" t="str">
        <f>IFERROR(IF(AND('Progressão temporal das turmas'!AK5="x",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O5" s="615" t="str">
        <f>IFERROR(IF(AND('Progressão temporal das turmas'!AL5="x",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P5" s="615" t="str">
        <f>IFERROR(IF(AND('Progressão temporal das turmas'!AM5="x",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Q5" s="615" t="str">
        <f>IFERROR(IF(AND('Progressão temporal das turmas'!AN5="x",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R5" s="615" t="str">
        <f>IFERROR(IF(AND('Progressão temporal das turmas'!AO5="x", OR('Alocação de docentes'!$D$1="Noturno",'Alocação de docentes'!$D$1="Todos os turnos")),GETPIVOTDATA("Aula-docente semanal",'Tabela geral'!$A$3,"Curso","Técnico Concomitante em Fabricação Mecânica (novo - anual)","Período",$E5,"Atribuição",'Alocação de docentes'!$C$1), "")/IF($C$2="Num docentes",$C$3,1),"")</f>
        <v/>
      </c>
      <c r="AS5" s="615"/>
      <c r="AT5" s="615"/>
      <c r="AU5" s="616"/>
    </row>
    <row r="6" spans="1:49" ht="15" customHeight="1" thickBot="1" x14ac:dyDescent="0.3">
      <c r="A6" s="611"/>
      <c r="D6" s="621"/>
      <c r="E6" s="617" t="s">
        <v>99</v>
      </c>
      <c r="F6" s="617" t="str">
        <f>IFERROR(IF(AND('Progressão temporal das turmas'!C6="x",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G6" s="617" t="str">
        <f>IFERROR(IF(AND('Progressão temporal das turmas'!D6="x",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H6" s="617" t="str">
        <f>IFERROR(IF(AND('Progressão temporal das turmas'!E6="x",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I6" s="617" t="str">
        <f>IFERROR(IF(AND('Progressão temporal das turmas'!F6="x",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J6" s="617" t="str">
        <f>IFERROR(IF(AND('Progressão temporal das turmas'!G6="x",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K6" s="617" t="str">
        <f>IFERROR(IF(AND('Progressão temporal das turmas'!H6="x",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L6" s="617" t="str">
        <f>IFERROR(IF(AND('Progressão temporal das turmas'!I6="x",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M6" s="617" t="str">
        <f>IFERROR(IF(AND('Progressão temporal das turmas'!J6="x",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N6" s="617" t="str">
        <f>IFERROR(IF(AND('Progressão temporal das turmas'!K6="x",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O6" s="617" t="str">
        <f>IFERROR(IF(AND('Progressão temporal das turmas'!L6="x",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P6" s="617" t="str">
        <f>IFERROR(IF(AND('Progressão temporal das turmas'!M6="x",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Q6" s="617" t="str">
        <f>IFERROR(IF(AND('Progressão temporal das turmas'!N6="x",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R6" s="617" t="str">
        <f>IFERROR(IF(AND('Progressão temporal das turmas'!O6="x",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S6" s="617" t="str">
        <f>IFERROR(IF(AND('Progressão temporal das turmas'!P6="x",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T6" s="617" t="str">
        <f>IFERROR(IF(AND('Progressão temporal das turmas'!Q6="x",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U6" s="617" t="str">
        <f>IFERROR(IF(AND('Progressão temporal das turmas'!R6="x",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V6" s="617" t="str">
        <f>IFERROR(IF(AND('Progressão temporal das turmas'!S6="x",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W6" s="617" t="str">
        <f>IFERROR(IF(AND('Progressão temporal das turmas'!T6="x",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X6" s="617" t="str">
        <f>IFERROR(IF(AND('Progressão temporal das turmas'!U6="x",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Y6" s="617" t="str">
        <f>IFERROR(IF(AND('Progressão temporal das turmas'!V6="x",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Z6" s="617" t="str">
        <f>IFERROR(IF(AND('Progressão temporal das turmas'!W6="x",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A6" s="617" t="str">
        <f>IFERROR(IF(AND('Progressão temporal das turmas'!X6="x",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B6" s="617" t="str">
        <f>IFERROR(IF(AND('Progressão temporal das turmas'!Y6="x",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C6" s="617" t="str">
        <f>IFERROR(IF(AND('Progressão temporal das turmas'!Z6="x",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D6" s="617" t="str">
        <f>IFERROR(IF(AND('Progressão temporal das turmas'!AA6="x",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E6" s="617" t="str">
        <f>IFERROR(IF(AND('Progressão temporal das turmas'!AB6="x",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F6" s="617" t="str">
        <f>IFERROR(IF(AND('Progressão temporal das turmas'!AC6="x",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G6" s="617" t="str">
        <f>IFERROR(IF(AND('Progressão temporal das turmas'!AD6="x",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H6" s="617" t="str">
        <f>IFERROR(IF(AND('Progressão temporal das turmas'!AE6="x",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I6" s="617" t="str">
        <f>IFERROR(IF(AND('Progressão temporal das turmas'!AF6="x",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J6" s="617" t="str">
        <f>IFERROR(IF(AND('Progressão temporal das turmas'!AG6="x",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K6" s="617" t="str">
        <f>IFERROR(IF(AND('Progressão temporal das turmas'!AH6="x",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L6" s="617" t="str">
        <f>IFERROR(IF(AND('Progressão temporal das turmas'!AI6="x",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M6" s="617" t="str">
        <f>IFERROR(IF(AND('Progressão temporal das turmas'!AJ6="x",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N6" s="617" t="str">
        <f>IFERROR(IF(AND('Progressão temporal das turmas'!AK6="x",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O6" s="617" t="str">
        <f>IFERROR(IF(AND('Progressão temporal das turmas'!AL6="x",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P6" s="617" t="str">
        <f>IFERROR(IF(AND('Progressão temporal das turmas'!AM6="x",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Q6" s="617" t="str">
        <f>IFERROR(IF(AND('Progressão temporal das turmas'!AN6="x",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R6" s="617" t="str">
        <f>IFERROR(IF(AND('Progressão temporal das turmas'!AO6="x", OR('Alocação de docentes'!$D$1="Noturno",'Alocação de docentes'!$D$1="Todos os turnos")),GETPIVOTDATA("Aula-docente semanal",'Tabela geral'!$A$3,"Curso","Técnico Concomitante em Fabricação Mecânica (novo - anual)","Período",$E6,"Atribuição",'Alocação de docentes'!$C$1), "")/IF($C$2="Num docentes",$C$3,1),"")</f>
        <v/>
      </c>
      <c r="AS6" s="617"/>
      <c r="AT6" s="617"/>
      <c r="AU6" s="618"/>
    </row>
    <row r="7" spans="1:49" ht="15" customHeight="1" thickTop="1" x14ac:dyDescent="0.25">
      <c r="A7" s="611"/>
      <c r="D7" s="610"/>
      <c r="E7" s="605" t="s">
        <v>484</v>
      </c>
      <c r="F7" s="609">
        <f>ROUNDUP(SUM('Alocação de docentes'!F3:F6),0)</f>
        <v>0</v>
      </c>
      <c r="G7" s="609">
        <f>ROUNDUP(SUM('Alocação de docentes'!G3:G6),0)</f>
        <v>0</v>
      </c>
      <c r="H7" s="609">
        <f>ROUNDUP(SUM('Alocação de docentes'!H3:H6),0)</f>
        <v>0</v>
      </c>
      <c r="I7" s="609">
        <f>ROUNDUP(SUM('Alocação de docentes'!I3:I6),0)</f>
        <v>0</v>
      </c>
      <c r="J7" s="609">
        <f>ROUNDUP(SUM('Alocação de docentes'!J3:J6),0)</f>
        <v>0</v>
      </c>
      <c r="K7" s="609">
        <f>ROUNDUP(SUM('Alocação de docentes'!K3:K6),0)</f>
        <v>0</v>
      </c>
      <c r="L7" s="609">
        <f>ROUNDUP(SUM('Alocação de docentes'!L3:L6),0)</f>
        <v>0</v>
      </c>
      <c r="M7" s="609">
        <f>ROUNDUP(SUM('Alocação de docentes'!M3:M6),0)</f>
        <v>0</v>
      </c>
      <c r="N7" s="609">
        <f>ROUNDUP(SUM('Alocação de docentes'!N3:N6),0)</f>
        <v>0</v>
      </c>
      <c r="O7" s="609">
        <f>ROUNDUP(SUM('Alocação de docentes'!O3:O6),0)</f>
        <v>0</v>
      </c>
      <c r="P7" s="609">
        <f>ROUNDUP(SUM('Alocação de docentes'!P3:P6),0)</f>
        <v>0</v>
      </c>
      <c r="Q7" s="609">
        <f>ROUNDUP(SUM('Alocação de docentes'!Q3:Q6),0)</f>
        <v>0</v>
      </c>
      <c r="R7" s="609">
        <f>ROUNDUP(SUM('Alocação de docentes'!R3:R6),0)</f>
        <v>0</v>
      </c>
      <c r="S7" s="609">
        <f>ROUNDUP(SUM('Alocação de docentes'!S3:S6),0)</f>
        <v>0</v>
      </c>
      <c r="T7" s="609">
        <f>ROUNDUP(SUM('Alocação de docentes'!T3:T6),0)</f>
        <v>0</v>
      </c>
      <c r="U7" s="609">
        <f>ROUNDUP(SUM('Alocação de docentes'!U3:U6),0)</f>
        <v>0</v>
      </c>
      <c r="V7" s="609">
        <f>ROUNDUP(SUM('Alocação de docentes'!V3:V6),0)</f>
        <v>0</v>
      </c>
      <c r="W7" s="609">
        <f>ROUNDUP(SUM('Alocação de docentes'!W3:W6),0)</f>
        <v>0</v>
      </c>
      <c r="X7" s="609">
        <f>ROUNDUP(SUM('Alocação de docentes'!X3:X6),0)</f>
        <v>0</v>
      </c>
      <c r="Y7" s="609">
        <f>ROUNDUP(SUM('Alocação de docentes'!Y3:Y6),0)</f>
        <v>0</v>
      </c>
      <c r="Z7" s="609">
        <f>ROUNDUP(SUM('Alocação de docentes'!Z3:Z6),0)</f>
        <v>0</v>
      </c>
      <c r="AA7" s="609">
        <f>ROUNDUP(SUM('Alocação de docentes'!AA3:AA6),0)</f>
        <v>0</v>
      </c>
      <c r="AB7" s="609">
        <f>ROUNDUP(SUM('Alocação de docentes'!AB3:AB6),0)</f>
        <v>0</v>
      </c>
      <c r="AC7" s="609">
        <f>ROUNDUP(SUM('Alocação de docentes'!AC3:AC6),0)</f>
        <v>0</v>
      </c>
      <c r="AD7" s="609">
        <f>ROUNDUP(SUM('Alocação de docentes'!AD3:AD6),0)</f>
        <v>0</v>
      </c>
      <c r="AE7" s="609">
        <f>ROUNDUP(SUM('Alocação de docentes'!AE3:AE6),0)</f>
        <v>0</v>
      </c>
      <c r="AF7" s="609">
        <f>ROUNDUP(SUM('Alocação de docentes'!AF3:AF6),0)</f>
        <v>0</v>
      </c>
      <c r="AG7" s="609">
        <f>ROUNDUP(SUM('Alocação de docentes'!AG3:AG6),0)</f>
        <v>0</v>
      </c>
      <c r="AH7" s="609">
        <f>ROUNDUP(SUM('Alocação de docentes'!AH3:AH6),0)</f>
        <v>0</v>
      </c>
      <c r="AI7" s="609">
        <f>ROUNDUP(SUM('Alocação de docentes'!AI3:AI6),0)</f>
        <v>0</v>
      </c>
      <c r="AJ7" s="609">
        <f>ROUNDUP(SUM('Alocação de docentes'!AJ3:AJ6),0)</f>
        <v>0</v>
      </c>
      <c r="AK7" s="609">
        <f>ROUNDUP(SUM('Alocação de docentes'!AK3:AK6),0)</f>
        <v>0</v>
      </c>
      <c r="AL7" s="609">
        <f>ROUNDUP(SUM('Alocação de docentes'!AL3:AL6),0)</f>
        <v>0</v>
      </c>
      <c r="AM7" s="609">
        <f>ROUNDUP(SUM('Alocação de docentes'!AM3:AM6),0)</f>
        <v>0</v>
      </c>
      <c r="AN7" s="609">
        <f>ROUNDUP(SUM('Alocação de docentes'!AN3:AN6),0)</f>
        <v>0</v>
      </c>
      <c r="AO7" s="609">
        <f>ROUNDUP(SUM('Alocação de docentes'!AO3:AO6),0)</f>
        <v>0</v>
      </c>
      <c r="AP7" s="609">
        <f>ROUNDUP(SUM('Alocação de docentes'!AP3:AP6),0)</f>
        <v>0</v>
      </c>
      <c r="AQ7" s="609">
        <f>ROUNDUP(SUM('Alocação de docentes'!AQ3:AQ6),0)</f>
        <v>0</v>
      </c>
      <c r="AR7" s="609">
        <f>ROUNDUP(SUM('Alocação de docentes'!AR3:AR6),0)</f>
        <v>0</v>
      </c>
      <c r="AS7" s="609">
        <f>ROUNDUP(SUM('Alocação de docentes'!AS3:AS6),0)</f>
        <v>0</v>
      </c>
      <c r="AT7" s="609">
        <f>ROUNDUP(SUM('Alocação de docentes'!AT3:AT6),0)</f>
        <v>0</v>
      </c>
      <c r="AU7" s="609">
        <f>ROUNDUP(SUM('Alocação de docentes'!AU3:AU6),0)</f>
        <v>0</v>
      </c>
      <c r="AV7" s="609">
        <f>ROUNDUP(SUM('Alocação de docentes'!AV3:AV6),0)</f>
        <v>0</v>
      </c>
      <c r="AW7" s="609">
        <f>ROUNDUP(SUM('Alocação de docentes'!AW3:AW6),0)</f>
        <v>0</v>
      </c>
    </row>
    <row r="8" spans="1:49" x14ac:dyDescent="0.25">
      <c r="A8" s="611"/>
      <c r="D8" s="610"/>
    </row>
    <row r="9" spans="1:49" ht="15" customHeight="1" x14ac:dyDescent="0.25">
      <c r="A9" s="611"/>
      <c r="D9" s="610"/>
    </row>
    <row r="10" spans="1:49" ht="15" customHeight="1" x14ac:dyDescent="0.25">
      <c r="A10" s="611"/>
      <c r="D10" s="610"/>
    </row>
    <row r="11" spans="1:49" ht="15" customHeight="1" x14ac:dyDescent="0.25">
      <c r="A11" s="611"/>
      <c r="D11" s="610"/>
    </row>
    <row r="12" spans="1:49" ht="15" customHeight="1" x14ac:dyDescent="0.25">
      <c r="A12" s="611"/>
      <c r="D12" s="610"/>
    </row>
    <row r="13" spans="1:49" ht="15" customHeight="1" x14ac:dyDescent="0.25">
      <c r="A13" s="611"/>
      <c r="D13" s="610"/>
    </row>
    <row r="14" spans="1:49" ht="15" customHeight="1" x14ac:dyDescent="0.25">
      <c r="A14" s="611"/>
      <c r="B14" s="612"/>
      <c r="D14" s="610"/>
    </row>
    <row r="15" spans="1:49" ht="15" customHeight="1" x14ac:dyDescent="0.25">
      <c r="A15" s="611"/>
      <c r="D15" s="610"/>
    </row>
    <row r="16" spans="1:49" ht="15" customHeight="1" x14ac:dyDescent="0.25">
      <c r="A16" s="611"/>
      <c r="D16" s="610"/>
    </row>
    <row r="17" spans="1:4" ht="15" customHeight="1" x14ac:dyDescent="0.25">
      <c r="A17" s="611"/>
      <c r="D17" s="610"/>
    </row>
    <row r="18" spans="1:4" ht="15" customHeight="1" x14ac:dyDescent="0.25">
      <c r="A18" s="611"/>
      <c r="D18" s="610"/>
    </row>
    <row r="19" spans="1:4" ht="15" customHeight="1" x14ac:dyDescent="0.25">
      <c r="A19" s="611"/>
      <c r="D19" s="610"/>
    </row>
    <row r="20" spans="1:4" ht="15" customHeight="1" x14ac:dyDescent="0.25">
      <c r="A20" s="611"/>
      <c r="D20" s="610"/>
    </row>
    <row r="21" spans="1:4" ht="15" customHeight="1" x14ac:dyDescent="0.25">
      <c r="A21" s="611"/>
      <c r="D21" s="610"/>
    </row>
    <row r="22" spans="1:4" ht="15" customHeight="1" x14ac:dyDescent="0.25">
      <c r="A22" s="611"/>
      <c r="D22" s="610"/>
    </row>
    <row r="23" spans="1:4" ht="15" customHeight="1" x14ac:dyDescent="0.25">
      <c r="A23" s="611"/>
      <c r="D23" s="610"/>
    </row>
    <row r="24" spans="1:4" ht="15" customHeight="1" x14ac:dyDescent="0.25">
      <c r="A24" s="611"/>
      <c r="D24" s="610"/>
    </row>
    <row r="25" spans="1:4" ht="15" customHeight="1" x14ac:dyDescent="0.25">
      <c r="A25" s="611"/>
      <c r="D25" s="610"/>
    </row>
    <row r="26" spans="1:4" ht="15" customHeight="1" x14ac:dyDescent="0.25">
      <c r="A26" s="611"/>
      <c r="D26" s="610"/>
    </row>
    <row r="27" spans="1:4" ht="15" customHeight="1" x14ac:dyDescent="0.25">
      <c r="A27" s="611"/>
      <c r="D27" s="610"/>
    </row>
    <row r="28" spans="1:4" ht="15" customHeight="1" x14ac:dyDescent="0.25">
      <c r="A28" s="611"/>
      <c r="D28" s="610"/>
    </row>
    <row r="29" spans="1:4" ht="15" customHeight="1" x14ac:dyDescent="0.25">
      <c r="A29" s="611"/>
      <c r="D29" s="610"/>
    </row>
    <row r="30" spans="1:4" ht="15" customHeight="1" x14ac:dyDescent="0.25">
      <c r="A30" s="611"/>
      <c r="D30" s="610"/>
    </row>
    <row r="31" spans="1:4" ht="15" customHeight="1" x14ac:dyDescent="0.25">
      <c r="A31" s="611"/>
      <c r="D31" s="610"/>
    </row>
    <row r="32" spans="1:4" ht="15" customHeight="1" x14ac:dyDescent="0.25">
      <c r="A32" s="611"/>
      <c r="D32" s="610"/>
    </row>
    <row r="33" spans="1:4" ht="15" customHeight="1" x14ac:dyDescent="0.25">
      <c r="A33" s="611"/>
      <c r="D33" s="610"/>
    </row>
    <row r="34" spans="1:4" x14ac:dyDescent="0.25">
      <c r="A34" s="611"/>
      <c r="D34" s="610"/>
    </row>
    <row r="35" spans="1:4" ht="15" customHeight="1" x14ac:dyDescent="0.25">
      <c r="A35" s="611"/>
      <c r="D35" s="610"/>
    </row>
    <row r="36" spans="1:4" ht="15" customHeight="1" x14ac:dyDescent="0.25">
      <c r="D36" s="610"/>
    </row>
    <row r="37" spans="1:4" ht="15" customHeight="1" x14ac:dyDescent="0.25">
      <c r="D37" s="610"/>
    </row>
    <row r="38" spans="1:4" ht="15" customHeight="1" x14ac:dyDescent="0.25">
      <c r="D38" s="610"/>
    </row>
    <row r="39" spans="1:4" ht="15" customHeight="1" x14ac:dyDescent="0.25">
      <c r="D39" s="610"/>
    </row>
    <row r="40" spans="1:4" ht="15" customHeight="1" x14ac:dyDescent="0.25">
      <c r="D40" s="610"/>
    </row>
    <row r="41" spans="1:4" ht="15" customHeight="1" x14ac:dyDescent="0.25">
      <c r="D41" s="610"/>
    </row>
    <row r="42" spans="1:4" ht="15" customHeight="1" x14ac:dyDescent="0.25">
      <c r="D42" s="610"/>
    </row>
    <row r="43" spans="1:4" ht="15" customHeight="1" x14ac:dyDescent="0.25">
      <c r="D43" s="610"/>
    </row>
    <row r="44" spans="1:4" ht="15" customHeight="1" x14ac:dyDescent="0.25">
      <c r="D44" s="610"/>
    </row>
    <row r="45" spans="1:4" ht="15" customHeight="1" x14ac:dyDescent="0.25">
      <c r="D45" s="610"/>
    </row>
    <row r="46" spans="1:4" ht="15" customHeight="1" x14ac:dyDescent="0.25">
      <c r="D46" s="610"/>
    </row>
    <row r="47" spans="1:4" ht="15" customHeight="1" x14ac:dyDescent="0.25">
      <c r="D47" s="610"/>
    </row>
    <row r="48" spans="1:4" ht="15" customHeight="1" x14ac:dyDescent="0.25">
      <c r="D48" s="610"/>
    </row>
    <row r="49" spans="4:4" ht="15" customHeight="1" x14ac:dyDescent="0.25">
      <c r="D49" s="610"/>
    </row>
    <row r="50" spans="4:4" ht="15" customHeight="1" x14ac:dyDescent="0.25">
      <c r="D50" s="610"/>
    </row>
    <row r="51" spans="4:4" ht="15" customHeight="1" x14ac:dyDescent="0.25">
      <c r="D51" s="610"/>
    </row>
    <row r="52" spans="4:4" ht="15" customHeight="1" x14ac:dyDescent="0.25">
      <c r="D52" s="610"/>
    </row>
    <row r="53" spans="4:4" ht="15" customHeight="1" x14ac:dyDescent="0.25">
      <c r="D53" s="610"/>
    </row>
    <row r="54" spans="4:4" ht="15" customHeight="1" x14ac:dyDescent="0.25">
      <c r="D54" s="610"/>
    </row>
    <row r="55" spans="4:4" ht="15" customHeight="1" x14ac:dyDescent="0.25">
      <c r="D55" s="610"/>
    </row>
    <row r="56" spans="4:4" ht="15" customHeight="1" x14ac:dyDescent="0.25">
      <c r="D56" s="610"/>
    </row>
    <row r="57" spans="4:4" ht="15" customHeight="1" x14ac:dyDescent="0.25">
      <c r="D57" s="610"/>
    </row>
    <row r="58" spans="4:4" ht="15" customHeight="1" x14ac:dyDescent="0.25">
      <c r="D58" s="610"/>
    </row>
    <row r="59" spans="4:4" ht="15" customHeight="1" x14ac:dyDescent="0.25">
      <c r="D59" s="610"/>
    </row>
    <row r="60" spans="4:4" ht="15" customHeight="1" x14ac:dyDescent="0.25">
      <c r="D60" s="610"/>
    </row>
    <row r="61" spans="4:4" ht="15" customHeight="1" x14ac:dyDescent="0.25">
      <c r="D61" s="610"/>
    </row>
    <row r="62" spans="4:4" ht="15" customHeight="1" x14ac:dyDescent="0.25">
      <c r="D62" s="610"/>
    </row>
    <row r="63" spans="4:4" ht="15" customHeight="1" x14ac:dyDescent="0.25">
      <c r="D63" s="610"/>
    </row>
    <row r="64" spans="4:4" ht="15" customHeight="1" x14ac:dyDescent="0.25">
      <c r="D64" s="610"/>
    </row>
    <row r="65" spans="4:4" ht="15" customHeight="1" x14ac:dyDescent="0.25">
      <c r="D65" s="610"/>
    </row>
    <row r="66" spans="4:4" ht="15" customHeight="1" x14ac:dyDescent="0.25">
      <c r="D66" s="610"/>
    </row>
    <row r="67" spans="4:4" ht="15" customHeight="1" x14ac:dyDescent="0.25">
      <c r="D67" s="610"/>
    </row>
    <row r="68" spans="4:4" ht="15" customHeight="1" x14ac:dyDescent="0.25">
      <c r="D68" s="610"/>
    </row>
    <row r="69" spans="4:4" ht="15" customHeight="1" x14ac:dyDescent="0.25">
      <c r="D69" s="610"/>
    </row>
    <row r="70" spans="4:4" ht="15" customHeight="1" x14ac:dyDescent="0.25">
      <c r="D70" s="610"/>
    </row>
    <row r="71" spans="4:4" ht="15" customHeight="1" x14ac:dyDescent="0.25">
      <c r="D71" s="610"/>
    </row>
    <row r="72" spans="4:4" ht="15" customHeight="1" x14ac:dyDescent="0.25">
      <c r="D72" s="610"/>
    </row>
    <row r="73" spans="4:4" ht="15" customHeight="1" x14ac:dyDescent="0.25">
      <c r="D73" s="610"/>
    </row>
    <row r="74" spans="4:4" ht="15" customHeight="1" x14ac:dyDescent="0.25">
      <c r="D74" s="610"/>
    </row>
    <row r="75" spans="4:4" ht="15" customHeight="1" x14ac:dyDescent="0.25">
      <c r="D75" s="610"/>
    </row>
    <row r="76" spans="4:4" ht="15" customHeight="1" x14ac:dyDescent="0.25">
      <c r="D76" s="610"/>
    </row>
    <row r="77" spans="4:4" ht="15" customHeight="1" x14ac:dyDescent="0.25">
      <c r="D77" s="610"/>
    </row>
    <row r="78" spans="4:4" x14ac:dyDescent="0.25">
      <c r="D78" s="610"/>
    </row>
    <row r="79" spans="4:4" ht="15" customHeight="1" x14ac:dyDescent="0.25">
      <c r="D79" s="610"/>
    </row>
    <row r="80" spans="4:4" ht="15" customHeight="1" x14ac:dyDescent="0.25">
      <c r="D80" s="610"/>
    </row>
    <row r="81" spans="4:4" ht="15" customHeight="1" x14ac:dyDescent="0.25">
      <c r="D81" s="610"/>
    </row>
    <row r="82" spans="4:4" x14ac:dyDescent="0.25">
      <c r="D82" s="610"/>
    </row>
    <row r="83" spans="4:4" ht="15" customHeight="1" x14ac:dyDescent="0.25">
      <c r="D83" s="610"/>
    </row>
    <row r="84" spans="4:4" ht="15" customHeight="1" x14ac:dyDescent="0.25">
      <c r="D84" s="610"/>
    </row>
    <row r="85" spans="4:4" ht="15" customHeight="1" x14ac:dyDescent="0.25">
      <c r="D85" s="610"/>
    </row>
    <row r="86" spans="4:4" ht="15" customHeight="1" x14ac:dyDescent="0.25">
      <c r="D86" s="610"/>
    </row>
    <row r="87" spans="4:4" ht="15" customHeight="1" x14ac:dyDescent="0.25">
      <c r="D87" s="610"/>
    </row>
    <row r="88" spans="4:4" ht="15" customHeight="1" x14ac:dyDescent="0.25">
      <c r="D88" s="610"/>
    </row>
    <row r="89" spans="4:4" ht="15" customHeight="1" x14ac:dyDescent="0.25">
      <c r="D89" s="610"/>
    </row>
    <row r="90" spans="4:4" ht="15" customHeight="1" x14ac:dyDescent="0.25">
      <c r="D90" s="610"/>
    </row>
    <row r="91" spans="4:4" ht="15" customHeight="1" x14ac:dyDescent="0.25">
      <c r="D91" s="610"/>
    </row>
    <row r="92" spans="4:4" ht="15" customHeight="1" x14ac:dyDescent="0.25">
      <c r="D92" s="610"/>
    </row>
    <row r="93" spans="4:4" ht="15" customHeight="1" x14ac:dyDescent="0.25">
      <c r="D93" s="610"/>
    </row>
    <row r="94" spans="4:4" ht="15" customHeight="1" x14ac:dyDescent="0.25">
      <c r="D94" s="610"/>
    </row>
    <row r="95" spans="4:4" ht="15" customHeight="1" x14ac:dyDescent="0.25">
      <c r="D95" s="610"/>
    </row>
    <row r="96" spans="4:4" ht="15" customHeight="1" x14ac:dyDescent="0.25">
      <c r="D96" s="610"/>
    </row>
    <row r="97" spans="4:4" ht="15" customHeight="1" x14ac:dyDescent="0.25">
      <c r="D97" s="610"/>
    </row>
    <row r="98" spans="4:4" ht="15" customHeight="1" x14ac:dyDescent="0.25">
      <c r="D98" s="610"/>
    </row>
    <row r="99" spans="4:4" ht="15" customHeight="1" x14ac:dyDescent="0.25">
      <c r="D99" s="610"/>
    </row>
    <row r="100" spans="4:4" ht="15" customHeight="1" x14ac:dyDescent="0.25">
      <c r="D100" s="610"/>
    </row>
    <row r="101" spans="4:4" ht="15" customHeight="1" x14ac:dyDescent="0.25">
      <c r="D101" s="610"/>
    </row>
    <row r="102" spans="4:4" ht="15" customHeight="1" x14ac:dyDescent="0.25">
      <c r="D102" s="610"/>
    </row>
    <row r="103" spans="4:4" ht="15" customHeight="1" x14ac:dyDescent="0.25">
      <c r="D103" s="610"/>
    </row>
    <row r="104" spans="4:4" ht="15" customHeight="1" x14ac:dyDescent="0.25">
      <c r="D104" s="610"/>
    </row>
    <row r="105" spans="4:4" ht="15" customHeight="1" x14ac:dyDescent="0.25">
      <c r="D105" s="610"/>
    </row>
    <row r="106" spans="4:4" x14ac:dyDescent="0.25">
      <c r="D106" s="610"/>
    </row>
    <row r="107" spans="4:4" ht="15" customHeight="1" x14ac:dyDescent="0.25">
      <c r="D107" s="610"/>
    </row>
    <row r="108" spans="4:4" ht="15" customHeight="1" x14ac:dyDescent="0.25">
      <c r="D108" s="610"/>
    </row>
    <row r="109" spans="4:4" ht="15" customHeight="1" x14ac:dyDescent="0.25">
      <c r="D109" s="610"/>
    </row>
    <row r="110" spans="4:4" x14ac:dyDescent="0.25">
      <c r="D110" s="610"/>
    </row>
    <row r="111" spans="4:4" ht="15" customHeight="1" x14ac:dyDescent="0.25">
      <c r="D111" s="610"/>
    </row>
    <row r="112" spans="4:4" x14ac:dyDescent="0.25">
      <c r="D112" s="610"/>
    </row>
    <row r="113" spans="4:4" ht="15" customHeight="1" x14ac:dyDescent="0.25">
      <c r="D113" s="610"/>
    </row>
    <row r="114" spans="4:4" x14ac:dyDescent="0.25">
      <c r="D114" s="610"/>
    </row>
    <row r="115" spans="4:4" ht="15" customHeight="1" x14ac:dyDescent="0.25">
      <c r="D115" s="610"/>
    </row>
    <row r="116" spans="4:4" x14ac:dyDescent="0.25">
      <c r="D116" s="610"/>
    </row>
    <row r="117" spans="4:4" ht="15" customHeight="1" x14ac:dyDescent="0.25">
      <c r="D117" s="610"/>
    </row>
    <row r="118" spans="4:4" x14ac:dyDescent="0.25">
      <c r="D118" s="610"/>
    </row>
    <row r="119" spans="4:4" ht="15" customHeight="1" x14ac:dyDescent="0.25">
      <c r="D119" s="610"/>
    </row>
    <row r="120" spans="4:4" x14ac:dyDescent="0.25">
      <c r="D120" s="610"/>
    </row>
    <row r="121" spans="4:4" ht="14.45" customHeight="1" x14ac:dyDescent="0.25">
      <c r="D121" s="610"/>
    </row>
    <row r="122" spans="4:4" x14ac:dyDescent="0.25">
      <c r="D122" s="610"/>
    </row>
    <row r="123" spans="4:4" ht="15" customHeight="1" x14ac:dyDescent="0.25">
      <c r="D123" s="610"/>
    </row>
    <row r="124" spans="4:4" x14ac:dyDescent="0.25">
      <c r="D124" s="610"/>
    </row>
    <row r="125" spans="4:4" ht="15" customHeight="1" x14ac:dyDescent="0.25">
      <c r="D125" s="610"/>
    </row>
    <row r="126" spans="4:4" x14ac:dyDescent="0.25">
      <c r="D126" s="610"/>
    </row>
    <row r="127" spans="4:4" x14ac:dyDescent="0.25">
      <c r="D127" s="610"/>
    </row>
    <row r="128" spans="4:4" x14ac:dyDescent="0.25">
      <c r="D128" s="610"/>
    </row>
    <row r="129" spans="4:4" ht="15" customHeight="1" x14ac:dyDescent="0.25">
      <c r="D129" s="610"/>
    </row>
    <row r="130" spans="4:4" x14ac:dyDescent="0.25">
      <c r="D130" s="610"/>
    </row>
    <row r="131" spans="4:4" x14ac:dyDescent="0.25">
      <c r="D131" s="610"/>
    </row>
    <row r="132" spans="4:4" x14ac:dyDescent="0.25">
      <c r="D132" s="610"/>
    </row>
    <row r="133" spans="4:4" ht="15" customHeight="1" x14ac:dyDescent="0.25">
      <c r="D133" s="610"/>
    </row>
    <row r="134" spans="4:4" x14ac:dyDescent="0.25">
      <c r="D134" s="610"/>
    </row>
    <row r="135" spans="4:4" x14ac:dyDescent="0.25">
      <c r="D135" s="610"/>
    </row>
    <row r="136" spans="4:4" x14ac:dyDescent="0.25">
      <c r="D136" s="610"/>
    </row>
    <row r="137" spans="4:4" ht="15" customHeight="1" x14ac:dyDescent="0.25">
      <c r="D137" s="610"/>
    </row>
    <row r="138" spans="4:4" x14ac:dyDescent="0.25">
      <c r="D138" s="610"/>
    </row>
    <row r="139" spans="4:4" x14ac:dyDescent="0.25">
      <c r="D139" s="610"/>
    </row>
    <row r="140" spans="4:4" ht="14.45" customHeight="1" x14ac:dyDescent="0.25">
      <c r="D140" s="610"/>
    </row>
    <row r="141" spans="4:4" ht="15" customHeight="1" x14ac:dyDescent="0.25">
      <c r="D141" s="610"/>
    </row>
    <row r="142" spans="4:4" x14ac:dyDescent="0.25">
      <c r="D142" s="610"/>
    </row>
    <row r="143" spans="4:4" x14ac:dyDescent="0.25">
      <c r="D143" s="610"/>
    </row>
    <row r="144" spans="4:4" x14ac:dyDescent="0.25">
      <c r="D144" s="610"/>
    </row>
    <row r="145" spans="4:4" ht="15" customHeight="1" x14ac:dyDescent="0.25">
      <c r="D145" s="610"/>
    </row>
    <row r="146" spans="4:4" x14ac:dyDescent="0.25">
      <c r="D146" s="610"/>
    </row>
    <row r="147" spans="4:4" x14ac:dyDescent="0.25">
      <c r="D147" s="610"/>
    </row>
    <row r="148" spans="4:4" ht="14.45" customHeight="1" x14ac:dyDescent="0.25">
      <c r="D148" s="610"/>
    </row>
    <row r="149" spans="4:4" x14ac:dyDescent="0.25">
      <c r="D149" s="610"/>
    </row>
    <row r="150" spans="4:4" x14ac:dyDescent="0.25">
      <c r="D150" s="610"/>
    </row>
    <row r="151" spans="4:4" x14ac:dyDescent="0.25">
      <c r="D151" s="610"/>
    </row>
    <row r="152" spans="4:4" x14ac:dyDescent="0.25">
      <c r="D152" s="610"/>
    </row>
    <row r="153" spans="4:4" x14ac:dyDescent="0.25">
      <c r="D153" s="610"/>
    </row>
    <row r="154" spans="4:4" x14ac:dyDescent="0.25">
      <c r="D154" s="610"/>
    </row>
    <row r="155" spans="4:4" ht="14.45" customHeight="1" x14ac:dyDescent="0.25">
      <c r="D155" s="610"/>
    </row>
    <row r="156" spans="4:4" x14ac:dyDescent="0.25">
      <c r="D156" s="610"/>
    </row>
    <row r="157" spans="4:4" x14ac:dyDescent="0.25">
      <c r="D157" s="610"/>
    </row>
    <row r="158" spans="4:4" x14ac:dyDescent="0.25">
      <c r="D158" s="610"/>
    </row>
    <row r="159" spans="4:4" x14ac:dyDescent="0.25">
      <c r="D159" s="610"/>
    </row>
    <row r="160" spans="4:4" x14ac:dyDescent="0.25">
      <c r="D160" s="610"/>
    </row>
    <row r="161" spans="4:4" ht="14.45" customHeight="1" x14ac:dyDescent="0.25">
      <c r="D161" s="610"/>
    </row>
    <row r="162" spans="4:4" x14ac:dyDescent="0.25">
      <c r="D162" s="610"/>
    </row>
    <row r="163" spans="4:4" x14ac:dyDescent="0.25">
      <c r="D163" s="610"/>
    </row>
    <row r="164" spans="4:4" x14ac:dyDescent="0.25">
      <c r="D164" s="610"/>
    </row>
    <row r="165" spans="4:4" ht="14.45" customHeight="1" x14ac:dyDescent="0.25">
      <c r="D165" s="610"/>
    </row>
    <row r="166" spans="4:4" x14ac:dyDescent="0.25">
      <c r="D166" s="610"/>
    </row>
    <row r="167" spans="4:4" x14ac:dyDescent="0.25">
      <c r="D167" s="610"/>
    </row>
    <row r="168" spans="4:4" x14ac:dyDescent="0.25">
      <c r="D168" s="610"/>
    </row>
    <row r="169" spans="4:4" ht="14.45" customHeight="1" x14ac:dyDescent="0.25">
      <c r="D169" s="610"/>
    </row>
    <row r="170" spans="4:4" x14ac:dyDescent="0.25">
      <c r="D170" s="610"/>
    </row>
    <row r="171" spans="4:4" x14ac:dyDescent="0.25">
      <c r="D171" s="610"/>
    </row>
    <row r="172" spans="4:4" x14ac:dyDescent="0.25">
      <c r="D172" s="610"/>
    </row>
    <row r="173" spans="4:4" ht="14.45" customHeight="1" x14ac:dyDescent="0.25">
      <c r="D173" s="610"/>
    </row>
    <row r="174" spans="4:4" x14ac:dyDescent="0.25">
      <c r="D174" s="610"/>
    </row>
    <row r="175" spans="4:4" x14ac:dyDescent="0.25">
      <c r="D175" s="610"/>
    </row>
    <row r="176" spans="4:4" x14ac:dyDescent="0.25">
      <c r="D176" s="610"/>
    </row>
    <row r="177" spans="4:4" ht="14.45" customHeight="1" x14ac:dyDescent="0.25">
      <c r="D177" s="610"/>
    </row>
    <row r="178" spans="4:4" x14ac:dyDescent="0.25">
      <c r="D178" s="610"/>
    </row>
    <row r="179" spans="4:4" x14ac:dyDescent="0.25">
      <c r="D179" s="610"/>
    </row>
    <row r="180" spans="4:4" x14ac:dyDescent="0.25">
      <c r="D180" s="610"/>
    </row>
    <row r="181" spans="4:4" ht="14.45" customHeight="1" x14ac:dyDescent="0.25">
      <c r="D181" s="610"/>
    </row>
    <row r="182" spans="4:4" x14ac:dyDescent="0.25">
      <c r="D182" s="610"/>
    </row>
    <row r="183" spans="4:4" x14ac:dyDescent="0.25">
      <c r="D183" s="610"/>
    </row>
    <row r="184" spans="4:4" x14ac:dyDescent="0.25">
      <c r="D184" s="610"/>
    </row>
    <row r="185" spans="4:4" ht="14.45" customHeight="1" x14ac:dyDescent="0.25">
      <c r="D185" s="610"/>
    </row>
    <row r="186" spans="4:4" x14ac:dyDescent="0.25">
      <c r="D186" s="610"/>
    </row>
    <row r="187" spans="4:4" x14ac:dyDescent="0.25">
      <c r="D187" s="610"/>
    </row>
    <row r="188" spans="4:4" x14ac:dyDescent="0.25">
      <c r="D188" s="610"/>
    </row>
    <row r="189" spans="4:4" ht="14.45" customHeight="1" x14ac:dyDescent="0.25">
      <c r="D189" s="610"/>
    </row>
    <row r="190" spans="4:4" x14ac:dyDescent="0.25">
      <c r="D190" s="610"/>
    </row>
    <row r="191" spans="4:4" x14ac:dyDescent="0.25">
      <c r="D191" s="610"/>
    </row>
    <row r="192" spans="4:4" x14ac:dyDescent="0.25">
      <c r="D192" s="610"/>
    </row>
    <row r="193" spans="4:4" ht="14.45" customHeight="1" x14ac:dyDescent="0.25">
      <c r="D193" s="610"/>
    </row>
    <row r="194" spans="4:4" x14ac:dyDescent="0.25">
      <c r="D194" s="610"/>
    </row>
    <row r="195" spans="4:4" x14ac:dyDescent="0.25">
      <c r="D195" s="610"/>
    </row>
    <row r="196" spans="4:4" x14ac:dyDescent="0.25">
      <c r="D196" s="610"/>
    </row>
    <row r="197" spans="4:4" ht="14.45" customHeight="1" x14ac:dyDescent="0.25">
      <c r="D197" s="610"/>
    </row>
    <row r="198" spans="4:4" x14ac:dyDescent="0.25">
      <c r="D198" s="610"/>
    </row>
    <row r="199" spans="4:4" x14ac:dyDescent="0.25">
      <c r="D199" s="610"/>
    </row>
    <row r="200" spans="4:4" ht="14.45" customHeight="1" x14ac:dyDescent="0.25">
      <c r="D200" s="610"/>
    </row>
    <row r="201" spans="4:4" x14ac:dyDescent="0.25">
      <c r="D201" s="610"/>
    </row>
    <row r="202" spans="4:4" x14ac:dyDescent="0.25">
      <c r="D202" s="610"/>
    </row>
    <row r="203" spans="4:4" x14ac:dyDescent="0.25">
      <c r="D203" s="610"/>
    </row>
    <row r="204" spans="4:4" x14ac:dyDescent="0.25">
      <c r="D204" s="610"/>
    </row>
    <row r="205" spans="4:4" x14ac:dyDescent="0.25">
      <c r="D205" s="610"/>
    </row>
    <row r="206" spans="4:4" x14ac:dyDescent="0.25">
      <c r="D206" s="610"/>
    </row>
    <row r="207" spans="4:4" x14ac:dyDescent="0.25">
      <c r="D207" s="610"/>
    </row>
  </sheetData>
  <mergeCells count="1">
    <mergeCell ref="D3:D6"/>
  </mergeCells>
  <dataValidations count="3">
    <dataValidation type="list" allowBlank="1" showInputMessage="1" showErrorMessage="1" sqref="C1" xr:uid="{00000000-0002-0000-2D00-000000000000}">
      <formula1>Áreas</formula1>
    </dataValidation>
    <dataValidation type="list" allowBlank="1" showInputMessage="1" showErrorMessage="1" sqref="C2:C816" xr:uid="{00000000-0002-0000-2D00-000001000000}">
      <formula1>"Horas-docente,Num docentes"</formula1>
    </dataValidation>
    <dataValidation type="list" allowBlank="1" showInputMessage="1" showErrorMessage="1" sqref="D1" xr:uid="{00000000-0002-0000-2D00-000002000000}">
      <formula1>"Integral,Matutino,Vespertino,Noturno,Todos os turnos"</formula1>
    </dataValidation>
  </dataValidations>
  <pageMargins left="0.511811024" right="0.511811024" top="0.78740157499999996" bottom="0.78740157499999996" header="0.31496062000000002" footer="0.3149606200000000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Planilha10"/>
  <dimension ref="A1:AW207"/>
  <sheetViews>
    <sheetView workbookViewId="0">
      <pane xSplit="5" ySplit="2" topLeftCell="I31" activePane="bottomRight" state="frozen"/>
      <selection activeCell="E33" sqref="E33"/>
      <selection pane="topRight" activeCell="E33" sqref="E33"/>
      <selection pane="bottomLeft" activeCell="E33" sqref="E33"/>
      <selection pane="bottomRight" activeCell="C1" sqref="C1"/>
    </sheetView>
  </sheetViews>
  <sheetFormatPr defaultColWidth="9.140625" defaultRowHeight="15" x14ac:dyDescent="0.25"/>
  <cols>
    <col min="1" max="1" width="9.140625" style="609"/>
    <col min="2" max="2" width="7.140625" style="609" customWidth="1"/>
    <col min="3" max="3" width="13.5703125" style="609" customWidth="1"/>
    <col min="4" max="4" width="25.7109375" style="609" customWidth="1"/>
    <col min="5" max="5" width="12.7109375" style="609" customWidth="1"/>
    <col min="6" max="47" width="4.85546875" style="609" customWidth="1"/>
    <col min="48" max="16384" width="9.140625" style="609"/>
  </cols>
  <sheetData>
    <row r="1" spans="1:49" s="605" customFormat="1" x14ac:dyDescent="0.25">
      <c r="A1" s="605" t="s">
        <v>473</v>
      </c>
      <c r="C1" s="605" t="s">
        <v>575</v>
      </c>
      <c r="D1" s="605" t="s">
        <v>446</v>
      </c>
      <c r="F1" s="605">
        <v>2011</v>
      </c>
      <c r="H1" s="605">
        <f>F1+1</f>
        <v>2012</v>
      </c>
      <c r="J1" s="605">
        <f>H1+1</f>
        <v>2013</v>
      </c>
      <c r="L1" s="605">
        <f>J1+1</f>
        <v>2014</v>
      </c>
      <c r="N1" s="605">
        <f>L1+1</f>
        <v>2015</v>
      </c>
      <c r="P1" s="605">
        <f>N1+1</f>
        <v>2016</v>
      </c>
      <c r="R1" s="605">
        <f>P1+1</f>
        <v>2017</v>
      </c>
      <c r="T1" s="605">
        <f>R1+1</f>
        <v>2018</v>
      </c>
      <c r="V1" s="605">
        <f>T1+1</f>
        <v>2019</v>
      </c>
      <c r="X1" s="605">
        <f>V1+1</f>
        <v>2020</v>
      </c>
      <c r="Z1" s="605">
        <f>X1+1</f>
        <v>2021</v>
      </c>
      <c r="AB1" s="605">
        <f>Z1+1</f>
        <v>2022</v>
      </c>
      <c r="AD1" s="605">
        <f>AB1+1</f>
        <v>2023</v>
      </c>
      <c r="AF1" s="605">
        <f>AD1+1</f>
        <v>2024</v>
      </c>
      <c r="AH1" s="605">
        <f>AF1+1</f>
        <v>2025</v>
      </c>
      <c r="AJ1" s="605">
        <f>AH1+1</f>
        <v>2026</v>
      </c>
      <c r="AL1" s="605">
        <f>AJ1+1</f>
        <v>2027</v>
      </c>
      <c r="AN1" s="605">
        <f>AL1+1</f>
        <v>2028</v>
      </c>
      <c r="AP1" s="605">
        <f>AN1+1</f>
        <v>2029</v>
      </c>
      <c r="AR1" s="605">
        <f>AP1+1</f>
        <v>2030</v>
      </c>
    </row>
    <row r="2" spans="1:49" ht="15.75" thickBot="1" x14ac:dyDescent="0.3">
      <c r="D2" s="609" t="s">
        <v>474</v>
      </c>
      <c r="E2" s="609" t="s">
        <v>479</v>
      </c>
      <c r="F2" s="609">
        <v>1</v>
      </c>
      <c r="G2" s="609">
        <v>2</v>
      </c>
      <c r="H2" s="609">
        <f>F2</f>
        <v>1</v>
      </c>
      <c r="I2" s="609">
        <f t="shared" ref="I2:AR2" si="0">G2</f>
        <v>2</v>
      </c>
      <c r="J2" s="609">
        <f t="shared" si="0"/>
        <v>1</v>
      </c>
      <c r="K2" s="609">
        <f t="shared" si="0"/>
        <v>2</v>
      </c>
      <c r="L2" s="609">
        <f t="shared" si="0"/>
        <v>1</v>
      </c>
      <c r="M2" s="609">
        <f t="shared" si="0"/>
        <v>2</v>
      </c>
      <c r="N2" s="609">
        <f t="shared" si="0"/>
        <v>1</v>
      </c>
      <c r="O2" s="609">
        <f t="shared" si="0"/>
        <v>2</v>
      </c>
      <c r="P2" s="609">
        <f t="shared" si="0"/>
        <v>1</v>
      </c>
      <c r="Q2" s="609">
        <f t="shared" si="0"/>
        <v>2</v>
      </c>
      <c r="R2" s="609">
        <f t="shared" si="0"/>
        <v>1</v>
      </c>
      <c r="S2" s="609">
        <f t="shared" si="0"/>
        <v>2</v>
      </c>
      <c r="T2" s="609">
        <f t="shared" si="0"/>
        <v>1</v>
      </c>
      <c r="U2" s="609">
        <f t="shared" si="0"/>
        <v>2</v>
      </c>
      <c r="V2" s="609">
        <f t="shared" si="0"/>
        <v>1</v>
      </c>
      <c r="W2" s="609">
        <f t="shared" si="0"/>
        <v>2</v>
      </c>
      <c r="X2" s="609">
        <f t="shared" si="0"/>
        <v>1</v>
      </c>
      <c r="Y2" s="609">
        <f t="shared" si="0"/>
        <v>2</v>
      </c>
      <c r="Z2" s="609">
        <f t="shared" si="0"/>
        <v>1</v>
      </c>
      <c r="AA2" s="609">
        <f t="shared" si="0"/>
        <v>2</v>
      </c>
      <c r="AB2" s="609">
        <f t="shared" si="0"/>
        <v>1</v>
      </c>
      <c r="AC2" s="609">
        <f t="shared" si="0"/>
        <v>2</v>
      </c>
      <c r="AD2" s="609">
        <f t="shared" si="0"/>
        <v>1</v>
      </c>
      <c r="AE2" s="609">
        <f t="shared" si="0"/>
        <v>2</v>
      </c>
      <c r="AF2" s="609">
        <f t="shared" si="0"/>
        <v>1</v>
      </c>
      <c r="AG2" s="609">
        <f t="shared" si="0"/>
        <v>2</v>
      </c>
      <c r="AH2" s="609">
        <f t="shared" si="0"/>
        <v>1</v>
      </c>
      <c r="AI2" s="609">
        <f t="shared" si="0"/>
        <v>2</v>
      </c>
      <c r="AJ2" s="609">
        <f t="shared" si="0"/>
        <v>1</v>
      </c>
      <c r="AK2" s="609">
        <f t="shared" si="0"/>
        <v>2</v>
      </c>
      <c r="AL2" s="609">
        <f t="shared" si="0"/>
        <v>1</v>
      </c>
      <c r="AM2" s="609">
        <f t="shared" si="0"/>
        <v>2</v>
      </c>
      <c r="AN2" s="609">
        <f t="shared" si="0"/>
        <v>1</v>
      </c>
      <c r="AO2" s="609">
        <f t="shared" si="0"/>
        <v>2</v>
      </c>
      <c r="AP2" s="609">
        <f t="shared" si="0"/>
        <v>1</v>
      </c>
      <c r="AQ2" s="609">
        <f t="shared" si="0"/>
        <v>2</v>
      </c>
      <c r="AR2" s="609">
        <f t="shared" si="0"/>
        <v>1</v>
      </c>
      <c r="AS2" s="609">
        <f>AQ2</f>
        <v>2</v>
      </c>
    </row>
    <row r="3" spans="1:49" ht="15" customHeight="1" thickTop="1" x14ac:dyDescent="0.25">
      <c r="D3" s="619" t="s">
        <v>574</v>
      </c>
      <c r="E3" s="613" t="s">
        <v>51</v>
      </c>
      <c r="F3" s="613" t="str">
        <f>IFERROR(IF(AND('Progressão temporal das turmas'!C3="x",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G3" s="613" t="str">
        <f>IFERROR(IF(AND('Progressão temporal das turmas'!D3="x",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H3" s="613" t="str">
        <f>IFERROR(IF(AND('Progressão temporal das turmas'!E3="x",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I3" s="613" t="str">
        <f>IFERROR(IF(AND('Progressão temporal das turmas'!F3="x",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J3" s="613" t="str">
        <f>IFERROR(IF(AND('Progressão temporal das turmas'!G3="x",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K3" s="613" t="str">
        <f>IFERROR(IF(AND('Progressão temporal das turmas'!H3="x",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L3" s="613" t="str">
        <f>IFERROR(IF(AND('Progressão temporal das turmas'!I3="x",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M3" s="613" t="str">
        <f>IFERROR(IF(AND('Progressão temporal das turmas'!J3="x",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N3" s="613" t="str">
        <f>IFERROR(IF(AND('Progressão temporal das turmas'!K3="x",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O3" s="613" t="str">
        <f>IFERROR(IF(AND('Progressão temporal das turmas'!L3="x",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P3" s="613" t="str">
        <f>IFERROR(IF(AND('Progressão temporal das turmas'!M3="x",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Q3" s="613" t="str">
        <f>IFERROR(IF(AND('Progressão temporal das turmas'!N3="x",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R3" s="613" t="str">
        <f>IFERROR(IF(AND('Progressão temporal das turmas'!O3="x",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S3" s="613" t="str">
        <f>IFERROR(IF(AND('Progressão temporal das turmas'!P3="x",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T3" s="613" t="str">
        <f>IFERROR(IF(AND('Progressão temporal das turmas'!Q3="x",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U3" s="613" t="str">
        <f>IFERROR(IF(AND('Progressão temporal das turmas'!R3="x",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V3" s="613" t="str">
        <f>IFERROR(IF(AND('Progressão temporal das turmas'!S3="x",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W3" s="613" t="str">
        <f>IFERROR(IF(AND('Progressão temporal das turmas'!T3="x",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X3" s="613" t="str">
        <f>IFERROR(IF(AND('Progressão temporal das turmas'!U3="x",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Y3" s="613" t="str">
        <f>IFERROR(IF(AND('Progressão temporal das turmas'!V3="x",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Z3" s="613" t="str">
        <f>IFERROR(IF(AND('Progressão temporal das turmas'!W3="x",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A3" s="613" t="str">
        <f>IFERROR(IF(AND('Progressão temporal das turmas'!X3="x",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B3" s="613" t="str">
        <f>IFERROR(IF(AND('Progressão temporal das turmas'!Y3="x",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C3" s="613" t="str">
        <f>IFERROR(IF(AND('Progressão temporal das turmas'!Z3="x",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D3" s="613" t="str">
        <f>IFERROR(IF(AND('Progressão temporal das turmas'!AA3="x",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E3" s="613" t="str">
        <f>IFERROR(IF(AND('Progressão temporal das turmas'!AB3="x",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F3" s="613" t="str">
        <f>IFERROR(IF(AND('Progressão temporal das turmas'!AC3="x",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G3" s="613" t="str">
        <f>IFERROR(IF(AND('Progressão temporal das turmas'!AD3="x",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H3" s="613" t="str">
        <f>IFERROR(IF(AND('Progressão temporal das turmas'!AE3="x",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I3" s="613" t="str">
        <f>IFERROR(IF(AND('Progressão temporal das turmas'!AF3="x",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J3" s="613" t="str">
        <f>IFERROR(IF(AND('Progressão temporal das turmas'!AG3="x",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K3" s="613" t="str">
        <f>IFERROR(IF(AND('Progressão temporal das turmas'!AH3="x",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L3" s="613" t="str">
        <f>IFERROR(IF(AND('Progressão temporal das turmas'!AI3="x",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M3" s="613" t="str">
        <f>IFERROR(IF(AND('Progressão temporal das turmas'!AJ3="x",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N3" s="613" t="str">
        <f>IFERROR(IF(AND('Progressão temporal das turmas'!AK3="x",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O3" s="613" t="str">
        <f>IFERROR(IF(AND('Progressão temporal das turmas'!AL3="x",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P3" s="613" t="str">
        <f>IFERROR(IF(AND('Progressão temporal das turmas'!AM3="x",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Q3" s="613" t="str">
        <f>IFERROR(IF(AND('Progressão temporal das turmas'!AN3="x",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R3" s="613" t="str">
        <f>IFERROR(IF(AND('Progressão temporal das turmas'!AO3="x", OR('Alocação de ambientes'!$D$1="Noturno",'Alocação de ambientes'!$D$1="Todos os turnos")),GETPIVOTDATA("Aula-docente semanal",'Tabela geral'!$A$3,"Curso","Técnico Concomitante em Fabricação Mecânica (novo - anual)","Período",$E3,"Ambiente",'Alocação de ambientes'!$C$1), "")/IF($C$2="Num docentes",$C$3,1),"")</f>
        <v/>
      </c>
      <c r="AS3" s="613"/>
      <c r="AT3" s="613"/>
      <c r="AU3" s="614"/>
    </row>
    <row r="4" spans="1:49" x14ac:dyDescent="0.25">
      <c r="A4" s="611"/>
      <c r="D4" s="620"/>
      <c r="E4" s="615" t="s">
        <v>67</v>
      </c>
      <c r="F4" s="615" t="str">
        <f>IFERROR(IF(AND('Progressão temporal das turmas'!C4="x",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G4" s="615" t="str">
        <f>IFERROR(IF(AND('Progressão temporal das turmas'!D4="x",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H4" s="615" t="str">
        <f>IFERROR(IF(AND('Progressão temporal das turmas'!E4="x",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I4" s="615" t="str">
        <f>IFERROR(IF(AND('Progressão temporal das turmas'!F4="x",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J4" s="615" t="str">
        <f>IFERROR(IF(AND('Progressão temporal das turmas'!G4="x",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K4" s="615" t="str">
        <f>IFERROR(IF(AND('Progressão temporal das turmas'!H4="x",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L4" s="615" t="str">
        <f>IFERROR(IF(AND('Progressão temporal das turmas'!I4="x",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M4" s="615" t="str">
        <f>IFERROR(IF(AND('Progressão temporal das turmas'!J4="x",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N4" s="615" t="str">
        <f>IFERROR(IF(AND('Progressão temporal das turmas'!K4="x",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O4" s="615" t="str">
        <f>IFERROR(IF(AND('Progressão temporal das turmas'!L4="x",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P4" s="615" t="str">
        <f>IFERROR(IF(AND('Progressão temporal das turmas'!M4="x",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Q4" s="615" t="str">
        <f>IFERROR(IF(AND('Progressão temporal das turmas'!N4="x",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R4" s="615" t="str">
        <f>IFERROR(IF(AND('Progressão temporal das turmas'!O4="x",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S4" s="615" t="str">
        <f>IFERROR(IF(AND('Progressão temporal das turmas'!P4="x",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T4" s="615" t="str">
        <f>IFERROR(IF(AND('Progressão temporal das turmas'!Q4="x",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U4" s="615" t="str">
        <f>IFERROR(IF(AND('Progressão temporal das turmas'!R4="x",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V4" s="615" t="str">
        <f>IFERROR(IF(AND('Progressão temporal das turmas'!S4="x",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W4" s="615" t="str">
        <f>IFERROR(IF(AND('Progressão temporal das turmas'!T4="x",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X4" s="615" t="str">
        <f>IFERROR(IF(AND('Progressão temporal das turmas'!U4="x",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Y4" s="615" t="str">
        <f>IFERROR(IF(AND('Progressão temporal das turmas'!V4="x",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Z4" s="615" t="str">
        <f>IFERROR(IF(AND('Progressão temporal das turmas'!W4="x",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A4" s="615" t="str">
        <f>IFERROR(IF(AND('Progressão temporal das turmas'!X4="x",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B4" s="615" t="str">
        <f>IFERROR(IF(AND('Progressão temporal das turmas'!Y4="x",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C4" s="615" t="str">
        <f>IFERROR(IF(AND('Progressão temporal das turmas'!Z4="x",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D4" s="615" t="str">
        <f>IFERROR(IF(AND('Progressão temporal das turmas'!AA4="x",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E4" s="615" t="str">
        <f>IFERROR(IF(AND('Progressão temporal das turmas'!AB4="x",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F4" s="615" t="str">
        <f>IFERROR(IF(AND('Progressão temporal das turmas'!AC4="x",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G4" s="615" t="str">
        <f>IFERROR(IF(AND('Progressão temporal das turmas'!AD4="x",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H4" s="615" t="str">
        <f>IFERROR(IF(AND('Progressão temporal das turmas'!AE4="x",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I4" s="615" t="str">
        <f>IFERROR(IF(AND('Progressão temporal das turmas'!AF4="x",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J4" s="615" t="str">
        <f>IFERROR(IF(AND('Progressão temporal das turmas'!AG4="x",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K4" s="615" t="str">
        <f>IFERROR(IF(AND('Progressão temporal das turmas'!AH4="x",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L4" s="615" t="str">
        <f>IFERROR(IF(AND('Progressão temporal das turmas'!AI4="x",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M4" s="615" t="str">
        <f>IFERROR(IF(AND('Progressão temporal das turmas'!AJ4="x",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N4" s="615" t="str">
        <f>IFERROR(IF(AND('Progressão temporal das turmas'!AK4="x",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O4" s="615" t="str">
        <f>IFERROR(IF(AND('Progressão temporal das turmas'!AL4="x",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P4" s="615" t="str">
        <f>IFERROR(IF(AND('Progressão temporal das turmas'!AM4="x",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Q4" s="615" t="str">
        <f>IFERROR(IF(AND('Progressão temporal das turmas'!AN4="x",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R4" s="615" t="str">
        <f>IFERROR(IF(AND('Progressão temporal das turmas'!AO4="x", OR('Alocação de ambientes'!$D$1="Noturno",'Alocação de ambientes'!$D$1="Todos os turnos")),GETPIVOTDATA("Aula-docente semanal",'Tabela geral'!$A$3,"Curso","Técnico Concomitante em Fabricação Mecânica (novo - anual)","Período",$E4,"Ambiente",'Alocação de ambientes'!$C$1), "")/IF($C$2="Num docentes",$C$3,1),"")</f>
        <v/>
      </c>
      <c r="AS4" s="615"/>
      <c r="AT4" s="615"/>
      <c r="AU4" s="616"/>
    </row>
    <row r="5" spans="1:49" ht="14.45" customHeight="1" x14ac:dyDescent="0.25">
      <c r="A5" s="611"/>
      <c r="D5" s="620"/>
      <c r="E5" s="615" t="s">
        <v>85</v>
      </c>
      <c r="F5" s="615" t="str">
        <f>IFERROR(IF(AND('Progressão temporal das turmas'!C5="x",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G5" s="615" t="str">
        <f>IFERROR(IF(AND('Progressão temporal das turmas'!D5="x",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H5" s="615" t="str">
        <f>IFERROR(IF(AND('Progressão temporal das turmas'!E5="x",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I5" s="615" t="str">
        <f>IFERROR(IF(AND('Progressão temporal das turmas'!F5="x",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J5" s="615" t="str">
        <f>IFERROR(IF(AND('Progressão temporal das turmas'!G5="x",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K5" s="615" t="str">
        <f>IFERROR(IF(AND('Progressão temporal das turmas'!H5="x",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L5" s="615" t="str">
        <f>IFERROR(IF(AND('Progressão temporal das turmas'!I5="x",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M5" s="615" t="str">
        <f>IFERROR(IF(AND('Progressão temporal das turmas'!J5="x",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N5" s="615" t="str">
        <f>IFERROR(IF(AND('Progressão temporal das turmas'!K5="x",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O5" s="615" t="str">
        <f>IFERROR(IF(AND('Progressão temporal das turmas'!L5="x",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P5" s="615" t="str">
        <f>IFERROR(IF(AND('Progressão temporal das turmas'!M5="x",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Q5" s="615" t="str">
        <f>IFERROR(IF(AND('Progressão temporal das turmas'!N5="x",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R5" s="615" t="str">
        <f>IFERROR(IF(AND('Progressão temporal das turmas'!O5="x",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S5" s="615" t="str">
        <f>IFERROR(IF(AND('Progressão temporal das turmas'!P5="x",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T5" s="615" t="str">
        <f>IFERROR(IF(AND('Progressão temporal das turmas'!Q5="x",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U5" s="615" t="str">
        <f>IFERROR(IF(AND('Progressão temporal das turmas'!R5="x",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V5" s="615" t="str">
        <f>IFERROR(IF(AND('Progressão temporal das turmas'!S5="x",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W5" s="615" t="str">
        <f>IFERROR(IF(AND('Progressão temporal das turmas'!T5="x",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X5" s="615" t="str">
        <f>IFERROR(IF(AND('Progressão temporal das turmas'!U5="x",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Y5" s="615" t="str">
        <f>IFERROR(IF(AND('Progressão temporal das turmas'!V5="x",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Z5" s="615" t="str">
        <f>IFERROR(IF(AND('Progressão temporal das turmas'!W5="x",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A5" s="615" t="str">
        <f>IFERROR(IF(AND('Progressão temporal das turmas'!X5="x",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B5" s="615" t="str">
        <f>IFERROR(IF(AND('Progressão temporal das turmas'!Y5="x",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C5" s="615" t="str">
        <f>IFERROR(IF(AND('Progressão temporal das turmas'!Z5="x",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D5" s="615" t="str">
        <f>IFERROR(IF(AND('Progressão temporal das turmas'!AA5="x",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E5" s="615" t="str">
        <f>IFERROR(IF(AND('Progressão temporal das turmas'!AB5="x",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F5" s="615" t="str">
        <f>IFERROR(IF(AND('Progressão temporal das turmas'!AC5="x",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G5" s="615" t="str">
        <f>IFERROR(IF(AND('Progressão temporal das turmas'!AD5="x",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H5" s="615" t="str">
        <f>IFERROR(IF(AND('Progressão temporal das turmas'!AE5="x",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I5" s="615" t="str">
        <f>IFERROR(IF(AND('Progressão temporal das turmas'!AF5="x",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J5" s="615" t="str">
        <f>IFERROR(IF(AND('Progressão temporal das turmas'!AG5="x",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K5" s="615" t="str">
        <f>IFERROR(IF(AND('Progressão temporal das turmas'!AH5="x",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L5" s="615" t="str">
        <f>IFERROR(IF(AND('Progressão temporal das turmas'!AI5="x",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M5" s="615" t="str">
        <f>IFERROR(IF(AND('Progressão temporal das turmas'!AJ5="x",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N5" s="615" t="str">
        <f>IFERROR(IF(AND('Progressão temporal das turmas'!AK5="x",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O5" s="615" t="str">
        <f>IFERROR(IF(AND('Progressão temporal das turmas'!AL5="x",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P5" s="615" t="str">
        <f>IFERROR(IF(AND('Progressão temporal das turmas'!AM5="x",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Q5" s="615" t="str">
        <f>IFERROR(IF(AND('Progressão temporal das turmas'!AN5="x",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R5" s="615" t="str">
        <f>IFERROR(IF(AND('Progressão temporal das turmas'!AO5="x", OR('Alocação de ambientes'!$D$1="Noturno",'Alocação de ambientes'!$D$1="Todos os turnos")),GETPIVOTDATA("Aula-docente semanal",'Tabela geral'!$A$3,"Curso","Técnico Concomitante em Fabricação Mecânica (novo - anual)","Período",$E5,"Ambiente",'Alocação de ambientes'!$C$1), "")/IF($C$2="Num docentes",$C$3,1),"")</f>
        <v/>
      </c>
      <c r="AS5" s="615"/>
      <c r="AT5" s="615"/>
      <c r="AU5" s="616"/>
    </row>
    <row r="6" spans="1:49" ht="15" customHeight="1" thickBot="1" x14ac:dyDescent="0.3">
      <c r="A6" s="611"/>
      <c r="D6" s="621"/>
      <c r="E6" s="617" t="s">
        <v>99</v>
      </c>
      <c r="F6" s="617" t="str">
        <f>IFERROR(IF(AND('Progressão temporal das turmas'!C6="x",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G6" s="617" t="str">
        <f>IFERROR(IF(AND('Progressão temporal das turmas'!D6="x",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H6" s="617" t="str">
        <f>IFERROR(IF(AND('Progressão temporal das turmas'!E6="x",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I6" s="617" t="str">
        <f>IFERROR(IF(AND('Progressão temporal das turmas'!F6="x",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J6" s="617" t="str">
        <f>IFERROR(IF(AND('Progressão temporal das turmas'!G6="x",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K6" s="617" t="str">
        <f>IFERROR(IF(AND('Progressão temporal das turmas'!H6="x",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L6" s="617" t="str">
        <f>IFERROR(IF(AND('Progressão temporal das turmas'!I6="x",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M6" s="617" t="str">
        <f>IFERROR(IF(AND('Progressão temporal das turmas'!J6="x",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N6" s="617" t="str">
        <f>IFERROR(IF(AND('Progressão temporal das turmas'!K6="x",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O6" s="617" t="str">
        <f>IFERROR(IF(AND('Progressão temporal das turmas'!L6="x",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P6" s="617" t="str">
        <f>IFERROR(IF(AND('Progressão temporal das turmas'!M6="x",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Q6" s="617" t="str">
        <f>IFERROR(IF(AND('Progressão temporal das turmas'!N6="x",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R6" s="617" t="str">
        <f>IFERROR(IF(AND('Progressão temporal das turmas'!O6="x",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S6" s="617" t="str">
        <f>IFERROR(IF(AND('Progressão temporal das turmas'!P6="x",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T6" s="617" t="str">
        <f>IFERROR(IF(AND('Progressão temporal das turmas'!Q6="x",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U6" s="617" t="str">
        <f>IFERROR(IF(AND('Progressão temporal das turmas'!R6="x",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V6" s="617" t="str">
        <f>IFERROR(IF(AND('Progressão temporal das turmas'!S6="x",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W6" s="617" t="str">
        <f>IFERROR(IF(AND('Progressão temporal das turmas'!T6="x",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X6" s="617" t="str">
        <f>IFERROR(IF(AND('Progressão temporal das turmas'!U6="x",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Y6" s="617" t="str">
        <f>IFERROR(IF(AND('Progressão temporal das turmas'!V6="x",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Z6" s="617" t="str">
        <f>IFERROR(IF(AND('Progressão temporal das turmas'!W6="x",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A6" s="617" t="str">
        <f>IFERROR(IF(AND('Progressão temporal das turmas'!X6="x",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B6" s="617" t="str">
        <f>IFERROR(IF(AND('Progressão temporal das turmas'!Y6="x",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C6" s="617" t="str">
        <f>IFERROR(IF(AND('Progressão temporal das turmas'!Z6="x",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D6" s="617" t="str">
        <f>IFERROR(IF(AND('Progressão temporal das turmas'!AA6="x",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E6" s="617" t="str">
        <f>IFERROR(IF(AND('Progressão temporal das turmas'!AB6="x",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F6" s="617" t="str">
        <f>IFERROR(IF(AND('Progressão temporal das turmas'!AC6="x",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G6" s="617" t="str">
        <f>IFERROR(IF(AND('Progressão temporal das turmas'!AD6="x",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H6" s="617" t="str">
        <f>IFERROR(IF(AND('Progressão temporal das turmas'!AE6="x",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I6" s="617" t="str">
        <f>IFERROR(IF(AND('Progressão temporal das turmas'!AF6="x",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J6" s="617" t="str">
        <f>IFERROR(IF(AND('Progressão temporal das turmas'!AG6="x",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K6" s="617" t="str">
        <f>IFERROR(IF(AND('Progressão temporal das turmas'!AH6="x",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L6" s="617" t="str">
        <f>IFERROR(IF(AND('Progressão temporal das turmas'!AI6="x",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M6" s="617" t="str">
        <f>IFERROR(IF(AND('Progressão temporal das turmas'!AJ6="x",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N6" s="617" t="str">
        <f>IFERROR(IF(AND('Progressão temporal das turmas'!AK6="x",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O6" s="617" t="str">
        <f>IFERROR(IF(AND('Progressão temporal das turmas'!AL6="x",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P6" s="617" t="str">
        <f>IFERROR(IF(AND('Progressão temporal das turmas'!AM6="x",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Q6" s="617" t="str">
        <f>IFERROR(IF(AND('Progressão temporal das turmas'!AN6="x",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R6" s="617" t="str">
        <f>IFERROR(IF(AND('Progressão temporal das turmas'!AO6="x", OR('Alocação de ambientes'!$D$1="Noturno",'Alocação de ambientes'!$D$1="Todos os turnos")),GETPIVOTDATA("Aula-docente semanal",'Tabela geral'!$A$3,"Curso","Técnico Concomitante em Fabricação Mecânica (novo - anual)","Período",$E6,"Ambiente",'Alocação de ambientes'!$C$1), "")/IF($C$2="Num docentes",$C$3,1),"")</f>
        <v/>
      </c>
      <c r="AS6" s="617"/>
      <c r="AT6" s="617"/>
      <c r="AU6" s="618"/>
    </row>
    <row r="7" spans="1:49" ht="15" customHeight="1" thickTop="1" x14ac:dyDescent="0.25">
      <c r="A7" s="611"/>
      <c r="D7" s="610"/>
      <c r="E7" s="605" t="s">
        <v>484</v>
      </c>
      <c r="F7" s="609">
        <f>ROUNDUP(SUM('Alocação de ambientes'!F3:F6),0)</f>
        <v>0</v>
      </c>
      <c r="G7" s="609">
        <f>ROUNDUP(SUM('Alocação de ambientes'!G3:G6),0)</f>
        <v>0</v>
      </c>
      <c r="H7" s="609">
        <f>ROUNDUP(SUM('Alocação de ambientes'!H3:H6),0)</f>
        <v>0</v>
      </c>
      <c r="I7" s="609">
        <f>ROUNDUP(SUM('Alocação de ambientes'!I3:I6),0)</f>
        <v>0</v>
      </c>
      <c r="J7" s="609">
        <f>ROUNDUP(SUM('Alocação de ambientes'!J3:J6),0)</f>
        <v>0</v>
      </c>
      <c r="K7" s="609">
        <f>ROUNDUP(SUM('Alocação de ambientes'!K3:K6),0)</f>
        <v>0</v>
      </c>
      <c r="L7" s="609">
        <f>ROUNDUP(SUM('Alocação de ambientes'!L3:L6),0)</f>
        <v>0</v>
      </c>
      <c r="M7" s="609">
        <f>ROUNDUP(SUM('Alocação de ambientes'!M3:M6),0)</f>
        <v>0</v>
      </c>
      <c r="N7" s="609">
        <f>ROUNDUP(SUM('Alocação de ambientes'!N3:N6),0)</f>
        <v>0</v>
      </c>
      <c r="O7" s="609">
        <f>ROUNDUP(SUM('Alocação de ambientes'!O3:O6),0)</f>
        <v>0</v>
      </c>
      <c r="P7" s="609">
        <f>ROUNDUP(SUM('Alocação de ambientes'!P3:P6),0)</f>
        <v>0</v>
      </c>
      <c r="Q7" s="609">
        <f>ROUNDUP(SUM('Alocação de ambientes'!Q3:Q6),0)</f>
        <v>0</v>
      </c>
      <c r="R7" s="609">
        <f>ROUNDUP(SUM('Alocação de ambientes'!R3:R6),0)</f>
        <v>0</v>
      </c>
      <c r="S7" s="609">
        <f>ROUNDUP(SUM('Alocação de ambientes'!S3:S6),0)</f>
        <v>0</v>
      </c>
      <c r="T7" s="609">
        <f>ROUNDUP(SUM('Alocação de ambientes'!T3:T6),0)</f>
        <v>0</v>
      </c>
      <c r="U7" s="609">
        <f>ROUNDUP(SUM('Alocação de ambientes'!U3:U6),0)</f>
        <v>0</v>
      </c>
      <c r="V7" s="609">
        <f>ROUNDUP(SUM('Alocação de ambientes'!V3:V6),0)</f>
        <v>0</v>
      </c>
      <c r="W7" s="609">
        <f>ROUNDUP(SUM('Alocação de ambientes'!W3:W6),0)</f>
        <v>0</v>
      </c>
      <c r="X7" s="609">
        <f>ROUNDUP(SUM('Alocação de ambientes'!X3:X6),0)</f>
        <v>0</v>
      </c>
      <c r="Y7" s="609">
        <f>ROUNDUP(SUM('Alocação de ambientes'!Y3:Y6),0)</f>
        <v>0</v>
      </c>
      <c r="Z7" s="609">
        <f>ROUNDUP(SUM('Alocação de ambientes'!Z3:Z6),0)</f>
        <v>0</v>
      </c>
      <c r="AA7" s="609">
        <f>ROUNDUP(SUM('Alocação de ambientes'!AA3:AA6),0)</f>
        <v>0</v>
      </c>
      <c r="AB7" s="609">
        <f>ROUNDUP(SUM('Alocação de ambientes'!AB3:AB6),0)</f>
        <v>0</v>
      </c>
      <c r="AC7" s="609">
        <f>ROUNDUP(SUM('Alocação de ambientes'!AC3:AC6),0)</f>
        <v>0</v>
      </c>
      <c r="AD7" s="609">
        <f>ROUNDUP(SUM('Alocação de ambientes'!AD3:AD6),0)</f>
        <v>0</v>
      </c>
      <c r="AE7" s="609">
        <f>ROUNDUP(SUM('Alocação de ambientes'!AE3:AE6),0)</f>
        <v>0</v>
      </c>
      <c r="AF7" s="609">
        <f>ROUNDUP(SUM('Alocação de ambientes'!AF3:AF6),0)</f>
        <v>0</v>
      </c>
      <c r="AG7" s="609">
        <f>ROUNDUP(SUM('Alocação de ambientes'!AG3:AG6),0)</f>
        <v>0</v>
      </c>
      <c r="AH7" s="609">
        <f>ROUNDUP(SUM('Alocação de ambientes'!AH3:AH6),0)</f>
        <v>0</v>
      </c>
      <c r="AI7" s="609">
        <f>ROUNDUP(SUM('Alocação de ambientes'!AI3:AI6),0)</f>
        <v>0</v>
      </c>
      <c r="AJ7" s="609">
        <f>ROUNDUP(SUM('Alocação de ambientes'!AJ3:AJ6),0)</f>
        <v>0</v>
      </c>
      <c r="AK7" s="609">
        <f>ROUNDUP(SUM('Alocação de ambientes'!AK3:AK6),0)</f>
        <v>0</v>
      </c>
      <c r="AL7" s="609">
        <f>ROUNDUP(SUM('Alocação de ambientes'!AL3:AL6),0)</f>
        <v>0</v>
      </c>
      <c r="AM7" s="609">
        <f>ROUNDUP(SUM('Alocação de ambientes'!AM3:AM6),0)</f>
        <v>0</v>
      </c>
      <c r="AN7" s="609">
        <f>ROUNDUP(SUM('Alocação de ambientes'!AN3:AN6),0)</f>
        <v>0</v>
      </c>
      <c r="AO7" s="609">
        <f>ROUNDUP(SUM('Alocação de ambientes'!AO3:AO6),0)</f>
        <v>0</v>
      </c>
      <c r="AP7" s="609">
        <f>ROUNDUP(SUM('Alocação de ambientes'!AP3:AP6),0)</f>
        <v>0</v>
      </c>
      <c r="AQ7" s="609">
        <f>ROUNDUP(SUM('Alocação de ambientes'!AQ3:AQ6),0)</f>
        <v>0</v>
      </c>
      <c r="AR7" s="609">
        <f>ROUNDUP(SUM('Alocação de ambientes'!AR3:AR6),0)</f>
        <v>0</v>
      </c>
      <c r="AS7" s="609">
        <f>ROUNDUP(SUM('Alocação de ambientes'!AS3:AS6),0)</f>
        <v>0</v>
      </c>
      <c r="AT7" s="609">
        <f>ROUNDUP(SUM('Alocação de ambientes'!AT3:AT6),0)</f>
        <v>0</v>
      </c>
      <c r="AU7" s="609">
        <f>ROUNDUP(SUM('Alocação de ambientes'!AU3:AU6),0)</f>
        <v>0</v>
      </c>
      <c r="AV7" s="609">
        <f>ROUNDUP(SUM('Alocação de ambientes'!AV3:AV6),0)</f>
        <v>0</v>
      </c>
      <c r="AW7" s="609">
        <f>ROUNDUP(SUM('Alocação de ambientes'!AW3:AW6),0)</f>
        <v>0</v>
      </c>
    </row>
    <row r="8" spans="1:49" x14ac:dyDescent="0.25">
      <c r="A8" s="611"/>
      <c r="D8" s="610"/>
    </row>
    <row r="9" spans="1:49" ht="15" customHeight="1" x14ac:dyDescent="0.25">
      <c r="A9" s="611"/>
      <c r="D9" s="610"/>
    </row>
    <row r="10" spans="1:49" ht="15" customHeight="1" x14ac:dyDescent="0.25">
      <c r="A10" s="611"/>
      <c r="D10" s="610"/>
    </row>
    <row r="11" spans="1:49" ht="15" customHeight="1" x14ac:dyDescent="0.25">
      <c r="A11" s="611"/>
      <c r="D11" s="610"/>
    </row>
    <row r="12" spans="1:49" ht="15" customHeight="1" x14ac:dyDescent="0.25">
      <c r="A12" s="611"/>
      <c r="D12" s="610"/>
    </row>
    <row r="13" spans="1:49" ht="15" customHeight="1" x14ac:dyDescent="0.25">
      <c r="A13" s="611"/>
      <c r="D13" s="610"/>
    </row>
    <row r="14" spans="1:49" ht="15" customHeight="1" x14ac:dyDescent="0.25">
      <c r="A14" s="611"/>
      <c r="B14" s="612"/>
      <c r="D14" s="610"/>
    </row>
    <row r="15" spans="1:49" ht="15" customHeight="1" x14ac:dyDescent="0.25">
      <c r="A15" s="611"/>
      <c r="D15" s="610"/>
    </row>
    <row r="16" spans="1:49" ht="15" customHeight="1" x14ac:dyDescent="0.25">
      <c r="A16" s="611"/>
      <c r="D16" s="610"/>
    </row>
    <row r="17" spans="1:4" ht="15" customHeight="1" x14ac:dyDescent="0.25">
      <c r="A17" s="611"/>
      <c r="D17" s="610"/>
    </row>
    <row r="18" spans="1:4" ht="15" customHeight="1" x14ac:dyDescent="0.25">
      <c r="A18" s="611"/>
      <c r="D18" s="610"/>
    </row>
    <row r="19" spans="1:4" ht="15" customHeight="1" x14ac:dyDescent="0.25">
      <c r="A19" s="611"/>
      <c r="D19" s="610"/>
    </row>
    <row r="20" spans="1:4" ht="15" customHeight="1" x14ac:dyDescent="0.25">
      <c r="A20" s="611"/>
      <c r="D20" s="610"/>
    </row>
    <row r="21" spans="1:4" ht="15" customHeight="1" x14ac:dyDescent="0.25">
      <c r="A21" s="611"/>
      <c r="D21" s="610"/>
    </row>
    <row r="22" spans="1:4" ht="15" customHeight="1" x14ac:dyDescent="0.25">
      <c r="A22" s="611"/>
      <c r="D22" s="610"/>
    </row>
    <row r="23" spans="1:4" ht="15" customHeight="1" x14ac:dyDescent="0.25">
      <c r="A23" s="611"/>
      <c r="D23" s="610"/>
    </row>
    <row r="24" spans="1:4" ht="15" customHeight="1" x14ac:dyDescent="0.25">
      <c r="A24" s="611"/>
      <c r="D24" s="610"/>
    </row>
    <row r="25" spans="1:4" ht="15" customHeight="1" x14ac:dyDescent="0.25">
      <c r="A25" s="611"/>
      <c r="D25" s="610"/>
    </row>
    <row r="26" spans="1:4" ht="15" customHeight="1" x14ac:dyDescent="0.25">
      <c r="A26" s="611"/>
      <c r="D26" s="610"/>
    </row>
    <row r="27" spans="1:4" ht="15" customHeight="1" x14ac:dyDescent="0.25">
      <c r="A27" s="611"/>
      <c r="D27" s="610"/>
    </row>
    <row r="28" spans="1:4" ht="15" customHeight="1" x14ac:dyDescent="0.25">
      <c r="A28" s="611"/>
      <c r="D28" s="610"/>
    </row>
    <row r="29" spans="1:4" ht="15" customHeight="1" x14ac:dyDescent="0.25">
      <c r="A29" s="611"/>
      <c r="D29" s="610"/>
    </row>
    <row r="30" spans="1:4" ht="15" customHeight="1" x14ac:dyDescent="0.25">
      <c r="A30" s="611"/>
      <c r="D30" s="610"/>
    </row>
    <row r="31" spans="1:4" ht="15" customHeight="1" x14ac:dyDescent="0.25">
      <c r="A31" s="611"/>
      <c r="D31" s="610"/>
    </row>
    <row r="32" spans="1:4" ht="15" customHeight="1" x14ac:dyDescent="0.25">
      <c r="A32" s="611"/>
      <c r="D32" s="610"/>
    </row>
    <row r="33" spans="1:4" ht="15" customHeight="1" x14ac:dyDescent="0.25">
      <c r="A33" s="611"/>
      <c r="D33" s="610"/>
    </row>
    <row r="34" spans="1:4" x14ac:dyDescent="0.25">
      <c r="A34" s="611"/>
      <c r="D34" s="610"/>
    </row>
    <row r="35" spans="1:4" ht="15" customHeight="1" x14ac:dyDescent="0.25">
      <c r="A35" s="611"/>
      <c r="D35" s="610"/>
    </row>
    <row r="36" spans="1:4" ht="15" customHeight="1" x14ac:dyDescent="0.25">
      <c r="D36" s="610"/>
    </row>
    <row r="37" spans="1:4" ht="15" customHeight="1" x14ac:dyDescent="0.25">
      <c r="D37" s="610"/>
    </row>
    <row r="38" spans="1:4" ht="15" customHeight="1" x14ac:dyDescent="0.25">
      <c r="D38" s="610"/>
    </row>
    <row r="39" spans="1:4" ht="15" customHeight="1" x14ac:dyDescent="0.25">
      <c r="D39" s="610"/>
    </row>
    <row r="40" spans="1:4" ht="15" customHeight="1" x14ac:dyDescent="0.25">
      <c r="D40" s="610"/>
    </row>
    <row r="41" spans="1:4" ht="15" customHeight="1" x14ac:dyDescent="0.25">
      <c r="D41" s="610"/>
    </row>
    <row r="42" spans="1:4" ht="15" customHeight="1" x14ac:dyDescent="0.25">
      <c r="D42" s="610"/>
    </row>
    <row r="43" spans="1:4" ht="15" customHeight="1" x14ac:dyDescent="0.25">
      <c r="D43" s="610"/>
    </row>
    <row r="44" spans="1:4" ht="15" customHeight="1" x14ac:dyDescent="0.25">
      <c r="D44" s="610"/>
    </row>
    <row r="45" spans="1:4" ht="15" customHeight="1" x14ac:dyDescent="0.25">
      <c r="D45" s="610"/>
    </row>
    <row r="46" spans="1:4" ht="15" customHeight="1" x14ac:dyDescent="0.25">
      <c r="D46" s="610"/>
    </row>
    <row r="47" spans="1:4" ht="15" customHeight="1" x14ac:dyDescent="0.25">
      <c r="D47" s="610"/>
    </row>
    <row r="48" spans="1:4" ht="15" customHeight="1" x14ac:dyDescent="0.25">
      <c r="D48" s="610"/>
    </row>
    <row r="49" spans="4:4" ht="15" customHeight="1" x14ac:dyDescent="0.25">
      <c r="D49" s="610"/>
    </row>
    <row r="50" spans="4:4" ht="15" customHeight="1" x14ac:dyDescent="0.25">
      <c r="D50" s="610"/>
    </row>
    <row r="51" spans="4:4" ht="15" customHeight="1" x14ac:dyDescent="0.25">
      <c r="D51" s="610"/>
    </row>
    <row r="52" spans="4:4" ht="15" customHeight="1" x14ac:dyDescent="0.25">
      <c r="D52" s="610"/>
    </row>
    <row r="53" spans="4:4" ht="15" customHeight="1" x14ac:dyDescent="0.25">
      <c r="D53" s="610"/>
    </row>
    <row r="54" spans="4:4" ht="15" customHeight="1" x14ac:dyDescent="0.25">
      <c r="D54" s="610"/>
    </row>
    <row r="55" spans="4:4" ht="15" customHeight="1" x14ac:dyDescent="0.25">
      <c r="D55" s="610"/>
    </row>
    <row r="56" spans="4:4" ht="15" customHeight="1" x14ac:dyDescent="0.25">
      <c r="D56" s="610"/>
    </row>
    <row r="57" spans="4:4" ht="15" customHeight="1" x14ac:dyDescent="0.25">
      <c r="D57" s="610"/>
    </row>
    <row r="58" spans="4:4" ht="15" customHeight="1" x14ac:dyDescent="0.25">
      <c r="D58" s="610"/>
    </row>
    <row r="59" spans="4:4" ht="15" customHeight="1" x14ac:dyDescent="0.25">
      <c r="D59" s="610"/>
    </row>
    <row r="60" spans="4:4" ht="15" customHeight="1" x14ac:dyDescent="0.25">
      <c r="D60" s="610"/>
    </row>
    <row r="61" spans="4:4" ht="15" customHeight="1" x14ac:dyDescent="0.25">
      <c r="D61" s="610"/>
    </row>
    <row r="62" spans="4:4" ht="15" customHeight="1" x14ac:dyDescent="0.25">
      <c r="D62" s="610"/>
    </row>
    <row r="63" spans="4:4" ht="15" customHeight="1" x14ac:dyDescent="0.25">
      <c r="D63" s="610"/>
    </row>
    <row r="64" spans="4:4" ht="15" customHeight="1" x14ac:dyDescent="0.25">
      <c r="D64" s="610"/>
    </row>
    <row r="65" spans="4:4" ht="15" customHeight="1" x14ac:dyDescent="0.25">
      <c r="D65" s="610"/>
    </row>
    <row r="66" spans="4:4" ht="15" customHeight="1" x14ac:dyDescent="0.25">
      <c r="D66" s="610"/>
    </row>
    <row r="67" spans="4:4" ht="15" customHeight="1" x14ac:dyDescent="0.25">
      <c r="D67" s="610"/>
    </row>
    <row r="68" spans="4:4" ht="15" customHeight="1" x14ac:dyDescent="0.25">
      <c r="D68" s="610"/>
    </row>
    <row r="69" spans="4:4" ht="15" customHeight="1" x14ac:dyDescent="0.25">
      <c r="D69" s="610"/>
    </row>
    <row r="70" spans="4:4" ht="15" customHeight="1" x14ac:dyDescent="0.25">
      <c r="D70" s="610"/>
    </row>
    <row r="71" spans="4:4" ht="15" customHeight="1" x14ac:dyDescent="0.25">
      <c r="D71" s="610"/>
    </row>
    <row r="72" spans="4:4" ht="15" customHeight="1" x14ac:dyDescent="0.25">
      <c r="D72" s="610"/>
    </row>
    <row r="73" spans="4:4" ht="15" customHeight="1" x14ac:dyDescent="0.25">
      <c r="D73" s="610"/>
    </row>
    <row r="74" spans="4:4" ht="15" customHeight="1" x14ac:dyDescent="0.25">
      <c r="D74" s="610"/>
    </row>
    <row r="75" spans="4:4" ht="15" customHeight="1" x14ac:dyDescent="0.25">
      <c r="D75" s="610"/>
    </row>
    <row r="76" spans="4:4" ht="15" customHeight="1" x14ac:dyDescent="0.25">
      <c r="D76" s="610"/>
    </row>
    <row r="77" spans="4:4" ht="15" customHeight="1" x14ac:dyDescent="0.25">
      <c r="D77" s="610"/>
    </row>
    <row r="78" spans="4:4" x14ac:dyDescent="0.25">
      <c r="D78" s="610"/>
    </row>
    <row r="79" spans="4:4" ht="15" customHeight="1" x14ac:dyDescent="0.25">
      <c r="D79" s="610"/>
    </row>
    <row r="80" spans="4:4" ht="15" customHeight="1" x14ac:dyDescent="0.25">
      <c r="D80" s="610"/>
    </row>
    <row r="81" spans="4:4" ht="15" customHeight="1" x14ac:dyDescent="0.25">
      <c r="D81" s="610"/>
    </row>
    <row r="82" spans="4:4" x14ac:dyDescent="0.25">
      <c r="D82" s="610"/>
    </row>
    <row r="83" spans="4:4" ht="15" customHeight="1" x14ac:dyDescent="0.25">
      <c r="D83" s="610"/>
    </row>
    <row r="84" spans="4:4" ht="15" customHeight="1" x14ac:dyDescent="0.25">
      <c r="D84" s="610"/>
    </row>
    <row r="85" spans="4:4" ht="15" customHeight="1" x14ac:dyDescent="0.25">
      <c r="D85" s="610"/>
    </row>
    <row r="86" spans="4:4" ht="15" customHeight="1" x14ac:dyDescent="0.25">
      <c r="D86" s="610"/>
    </row>
    <row r="87" spans="4:4" ht="15" customHeight="1" x14ac:dyDescent="0.25">
      <c r="D87" s="610"/>
    </row>
    <row r="88" spans="4:4" ht="15" customHeight="1" x14ac:dyDescent="0.25">
      <c r="D88" s="610"/>
    </row>
    <row r="89" spans="4:4" ht="15" customHeight="1" x14ac:dyDescent="0.25">
      <c r="D89" s="610"/>
    </row>
    <row r="90" spans="4:4" ht="15" customHeight="1" x14ac:dyDescent="0.25">
      <c r="D90" s="610"/>
    </row>
    <row r="91" spans="4:4" ht="15" customHeight="1" x14ac:dyDescent="0.25">
      <c r="D91" s="610"/>
    </row>
    <row r="92" spans="4:4" ht="15" customHeight="1" x14ac:dyDescent="0.25">
      <c r="D92" s="610"/>
    </row>
    <row r="93" spans="4:4" ht="15" customHeight="1" x14ac:dyDescent="0.25">
      <c r="D93" s="610"/>
    </row>
    <row r="94" spans="4:4" ht="15" customHeight="1" x14ac:dyDescent="0.25">
      <c r="D94" s="610"/>
    </row>
    <row r="95" spans="4:4" ht="15" customHeight="1" x14ac:dyDescent="0.25">
      <c r="D95" s="610"/>
    </row>
    <row r="96" spans="4:4" ht="15" customHeight="1" x14ac:dyDescent="0.25">
      <c r="D96" s="610"/>
    </row>
    <row r="97" spans="4:4" ht="15" customHeight="1" x14ac:dyDescent="0.25">
      <c r="D97" s="610"/>
    </row>
    <row r="98" spans="4:4" ht="15" customHeight="1" x14ac:dyDescent="0.25">
      <c r="D98" s="610"/>
    </row>
    <row r="99" spans="4:4" ht="15" customHeight="1" x14ac:dyDescent="0.25">
      <c r="D99" s="610"/>
    </row>
    <row r="100" spans="4:4" ht="15" customHeight="1" x14ac:dyDescent="0.25">
      <c r="D100" s="610"/>
    </row>
    <row r="101" spans="4:4" ht="15" customHeight="1" x14ac:dyDescent="0.25">
      <c r="D101" s="610"/>
    </row>
    <row r="102" spans="4:4" ht="15" customHeight="1" x14ac:dyDescent="0.25">
      <c r="D102" s="610"/>
    </row>
    <row r="103" spans="4:4" ht="15" customHeight="1" x14ac:dyDescent="0.25">
      <c r="D103" s="610"/>
    </row>
    <row r="104" spans="4:4" ht="15" customHeight="1" x14ac:dyDescent="0.25">
      <c r="D104" s="610"/>
    </row>
    <row r="105" spans="4:4" ht="15" customHeight="1" x14ac:dyDescent="0.25">
      <c r="D105" s="610"/>
    </row>
    <row r="106" spans="4:4" x14ac:dyDescent="0.25">
      <c r="D106" s="610"/>
    </row>
    <row r="107" spans="4:4" ht="15" customHeight="1" x14ac:dyDescent="0.25">
      <c r="D107" s="610"/>
    </row>
    <row r="108" spans="4:4" ht="15" customHeight="1" x14ac:dyDescent="0.25">
      <c r="D108" s="610"/>
    </row>
    <row r="109" spans="4:4" ht="15" customHeight="1" x14ac:dyDescent="0.25">
      <c r="D109" s="610"/>
    </row>
    <row r="110" spans="4:4" x14ac:dyDescent="0.25">
      <c r="D110" s="610"/>
    </row>
    <row r="111" spans="4:4" ht="15" customHeight="1" x14ac:dyDescent="0.25">
      <c r="D111" s="610"/>
    </row>
    <row r="112" spans="4:4" x14ac:dyDescent="0.25">
      <c r="D112" s="610"/>
    </row>
    <row r="113" spans="4:4" ht="15" customHeight="1" x14ac:dyDescent="0.25">
      <c r="D113" s="610"/>
    </row>
    <row r="114" spans="4:4" x14ac:dyDescent="0.25">
      <c r="D114" s="610"/>
    </row>
    <row r="115" spans="4:4" ht="15" customHeight="1" x14ac:dyDescent="0.25">
      <c r="D115" s="610"/>
    </row>
    <row r="116" spans="4:4" x14ac:dyDescent="0.25">
      <c r="D116" s="610"/>
    </row>
    <row r="117" spans="4:4" ht="15" customHeight="1" x14ac:dyDescent="0.25">
      <c r="D117" s="610"/>
    </row>
    <row r="118" spans="4:4" x14ac:dyDescent="0.25">
      <c r="D118" s="610"/>
    </row>
    <row r="119" spans="4:4" ht="15" customHeight="1" x14ac:dyDescent="0.25">
      <c r="D119" s="610"/>
    </row>
    <row r="120" spans="4:4" x14ac:dyDescent="0.25">
      <c r="D120" s="610"/>
    </row>
    <row r="121" spans="4:4" ht="14.45" customHeight="1" x14ac:dyDescent="0.25">
      <c r="D121" s="610"/>
    </row>
    <row r="122" spans="4:4" x14ac:dyDescent="0.25">
      <c r="D122" s="610"/>
    </row>
    <row r="123" spans="4:4" ht="15" customHeight="1" x14ac:dyDescent="0.25">
      <c r="D123" s="610"/>
    </row>
    <row r="124" spans="4:4" x14ac:dyDescent="0.25">
      <c r="D124" s="610"/>
    </row>
    <row r="125" spans="4:4" ht="15" customHeight="1" x14ac:dyDescent="0.25">
      <c r="D125" s="610"/>
    </row>
    <row r="126" spans="4:4" x14ac:dyDescent="0.25">
      <c r="D126" s="610"/>
    </row>
    <row r="127" spans="4:4" x14ac:dyDescent="0.25">
      <c r="D127" s="610"/>
    </row>
    <row r="128" spans="4:4" x14ac:dyDescent="0.25">
      <c r="D128" s="610"/>
    </row>
    <row r="129" spans="4:4" ht="15" customHeight="1" x14ac:dyDescent="0.25">
      <c r="D129" s="610"/>
    </row>
    <row r="130" spans="4:4" x14ac:dyDescent="0.25">
      <c r="D130" s="610"/>
    </row>
    <row r="131" spans="4:4" x14ac:dyDescent="0.25">
      <c r="D131" s="610"/>
    </row>
    <row r="132" spans="4:4" x14ac:dyDescent="0.25">
      <c r="D132" s="610"/>
    </row>
    <row r="133" spans="4:4" ht="15" customHeight="1" x14ac:dyDescent="0.25">
      <c r="D133" s="610"/>
    </row>
    <row r="134" spans="4:4" x14ac:dyDescent="0.25">
      <c r="D134" s="610"/>
    </row>
    <row r="135" spans="4:4" x14ac:dyDescent="0.25">
      <c r="D135" s="610"/>
    </row>
    <row r="136" spans="4:4" x14ac:dyDescent="0.25">
      <c r="D136" s="610"/>
    </row>
    <row r="137" spans="4:4" ht="15" customHeight="1" x14ac:dyDescent="0.25">
      <c r="D137" s="610"/>
    </row>
    <row r="138" spans="4:4" x14ac:dyDescent="0.25">
      <c r="D138" s="610"/>
    </row>
    <row r="139" spans="4:4" x14ac:dyDescent="0.25">
      <c r="D139" s="610"/>
    </row>
    <row r="140" spans="4:4" ht="14.45" customHeight="1" x14ac:dyDescent="0.25">
      <c r="D140" s="610"/>
    </row>
    <row r="141" spans="4:4" ht="15" customHeight="1" x14ac:dyDescent="0.25">
      <c r="D141" s="610"/>
    </row>
    <row r="142" spans="4:4" x14ac:dyDescent="0.25">
      <c r="D142" s="610"/>
    </row>
    <row r="143" spans="4:4" x14ac:dyDescent="0.25">
      <c r="D143" s="610"/>
    </row>
    <row r="144" spans="4:4" x14ac:dyDescent="0.25">
      <c r="D144" s="610"/>
    </row>
    <row r="145" spans="4:4" ht="15" customHeight="1" x14ac:dyDescent="0.25">
      <c r="D145" s="610"/>
    </row>
    <row r="146" spans="4:4" x14ac:dyDescent="0.25">
      <c r="D146" s="610"/>
    </row>
    <row r="147" spans="4:4" x14ac:dyDescent="0.25">
      <c r="D147" s="610"/>
    </row>
    <row r="148" spans="4:4" ht="14.45" customHeight="1" x14ac:dyDescent="0.25">
      <c r="D148" s="610"/>
    </row>
    <row r="149" spans="4:4" x14ac:dyDescent="0.25">
      <c r="D149" s="610"/>
    </row>
    <row r="150" spans="4:4" x14ac:dyDescent="0.25">
      <c r="D150" s="610"/>
    </row>
    <row r="151" spans="4:4" x14ac:dyDescent="0.25">
      <c r="D151" s="610"/>
    </row>
    <row r="152" spans="4:4" x14ac:dyDescent="0.25">
      <c r="D152" s="610"/>
    </row>
    <row r="153" spans="4:4" x14ac:dyDescent="0.25">
      <c r="D153" s="610"/>
    </row>
    <row r="154" spans="4:4" x14ac:dyDescent="0.25">
      <c r="D154" s="610"/>
    </row>
    <row r="155" spans="4:4" ht="14.45" customHeight="1" x14ac:dyDescent="0.25">
      <c r="D155" s="610"/>
    </row>
    <row r="156" spans="4:4" x14ac:dyDescent="0.25">
      <c r="D156" s="610"/>
    </row>
    <row r="157" spans="4:4" x14ac:dyDescent="0.25">
      <c r="D157" s="610"/>
    </row>
    <row r="158" spans="4:4" x14ac:dyDescent="0.25">
      <c r="D158" s="610"/>
    </row>
    <row r="159" spans="4:4" x14ac:dyDescent="0.25">
      <c r="D159" s="610"/>
    </row>
    <row r="160" spans="4:4" x14ac:dyDescent="0.25">
      <c r="D160" s="610"/>
    </row>
    <row r="161" spans="4:4" ht="14.45" customHeight="1" x14ac:dyDescent="0.25">
      <c r="D161" s="610"/>
    </row>
    <row r="162" spans="4:4" x14ac:dyDescent="0.25">
      <c r="D162" s="610"/>
    </row>
    <row r="163" spans="4:4" x14ac:dyDescent="0.25">
      <c r="D163" s="610"/>
    </row>
    <row r="164" spans="4:4" x14ac:dyDescent="0.25">
      <c r="D164" s="610"/>
    </row>
    <row r="165" spans="4:4" ht="14.45" customHeight="1" x14ac:dyDescent="0.25">
      <c r="D165" s="610"/>
    </row>
    <row r="166" spans="4:4" x14ac:dyDescent="0.25">
      <c r="D166" s="610"/>
    </row>
    <row r="167" spans="4:4" x14ac:dyDescent="0.25">
      <c r="D167" s="610"/>
    </row>
    <row r="168" spans="4:4" x14ac:dyDescent="0.25">
      <c r="D168" s="610"/>
    </row>
    <row r="169" spans="4:4" ht="14.45" customHeight="1" x14ac:dyDescent="0.25">
      <c r="D169" s="610"/>
    </row>
    <row r="170" spans="4:4" x14ac:dyDescent="0.25">
      <c r="D170" s="610"/>
    </row>
    <row r="171" spans="4:4" x14ac:dyDescent="0.25">
      <c r="D171" s="610"/>
    </row>
    <row r="172" spans="4:4" x14ac:dyDescent="0.25">
      <c r="D172" s="610"/>
    </row>
    <row r="173" spans="4:4" ht="14.45" customHeight="1" x14ac:dyDescent="0.25">
      <c r="D173" s="610"/>
    </row>
    <row r="174" spans="4:4" x14ac:dyDescent="0.25">
      <c r="D174" s="610"/>
    </row>
    <row r="175" spans="4:4" x14ac:dyDescent="0.25">
      <c r="D175" s="610"/>
    </row>
    <row r="176" spans="4:4" x14ac:dyDescent="0.25">
      <c r="D176" s="610"/>
    </row>
    <row r="177" spans="4:4" ht="14.45" customHeight="1" x14ac:dyDescent="0.25">
      <c r="D177" s="610"/>
    </row>
    <row r="178" spans="4:4" x14ac:dyDescent="0.25">
      <c r="D178" s="610"/>
    </row>
    <row r="179" spans="4:4" x14ac:dyDescent="0.25">
      <c r="D179" s="610"/>
    </row>
    <row r="180" spans="4:4" x14ac:dyDescent="0.25">
      <c r="D180" s="610"/>
    </row>
    <row r="181" spans="4:4" ht="14.45" customHeight="1" x14ac:dyDescent="0.25">
      <c r="D181" s="610"/>
    </row>
    <row r="182" spans="4:4" x14ac:dyDescent="0.25">
      <c r="D182" s="610"/>
    </row>
    <row r="183" spans="4:4" x14ac:dyDescent="0.25">
      <c r="D183" s="610"/>
    </row>
    <row r="184" spans="4:4" x14ac:dyDescent="0.25">
      <c r="D184" s="610"/>
    </row>
    <row r="185" spans="4:4" ht="14.45" customHeight="1" x14ac:dyDescent="0.25">
      <c r="D185" s="610"/>
    </row>
    <row r="186" spans="4:4" x14ac:dyDescent="0.25">
      <c r="D186" s="610"/>
    </row>
    <row r="187" spans="4:4" x14ac:dyDescent="0.25">
      <c r="D187" s="610"/>
    </row>
    <row r="188" spans="4:4" x14ac:dyDescent="0.25">
      <c r="D188" s="610"/>
    </row>
    <row r="189" spans="4:4" ht="14.45" customHeight="1" x14ac:dyDescent="0.25">
      <c r="D189" s="610"/>
    </row>
    <row r="190" spans="4:4" x14ac:dyDescent="0.25">
      <c r="D190" s="610"/>
    </row>
    <row r="191" spans="4:4" x14ac:dyDescent="0.25">
      <c r="D191" s="610"/>
    </row>
    <row r="192" spans="4:4" x14ac:dyDescent="0.25">
      <c r="D192" s="610"/>
    </row>
    <row r="193" spans="4:4" ht="14.45" customHeight="1" x14ac:dyDescent="0.25">
      <c r="D193" s="610"/>
    </row>
    <row r="194" spans="4:4" x14ac:dyDescent="0.25">
      <c r="D194" s="610"/>
    </row>
    <row r="195" spans="4:4" x14ac:dyDescent="0.25">
      <c r="D195" s="610"/>
    </row>
    <row r="196" spans="4:4" x14ac:dyDescent="0.25">
      <c r="D196" s="610"/>
    </row>
    <row r="197" spans="4:4" ht="14.45" customHeight="1" x14ac:dyDescent="0.25">
      <c r="D197" s="610"/>
    </row>
    <row r="198" spans="4:4" x14ac:dyDescent="0.25">
      <c r="D198" s="610"/>
    </row>
    <row r="199" spans="4:4" x14ac:dyDescent="0.25">
      <c r="D199" s="610"/>
    </row>
    <row r="200" spans="4:4" ht="14.45" customHeight="1" x14ac:dyDescent="0.25">
      <c r="D200" s="610"/>
    </row>
    <row r="201" spans="4:4" x14ac:dyDescent="0.25">
      <c r="D201" s="610"/>
    </row>
    <row r="202" spans="4:4" x14ac:dyDescent="0.25">
      <c r="D202" s="610"/>
    </row>
    <row r="203" spans="4:4" x14ac:dyDescent="0.25">
      <c r="D203" s="610"/>
    </row>
    <row r="204" spans="4:4" x14ac:dyDescent="0.25">
      <c r="D204" s="610"/>
    </row>
    <row r="205" spans="4:4" x14ac:dyDescent="0.25">
      <c r="D205" s="610"/>
    </row>
    <row r="206" spans="4:4" x14ac:dyDescent="0.25">
      <c r="D206" s="610"/>
    </row>
    <row r="207" spans="4:4" x14ac:dyDescent="0.25">
      <c r="D207" s="610"/>
    </row>
  </sheetData>
  <mergeCells count="1">
    <mergeCell ref="D3:D6"/>
  </mergeCells>
  <dataValidations count="3">
    <dataValidation type="list" allowBlank="1" showInputMessage="1" showErrorMessage="1" sqref="C2:C816" xr:uid="{00000000-0002-0000-2E00-000000000000}">
      <formula1>"Integral,Matutino,Vespertino,Noturno,Todos"</formula1>
    </dataValidation>
    <dataValidation type="list" allowBlank="1" showInputMessage="1" showErrorMessage="1" sqref="C1" xr:uid="{00000000-0002-0000-2E00-000001000000}">
      <formula1>Ambientes</formula1>
    </dataValidation>
    <dataValidation type="list" allowBlank="1" showInputMessage="1" showErrorMessage="1" sqref="D1" xr:uid="{00000000-0002-0000-2E00-000002000000}">
      <formula1>"Integral,Matutino,Vespertino,Noturno,Todos os turnos"</formula1>
    </dataValidation>
  </dataValidations>
  <pageMargins left="0.511811024" right="0.511811024" top="0.78740157499999996" bottom="0.78740157499999996" header="0.31496062000000002" footer="0.31496062000000002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Planilha18"/>
  <dimension ref="A1:BL97"/>
  <sheetViews>
    <sheetView topLeftCell="A45" zoomScale="80" zoomScaleNormal="80" workbookViewId="0">
      <selection activeCell="C97" sqref="C97:AP97"/>
    </sheetView>
  </sheetViews>
  <sheetFormatPr defaultRowHeight="15" x14ac:dyDescent="0.25"/>
  <cols>
    <col min="1" max="1" width="25.85546875" customWidth="1"/>
    <col min="2" max="2" width="18.85546875" customWidth="1"/>
    <col min="3" max="42" width="5.28515625" customWidth="1"/>
    <col min="43" max="44" width="18.7109375" bestFit="1" customWidth="1"/>
  </cols>
  <sheetData>
    <row r="1" spans="1:64" ht="18.75" x14ac:dyDescent="0.3">
      <c r="A1" s="253" t="s">
        <v>1138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5"/>
    </row>
    <row r="2" spans="1:64" x14ac:dyDescent="0.25">
      <c r="A2" s="256"/>
      <c r="B2" s="257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  <c r="AB2" s="257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257"/>
      <c r="AN2" s="257"/>
      <c r="AO2" s="257"/>
      <c r="AP2" s="258"/>
    </row>
    <row r="3" spans="1:64" x14ac:dyDescent="0.25">
      <c r="A3" s="259" t="s">
        <v>1139</v>
      </c>
      <c r="B3" s="257"/>
      <c r="C3" s="257"/>
      <c r="D3" s="257"/>
      <c r="E3" s="257"/>
      <c r="F3" s="257"/>
      <c r="G3" s="257"/>
      <c r="H3" s="257"/>
      <c r="I3" s="257"/>
      <c r="J3" s="257"/>
      <c r="K3" s="257"/>
      <c r="L3" s="257"/>
      <c r="M3" s="257"/>
      <c r="N3" s="257"/>
      <c r="O3" s="257"/>
      <c r="P3" s="257"/>
      <c r="Q3" s="257"/>
      <c r="R3" s="257"/>
      <c r="S3" s="257"/>
      <c r="T3" s="257"/>
      <c r="U3" s="257"/>
      <c r="V3" s="257"/>
      <c r="W3" s="257"/>
      <c r="X3" s="257"/>
      <c r="Y3" s="257"/>
      <c r="Z3" s="257"/>
      <c r="AA3" s="257"/>
      <c r="AB3" s="257"/>
      <c r="AC3" s="257"/>
      <c r="AD3" s="257"/>
      <c r="AE3" s="257"/>
      <c r="AF3" s="257"/>
      <c r="AG3" s="257"/>
      <c r="AH3" s="257"/>
      <c r="AI3" s="257"/>
      <c r="AJ3" s="257"/>
      <c r="AK3" s="257"/>
      <c r="AL3" s="257"/>
      <c r="AM3" s="257"/>
      <c r="AN3" s="257"/>
      <c r="AO3" s="257"/>
      <c r="AP3" s="258"/>
    </row>
    <row r="4" spans="1:64" x14ac:dyDescent="0.25">
      <c r="A4" s="256" t="s">
        <v>1145</v>
      </c>
      <c r="B4" s="257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257"/>
      <c r="Y4" s="257"/>
      <c r="Z4" s="257"/>
      <c r="AA4" s="257"/>
      <c r="AB4" s="257"/>
      <c r="AC4" s="257"/>
      <c r="AD4" s="257"/>
      <c r="AE4" s="257"/>
      <c r="AF4" s="257"/>
      <c r="AG4" s="257"/>
      <c r="AH4" s="257"/>
      <c r="AI4" s="257"/>
      <c r="AJ4" s="257"/>
      <c r="AK4" s="257"/>
      <c r="AL4" s="257"/>
      <c r="AM4" s="257"/>
      <c r="AN4" s="257"/>
      <c r="AO4" s="257"/>
      <c r="AP4" s="258"/>
    </row>
    <row r="5" spans="1:64" x14ac:dyDescent="0.25">
      <c r="A5" s="256"/>
      <c r="B5" s="257"/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257"/>
      <c r="AN5" s="257"/>
      <c r="AO5" s="257"/>
      <c r="AP5" s="258"/>
    </row>
    <row r="6" spans="1:64" x14ac:dyDescent="0.25">
      <c r="A6" s="256"/>
      <c r="B6" s="257"/>
      <c r="C6" s="257">
        <v>2011</v>
      </c>
      <c r="D6" s="257"/>
      <c r="E6" s="257">
        <f>C6+1</f>
        <v>2012</v>
      </c>
      <c r="F6" s="257"/>
      <c r="G6" s="257">
        <f>E6+1</f>
        <v>2013</v>
      </c>
      <c r="H6" s="257"/>
      <c r="I6" s="257">
        <f>G6+1</f>
        <v>2014</v>
      </c>
      <c r="J6" s="257"/>
      <c r="K6" s="257">
        <f>I6+1</f>
        <v>2015</v>
      </c>
      <c r="L6" s="257"/>
      <c r="M6" s="257">
        <f>K6+1</f>
        <v>2016</v>
      </c>
      <c r="N6" s="257"/>
      <c r="O6" s="257">
        <f>M6+1</f>
        <v>2017</v>
      </c>
      <c r="P6" s="257"/>
      <c r="Q6" s="257">
        <f>O6+1</f>
        <v>2018</v>
      </c>
      <c r="R6" s="257"/>
      <c r="S6" s="257">
        <f>Q6+1</f>
        <v>2019</v>
      </c>
      <c r="T6" s="257"/>
      <c r="U6" s="257">
        <f>S6+1</f>
        <v>2020</v>
      </c>
      <c r="V6" s="257"/>
      <c r="W6" s="257">
        <f>U6+1</f>
        <v>2021</v>
      </c>
      <c r="X6" s="257"/>
      <c r="Y6" s="257">
        <f>W6+1</f>
        <v>2022</v>
      </c>
      <c r="Z6" s="257"/>
      <c r="AA6" s="257">
        <f>Y6+1</f>
        <v>2023</v>
      </c>
      <c r="AB6" s="257"/>
      <c r="AC6" s="257">
        <f>AA6+1</f>
        <v>2024</v>
      </c>
      <c r="AD6" s="257"/>
      <c r="AE6" s="257">
        <f>AC6+1</f>
        <v>2025</v>
      </c>
      <c r="AF6" s="257"/>
      <c r="AG6" s="257">
        <f>AE6+1</f>
        <v>2026</v>
      </c>
      <c r="AH6" s="257"/>
      <c r="AI6" s="257">
        <f>AG6+1</f>
        <v>2027</v>
      </c>
      <c r="AJ6" s="257"/>
      <c r="AK6" s="257">
        <f>AI6+1</f>
        <v>2028</v>
      </c>
      <c r="AL6" s="257"/>
      <c r="AM6" s="257">
        <f>AK6+1</f>
        <v>2029</v>
      </c>
      <c r="AN6" s="257"/>
      <c r="AO6" s="257">
        <f>AM6+1</f>
        <v>2030</v>
      </c>
      <c r="AP6" s="258"/>
      <c r="AS6" s="417">
        <v>2021</v>
      </c>
      <c r="AT6" s="417">
        <v>2021</v>
      </c>
      <c r="AU6" s="417">
        <v>2022</v>
      </c>
      <c r="AV6" s="417">
        <v>2022</v>
      </c>
      <c r="AW6" s="417">
        <v>2023</v>
      </c>
      <c r="AX6" s="417">
        <v>2023</v>
      </c>
      <c r="AY6" s="417">
        <v>2024</v>
      </c>
      <c r="AZ6" s="417">
        <v>2024</v>
      </c>
      <c r="BA6" s="417">
        <v>2025</v>
      </c>
      <c r="BB6" s="417">
        <v>2025</v>
      </c>
      <c r="BC6" s="417">
        <v>2026</v>
      </c>
      <c r="BD6" s="417">
        <v>2026</v>
      </c>
      <c r="BE6" s="417">
        <v>2027</v>
      </c>
      <c r="BF6" s="417">
        <v>2027</v>
      </c>
      <c r="BG6" s="417">
        <v>2028</v>
      </c>
      <c r="BH6" s="417">
        <v>2028</v>
      </c>
      <c r="BI6" s="417">
        <v>2029</v>
      </c>
      <c r="BJ6" s="417">
        <v>2029</v>
      </c>
      <c r="BK6" s="417">
        <v>2030</v>
      </c>
      <c r="BL6" s="417">
        <v>2030</v>
      </c>
    </row>
    <row r="7" spans="1:64" x14ac:dyDescent="0.25">
      <c r="A7" s="256"/>
      <c r="B7" s="260" t="s">
        <v>1147</v>
      </c>
      <c r="C7" s="257">
        <v>1</v>
      </c>
      <c r="D7" s="257">
        <v>2</v>
      </c>
      <c r="E7" s="257">
        <f>C7</f>
        <v>1</v>
      </c>
      <c r="F7" s="257">
        <f>E7+1</f>
        <v>2</v>
      </c>
      <c r="G7" s="257">
        <f>E7</f>
        <v>1</v>
      </c>
      <c r="H7" s="257">
        <f>G7+1</f>
        <v>2</v>
      </c>
      <c r="I7" s="257">
        <f>G7</f>
        <v>1</v>
      </c>
      <c r="J7" s="257">
        <f>I7+1</f>
        <v>2</v>
      </c>
      <c r="K7" s="257">
        <f>I7</f>
        <v>1</v>
      </c>
      <c r="L7" s="257">
        <f>K7+1</f>
        <v>2</v>
      </c>
      <c r="M7" s="257">
        <f>K7</f>
        <v>1</v>
      </c>
      <c r="N7" s="257">
        <f>M7+1</f>
        <v>2</v>
      </c>
      <c r="O7" s="257">
        <f>M7</f>
        <v>1</v>
      </c>
      <c r="P7" s="257">
        <f>O7+1</f>
        <v>2</v>
      </c>
      <c r="Q7" s="257">
        <f>O7</f>
        <v>1</v>
      </c>
      <c r="R7" s="257">
        <f>Q7+1</f>
        <v>2</v>
      </c>
      <c r="S7" s="257">
        <f>Q7</f>
        <v>1</v>
      </c>
      <c r="T7" s="257">
        <f>S7+1</f>
        <v>2</v>
      </c>
      <c r="U7" s="257">
        <f>S7</f>
        <v>1</v>
      </c>
      <c r="V7" s="257">
        <f>U7+1</f>
        <v>2</v>
      </c>
      <c r="W7" s="257">
        <f>U7</f>
        <v>1</v>
      </c>
      <c r="X7" s="257">
        <f>W7+1</f>
        <v>2</v>
      </c>
      <c r="Y7" s="257">
        <f>W7</f>
        <v>1</v>
      </c>
      <c r="Z7" s="257">
        <f>Y7+1</f>
        <v>2</v>
      </c>
      <c r="AA7" s="257">
        <f>Y7</f>
        <v>1</v>
      </c>
      <c r="AB7" s="257">
        <f>AA7+1</f>
        <v>2</v>
      </c>
      <c r="AC7" s="257">
        <f>AA7</f>
        <v>1</v>
      </c>
      <c r="AD7" s="257">
        <f>AC7+1</f>
        <v>2</v>
      </c>
      <c r="AE7" s="257">
        <f>AC7</f>
        <v>1</v>
      </c>
      <c r="AF7" s="257">
        <f>AE7+1</f>
        <v>2</v>
      </c>
      <c r="AG7" s="257">
        <f>AE7</f>
        <v>1</v>
      </c>
      <c r="AH7" s="257">
        <f>AG7+1</f>
        <v>2</v>
      </c>
      <c r="AI7" s="257">
        <f>AG7</f>
        <v>1</v>
      </c>
      <c r="AJ7" s="257">
        <f>AI7+1</f>
        <v>2</v>
      </c>
      <c r="AK7" s="257">
        <f>AI7</f>
        <v>1</v>
      </c>
      <c r="AL7" s="257">
        <f>AK7+1</f>
        <v>2</v>
      </c>
      <c r="AM7" s="257">
        <f>AK7</f>
        <v>1</v>
      </c>
      <c r="AN7" s="257">
        <f>AM7+1</f>
        <v>2</v>
      </c>
      <c r="AO7" s="257">
        <f>AM7</f>
        <v>1</v>
      </c>
      <c r="AP7" s="258">
        <f>AO7+1</f>
        <v>2</v>
      </c>
      <c r="AS7" s="417">
        <v>1</v>
      </c>
      <c r="AT7" s="417">
        <v>2</v>
      </c>
      <c r="AU7" s="417">
        <v>1</v>
      </c>
      <c r="AV7" s="417">
        <v>2</v>
      </c>
      <c r="AW7" s="417">
        <v>1</v>
      </c>
      <c r="AX7" s="417">
        <v>2</v>
      </c>
      <c r="AY7" s="417">
        <v>1</v>
      </c>
      <c r="AZ7" s="417">
        <v>2</v>
      </c>
      <c r="BA7" s="417">
        <v>1</v>
      </c>
      <c r="BB7" s="417">
        <v>2</v>
      </c>
      <c r="BC7" s="417">
        <v>1</v>
      </c>
      <c r="BD7" s="417">
        <v>2</v>
      </c>
      <c r="BE7" s="417">
        <v>1</v>
      </c>
      <c r="BF7" s="417">
        <v>2</v>
      </c>
      <c r="BG7" s="417">
        <v>1</v>
      </c>
      <c r="BH7" s="417">
        <v>2</v>
      </c>
      <c r="BI7" s="417">
        <v>1</v>
      </c>
      <c r="BJ7" s="417">
        <v>2</v>
      </c>
      <c r="BK7" s="417">
        <v>1</v>
      </c>
      <c r="BL7" s="417">
        <v>2</v>
      </c>
    </row>
    <row r="8" spans="1:64" x14ac:dyDescent="0.25">
      <c r="A8" s="256"/>
      <c r="B8" s="261" t="s">
        <v>242</v>
      </c>
      <c r="C8" s="261" t="e">
        <f>ALUNOEQUIVALENTE(C$6,C$7,$B8)</f>
        <v>#VALUE!</v>
      </c>
      <c r="D8" s="261" t="e">
        <f>ALUNOEQUIVALENTE(C$6,D$7,$B8)</f>
        <v>#VALUE!</v>
      </c>
      <c r="E8" s="261" t="e">
        <f>ALUNOEQUIVALENTE(E$6,E$7,$B8)</f>
        <v>#VALUE!</v>
      </c>
      <c r="F8" s="261" t="e">
        <f>ALUNOEQUIVALENTE(E$6,F$7,$B8)</f>
        <v>#VALUE!</v>
      </c>
      <c r="G8" s="261" t="e">
        <f>ALUNOEQUIVALENTE(G$6,G$7,$B8)</f>
        <v>#VALUE!</v>
      </c>
      <c r="H8" s="261" t="e">
        <f>ALUNOEQUIVALENTE(G$6,H$7,$B8)</f>
        <v>#VALUE!</v>
      </c>
      <c r="I8" s="261" t="e">
        <f>ALUNOEQUIVALENTE(I$6,I$7,$B8)</f>
        <v>#VALUE!</v>
      </c>
      <c r="J8" s="261" t="e">
        <f>ALUNOEQUIVALENTE(I$6,J$7,$B8)</f>
        <v>#VALUE!</v>
      </c>
      <c r="K8" s="261" t="e">
        <f>ALUNOEQUIVALENTE(K$6,K$7,$B8)</f>
        <v>#VALUE!</v>
      </c>
      <c r="L8" s="261" t="e">
        <f>ALUNOEQUIVALENTE(K$6,L$7,$B8)</f>
        <v>#VALUE!</v>
      </c>
      <c r="M8" s="261" t="e">
        <f>ALUNOEQUIVALENTE(M$6,M$7,$B8)</f>
        <v>#VALUE!</v>
      </c>
      <c r="N8" s="261" t="e">
        <f>ALUNOEQUIVALENTE(M$6,N$7,$B8)</f>
        <v>#VALUE!</v>
      </c>
      <c r="O8" s="261" t="e">
        <f>ALUNOEQUIVALENTE(O$6,O$7,$B8)</f>
        <v>#VALUE!</v>
      </c>
      <c r="P8" s="261" t="e">
        <f>ALUNOEQUIVALENTE(O$6,P$7,$B8)</f>
        <v>#VALUE!</v>
      </c>
      <c r="Q8" s="261" t="e">
        <f>ALUNOEQUIVALENTE(Q$6,Q$7,$B8)</f>
        <v>#VALUE!</v>
      </c>
      <c r="R8" s="261" t="e">
        <f>ALUNOEQUIVALENTE(Q$6,R$7,$B8)</f>
        <v>#VALUE!</v>
      </c>
      <c r="S8" s="261" t="e">
        <f>ALUNOEQUIVALENTE(S$6,S$7,$B8)</f>
        <v>#VALUE!</v>
      </c>
      <c r="T8" s="261" t="e">
        <f>ALUNOEQUIVALENTE(S$6,T$7,$B8)</f>
        <v>#VALUE!</v>
      </c>
      <c r="U8" s="261" t="e">
        <f>ALUNOEQUIVALENTE(U$6,U$7,$B8)</f>
        <v>#VALUE!</v>
      </c>
      <c r="V8" s="261" t="e">
        <f>ALUNOEQUIVALENTE(U$6,V$7,$B8)</f>
        <v>#VALUE!</v>
      </c>
      <c r="W8" s="261" t="e">
        <f>ALUNOEQUIVALENTE(W$6,W$7,$B8)</f>
        <v>#VALUE!</v>
      </c>
      <c r="X8" s="261" t="e">
        <f>ALUNOEQUIVALENTE(W$6,X$7,$B8)</f>
        <v>#VALUE!</v>
      </c>
      <c r="Y8" s="261" t="e">
        <f>ALUNOEQUIVALENTE(Y$6,Y$7,$B8)</f>
        <v>#VALUE!</v>
      </c>
      <c r="Z8" s="261" t="e">
        <f>ALUNOEQUIVALENTE(Y$6,Z$7,$B8)</f>
        <v>#VALUE!</v>
      </c>
      <c r="AA8" s="261" t="e">
        <f>ALUNOEQUIVALENTE(AA$6,AA$7,$B8)</f>
        <v>#VALUE!</v>
      </c>
      <c r="AB8" s="261" t="e">
        <f>ALUNOEQUIVALENTE(AA$6,AB$7,$B8)</f>
        <v>#VALUE!</v>
      </c>
      <c r="AC8" s="261" t="e">
        <f>ALUNOEQUIVALENTE(AC$6,AC$7,$B8)</f>
        <v>#VALUE!</v>
      </c>
      <c r="AD8" s="261" t="e">
        <f>ALUNOEQUIVALENTE(AC$6,AD$7,$B8)</f>
        <v>#VALUE!</v>
      </c>
      <c r="AE8" s="261" t="e">
        <f>ALUNOEQUIVALENTE(AE$6,AE$7,$B8)</f>
        <v>#VALUE!</v>
      </c>
      <c r="AF8" s="261" t="e">
        <f>ALUNOEQUIVALENTE(AE$6,AF$7,$B8)</f>
        <v>#VALUE!</v>
      </c>
      <c r="AG8" s="261" t="e">
        <f>ALUNOEQUIVALENTE(AG$6,AG$7,$B8)</f>
        <v>#VALUE!</v>
      </c>
      <c r="AH8" s="261" t="e">
        <f>ALUNOEQUIVALENTE(AG$6,AH$7,$B8)</f>
        <v>#VALUE!</v>
      </c>
      <c r="AI8" s="261" t="e">
        <f>ALUNOEQUIVALENTE(AI$6,AI$7,$B8)</f>
        <v>#VALUE!</v>
      </c>
      <c r="AJ8" s="261" t="e">
        <f>ALUNOEQUIVALENTE(AI$6,AJ$7,$B8)</f>
        <v>#VALUE!</v>
      </c>
      <c r="AK8" s="261" t="e">
        <f>ALUNOEQUIVALENTE(AK$6,AK$7,$B8)</f>
        <v>#VALUE!</v>
      </c>
      <c r="AL8" s="261" t="e">
        <f>ALUNOEQUIVALENTE(AK$6,AL$7,$B8)</f>
        <v>#VALUE!</v>
      </c>
      <c r="AM8" s="261" t="e">
        <f>ALUNOEQUIVALENTE(AM$6,AM$7,$B8)</f>
        <v>#VALUE!</v>
      </c>
      <c r="AN8" s="261" t="e">
        <f>ALUNOEQUIVALENTE(AM$6,AN$7,$B8)</f>
        <v>#VALUE!</v>
      </c>
      <c r="AO8" s="261" t="e">
        <f>ALUNOEQUIVALENTE(AO$6,AO$7,$B8)</f>
        <v>#VALUE!</v>
      </c>
      <c r="AP8" s="261" t="e">
        <f>ALUNOEQUIVALENTE(AO$6,AP$7,$B8)</f>
        <v>#VALUE!</v>
      </c>
      <c r="AR8" s="417" t="s">
        <v>242</v>
      </c>
      <c r="AS8" s="417" t="e">
        <f t="shared" ref="AS8:BB11" si="0">ALUNOEQUIVALENTE(AS$6,AS$7,$AR8)</f>
        <v>#VALUE!</v>
      </c>
      <c r="AT8" s="417" t="e">
        <f t="shared" si="0"/>
        <v>#VALUE!</v>
      </c>
      <c r="AU8" s="417" t="e">
        <f t="shared" si="0"/>
        <v>#VALUE!</v>
      </c>
      <c r="AV8" s="417" t="e">
        <f t="shared" si="0"/>
        <v>#VALUE!</v>
      </c>
      <c r="AW8" s="417" t="e">
        <f t="shared" si="0"/>
        <v>#VALUE!</v>
      </c>
      <c r="AX8" s="417" t="e">
        <f t="shared" si="0"/>
        <v>#VALUE!</v>
      </c>
      <c r="AY8" s="417" t="e">
        <f t="shared" si="0"/>
        <v>#VALUE!</v>
      </c>
      <c r="AZ8" s="417" t="e">
        <f t="shared" si="0"/>
        <v>#VALUE!</v>
      </c>
      <c r="BA8" s="417" t="e">
        <f t="shared" si="0"/>
        <v>#VALUE!</v>
      </c>
      <c r="BB8" s="417" t="e">
        <f t="shared" si="0"/>
        <v>#VALUE!</v>
      </c>
      <c r="BC8" s="417" t="e">
        <f t="shared" ref="BC8:BL11" si="1">ALUNOEQUIVALENTE(BC$6,BC$7,$AR8)</f>
        <v>#VALUE!</v>
      </c>
      <c r="BD8" s="417" t="e">
        <f t="shared" si="1"/>
        <v>#VALUE!</v>
      </c>
      <c r="BE8" s="417" t="e">
        <f t="shared" si="1"/>
        <v>#VALUE!</v>
      </c>
      <c r="BF8" s="417" t="e">
        <f t="shared" si="1"/>
        <v>#VALUE!</v>
      </c>
      <c r="BG8" s="417" t="e">
        <f t="shared" si="1"/>
        <v>#VALUE!</v>
      </c>
      <c r="BH8" s="417" t="e">
        <f t="shared" si="1"/>
        <v>#VALUE!</v>
      </c>
      <c r="BI8" s="417" t="e">
        <f t="shared" si="1"/>
        <v>#VALUE!</v>
      </c>
      <c r="BJ8" s="417" t="e">
        <f t="shared" si="1"/>
        <v>#VALUE!</v>
      </c>
      <c r="BK8" s="417" t="e">
        <f t="shared" si="1"/>
        <v>#VALUE!</v>
      </c>
      <c r="BL8" s="417" t="e">
        <f t="shared" si="1"/>
        <v>#VALUE!</v>
      </c>
    </row>
    <row r="9" spans="1:64" x14ac:dyDescent="0.25">
      <c r="A9" s="256"/>
      <c r="B9" s="261" t="s">
        <v>1140</v>
      </c>
      <c r="C9" s="261" t="e">
        <f>ALUNOEQUIVALENTE(C$6,C$7,$B9)</f>
        <v>#VALUE!</v>
      </c>
      <c r="D9" s="261" t="e">
        <f>ALUNOEQUIVALENTE(C$6,D$7,$B9)</f>
        <v>#VALUE!</v>
      </c>
      <c r="E9" s="261" t="e">
        <f>ALUNOEQUIVALENTE(E$6,E$7,$B9)</f>
        <v>#VALUE!</v>
      </c>
      <c r="F9" s="261" t="e">
        <f>ALUNOEQUIVALENTE(E$6,F$7,$B9)</f>
        <v>#VALUE!</v>
      </c>
      <c r="G9" s="261" t="e">
        <f>ALUNOEQUIVALENTE(G$6,G$7,$B9)</f>
        <v>#VALUE!</v>
      </c>
      <c r="H9" s="261" t="e">
        <f>ALUNOEQUIVALENTE(G$6,H$7,$B9)</f>
        <v>#VALUE!</v>
      </c>
      <c r="I9" s="261" t="e">
        <f>ALUNOEQUIVALENTE(I$6,I$7,$B9)</f>
        <v>#VALUE!</v>
      </c>
      <c r="J9" s="261" t="e">
        <f>ALUNOEQUIVALENTE(I$6,J$7,$B9)</f>
        <v>#VALUE!</v>
      </c>
      <c r="K9" s="261" t="e">
        <f>ALUNOEQUIVALENTE(K$6,K$7,$B9)</f>
        <v>#VALUE!</v>
      </c>
      <c r="L9" s="261" t="e">
        <f>ALUNOEQUIVALENTE(K$6,L$7,$B9)</f>
        <v>#VALUE!</v>
      </c>
      <c r="M9" s="261" t="e">
        <f>ALUNOEQUIVALENTE(M$6,M$7,$B9)</f>
        <v>#VALUE!</v>
      </c>
      <c r="N9" s="261" t="e">
        <f>ALUNOEQUIVALENTE(M$6,N$7,$B9)</f>
        <v>#VALUE!</v>
      </c>
      <c r="O9" s="261" t="e">
        <f>ALUNOEQUIVALENTE(O$6,O$7,$B9)</f>
        <v>#VALUE!</v>
      </c>
      <c r="P9" s="261" t="e">
        <f>ALUNOEQUIVALENTE(O$6,P$7,$B9)</f>
        <v>#VALUE!</v>
      </c>
      <c r="Q9" s="261" t="e">
        <f>ALUNOEQUIVALENTE(Q$6,Q$7,$B9)</f>
        <v>#VALUE!</v>
      </c>
      <c r="R9" s="261" t="e">
        <f>ALUNOEQUIVALENTE(Q$6,R$7,$B9)</f>
        <v>#VALUE!</v>
      </c>
      <c r="S9" s="261" t="e">
        <f>ALUNOEQUIVALENTE(S$6,S$7,$B9)</f>
        <v>#VALUE!</v>
      </c>
      <c r="T9" s="261" t="e">
        <f>ALUNOEQUIVALENTE(S$6,T$7,$B9)</f>
        <v>#VALUE!</v>
      </c>
      <c r="U9" s="261" t="e">
        <f>ALUNOEQUIVALENTE(U$6,U$7,$B9)</f>
        <v>#VALUE!</v>
      </c>
      <c r="V9" s="261" t="e">
        <f>ALUNOEQUIVALENTE(U$6,V$7,$B9)</f>
        <v>#VALUE!</v>
      </c>
      <c r="W9" s="261" t="e">
        <f>ALUNOEQUIVALENTE(W$6,W$7,$B9)</f>
        <v>#VALUE!</v>
      </c>
      <c r="X9" s="261" t="e">
        <f>ALUNOEQUIVALENTE(W$6,X$7,$B9)</f>
        <v>#VALUE!</v>
      </c>
      <c r="Y9" s="261" t="e">
        <f>ALUNOEQUIVALENTE(Y$6,Y$7,$B9)</f>
        <v>#VALUE!</v>
      </c>
      <c r="Z9" s="261" t="e">
        <f>ALUNOEQUIVALENTE(Y$6,Z$7,$B9)</f>
        <v>#VALUE!</v>
      </c>
      <c r="AA9" s="261" t="e">
        <f>ALUNOEQUIVALENTE(AA$6,AA$7,$B9)</f>
        <v>#VALUE!</v>
      </c>
      <c r="AB9" s="261" t="e">
        <f>ALUNOEQUIVALENTE(AA$6,AB$7,$B9)</f>
        <v>#VALUE!</v>
      </c>
      <c r="AC9" s="261" t="e">
        <f>ALUNOEQUIVALENTE(AC$6,AC$7,$B9)</f>
        <v>#VALUE!</v>
      </c>
      <c r="AD9" s="261" t="e">
        <f>ALUNOEQUIVALENTE(AC$6,AD$7,$B9)</f>
        <v>#VALUE!</v>
      </c>
      <c r="AE9" s="261" t="e">
        <f>ALUNOEQUIVALENTE(AE$6,AE$7,$B9)</f>
        <v>#VALUE!</v>
      </c>
      <c r="AF9" s="261" t="e">
        <f>ALUNOEQUIVALENTE(AE$6,AF$7,$B9)</f>
        <v>#VALUE!</v>
      </c>
      <c r="AG9" s="261" t="e">
        <f>ALUNOEQUIVALENTE(AG$6,AG$7,$B9)</f>
        <v>#VALUE!</v>
      </c>
      <c r="AH9" s="261" t="e">
        <f>ALUNOEQUIVALENTE(AG$6,AH$7,$B9)</f>
        <v>#VALUE!</v>
      </c>
      <c r="AI9" s="261" t="e">
        <f>ALUNOEQUIVALENTE(AI$6,AI$7,$B9)</f>
        <v>#VALUE!</v>
      </c>
      <c r="AJ9" s="261" t="e">
        <f>AE8=ALUNOEQUIVALENTE(AI$6,AJ$7,$B9)</f>
        <v>#VALUE!</v>
      </c>
      <c r="AK9" s="261" t="e">
        <f>ALUNOEQUIVALENTE(AK$6,AK$7,$B9)</f>
        <v>#VALUE!</v>
      </c>
      <c r="AL9" s="261" t="e">
        <f>ALUNOEQUIVALENTE(AK$6,AL$7,$B9)</f>
        <v>#VALUE!</v>
      </c>
      <c r="AM9" s="261" t="e">
        <f>ALUNOEQUIVALENTE(AM$6,AM$7,$B9)</f>
        <v>#VALUE!</v>
      </c>
      <c r="AN9" s="261" t="e">
        <f>ALUNOEQUIVALENTE(AM$6,AN$7,$B9)</f>
        <v>#VALUE!</v>
      </c>
      <c r="AO9" s="261" t="e">
        <f>ALUNOEQUIVALENTE(AO$6,AO$7,$B9)</f>
        <v>#VALUE!</v>
      </c>
      <c r="AP9" s="261" t="e">
        <f>ALUNOEQUIVALENTE(AO$6,AP$7,$B9)</f>
        <v>#VALUE!</v>
      </c>
      <c r="AR9" s="417" t="s">
        <v>1140</v>
      </c>
      <c r="AS9" s="417" t="e">
        <f t="shared" si="0"/>
        <v>#VALUE!</v>
      </c>
      <c r="AT9" s="417" t="e">
        <f t="shared" si="0"/>
        <v>#VALUE!</v>
      </c>
      <c r="AU9" s="417" t="e">
        <f t="shared" si="0"/>
        <v>#VALUE!</v>
      </c>
      <c r="AV9" s="417" t="e">
        <f t="shared" si="0"/>
        <v>#VALUE!</v>
      </c>
      <c r="AW9" s="417" t="e">
        <f t="shared" si="0"/>
        <v>#VALUE!</v>
      </c>
      <c r="AX9" s="417" t="e">
        <f t="shared" si="0"/>
        <v>#VALUE!</v>
      </c>
      <c r="AY9" s="417" t="e">
        <f t="shared" si="0"/>
        <v>#VALUE!</v>
      </c>
      <c r="AZ9" s="417" t="e">
        <f t="shared" si="0"/>
        <v>#VALUE!</v>
      </c>
      <c r="BA9" s="417" t="e">
        <f t="shared" si="0"/>
        <v>#VALUE!</v>
      </c>
      <c r="BB9" s="417" t="e">
        <f t="shared" si="0"/>
        <v>#VALUE!</v>
      </c>
      <c r="BC9" s="417" t="e">
        <f t="shared" si="1"/>
        <v>#VALUE!</v>
      </c>
      <c r="BD9" s="417" t="e">
        <f t="shared" si="1"/>
        <v>#VALUE!</v>
      </c>
      <c r="BE9" s="417" t="e">
        <f t="shared" si="1"/>
        <v>#VALUE!</v>
      </c>
      <c r="BF9" s="417" t="e">
        <f t="shared" si="1"/>
        <v>#VALUE!</v>
      </c>
      <c r="BG9" s="417" t="e">
        <f t="shared" si="1"/>
        <v>#VALUE!</v>
      </c>
      <c r="BH9" s="417" t="e">
        <f t="shared" si="1"/>
        <v>#VALUE!</v>
      </c>
      <c r="BI9" s="417" t="e">
        <f t="shared" si="1"/>
        <v>#VALUE!</v>
      </c>
      <c r="BJ9" s="417" t="e">
        <f t="shared" si="1"/>
        <v>#VALUE!</v>
      </c>
      <c r="BK9" s="417" t="e">
        <f t="shared" si="1"/>
        <v>#VALUE!</v>
      </c>
      <c r="BL9" s="417" t="e">
        <f t="shared" si="1"/>
        <v>#VALUE!</v>
      </c>
    </row>
    <row r="10" spans="1:64" x14ac:dyDescent="0.25">
      <c r="A10" s="256"/>
      <c r="B10" s="261" t="s">
        <v>1141</v>
      </c>
      <c r="C10" s="261" t="e">
        <f>ALUNOEQUIVALENTE(C$6,C$7,$B10)</f>
        <v>#VALUE!</v>
      </c>
      <c r="D10" s="261" t="e">
        <f>ALUNOEQUIVALENTE(C$6,D$7,$B10)</f>
        <v>#VALUE!</v>
      </c>
      <c r="E10" s="261" t="e">
        <f>ALUNOEQUIVALENTE(E$6,E$7,$B10)</f>
        <v>#VALUE!</v>
      </c>
      <c r="F10" s="261" t="e">
        <f>ALUNOEQUIVALENTE(E$6,F$7,$B10)</f>
        <v>#VALUE!</v>
      </c>
      <c r="G10" s="261" t="e">
        <f>ALUNOEQUIVALENTE(G$6,G$7,$B10)</f>
        <v>#VALUE!</v>
      </c>
      <c r="H10" s="261" t="e">
        <f>ALUNOEQUIVALENTE(G$6,H$7,$B10)</f>
        <v>#VALUE!</v>
      </c>
      <c r="I10" s="261" t="e">
        <f>ALUNOEQUIVALENTE(I$6,I$7,$B10)</f>
        <v>#VALUE!</v>
      </c>
      <c r="J10" s="261" t="e">
        <f>ALUNOEQUIVALENTE(I$6,J$7,$B10)</f>
        <v>#VALUE!</v>
      </c>
      <c r="K10" s="261" t="e">
        <f>ALUNOEQUIVALENTE(K$6,K$7,$B10)</f>
        <v>#VALUE!</v>
      </c>
      <c r="L10" s="261" t="e">
        <f>ALUNOEQUIVALENTE(K$6,L$7,$B10)</f>
        <v>#VALUE!</v>
      </c>
      <c r="M10" s="261" t="e">
        <f>ALUNOEQUIVALENTE(M$6,M$7,$B10)</f>
        <v>#VALUE!</v>
      </c>
      <c r="N10" s="261" t="e">
        <f>ALUNOEQUIVALENTE(M$6,N$7,$B10)</f>
        <v>#VALUE!</v>
      </c>
      <c r="O10" s="261" t="e">
        <f>ALUNOEQUIVALENTE(O$6,O$7,$B10)</f>
        <v>#VALUE!</v>
      </c>
      <c r="P10" s="261" t="e">
        <f>ALUNOEQUIVALENTE(O$6,P$7,$B10)</f>
        <v>#VALUE!</v>
      </c>
      <c r="Q10" s="261" t="e">
        <f>ALUNOEQUIVALENTE(Q$6,Q$7,$B10)</f>
        <v>#VALUE!</v>
      </c>
      <c r="R10" s="261" t="e">
        <f>ALUNOEQUIVALENTE(Q$6,R$7,$B10)</f>
        <v>#VALUE!</v>
      </c>
      <c r="S10" s="261" t="e">
        <f>ALUNOEQUIVALENTE(S$6,S$7,$B10)</f>
        <v>#VALUE!</v>
      </c>
      <c r="T10" s="261" t="e">
        <f>ALUNOEQUIVALENTE(S$6,T$7,$B10)</f>
        <v>#VALUE!</v>
      </c>
      <c r="U10" s="261" t="e">
        <f>ALUNOEQUIVALENTE(U$6,U$7,$B10)</f>
        <v>#VALUE!</v>
      </c>
      <c r="V10" s="261" t="e">
        <f>ALUNOEQUIVALENTE(U$6,V$7,$B10)</f>
        <v>#VALUE!</v>
      </c>
      <c r="W10" s="261" t="e">
        <f>ALUNOEQUIVALENTE(W$6,W$7,$B10)</f>
        <v>#VALUE!</v>
      </c>
      <c r="X10" s="261" t="e">
        <f>ALUNOEQUIVALENTE(W$6,X$7,$B10)</f>
        <v>#VALUE!</v>
      </c>
      <c r="Y10" s="261" t="e">
        <f>ALUNOEQUIVALENTE(Y$6,Y$7,$B10)</f>
        <v>#VALUE!</v>
      </c>
      <c r="Z10" s="261" t="e">
        <f>ALUNOEQUIVALENTE(Y$6,Z$7,$B10)</f>
        <v>#VALUE!</v>
      </c>
      <c r="AA10" s="261" t="e">
        <f>ALUNOEQUIVALENTE(AA$6,AA$7,$B10)</f>
        <v>#VALUE!</v>
      </c>
      <c r="AB10" s="261" t="e">
        <f>ALUNOEQUIVALENTE(AA$6,AB$7,$B10)</f>
        <v>#VALUE!</v>
      </c>
      <c r="AC10" s="261" t="e">
        <f>ALUNOEQUIVALENTE(AC$6,AC$7,$B10)</f>
        <v>#VALUE!</v>
      </c>
      <c r="AD10" s="261" t="e">
        <f>ALUNOEQUIVALENTE(AC$6,AD$7,$B10)</f>
        <v>#VALUE!</v>
      </c>
      <c r="AE10" s="261" t="e">
        <f>ALUNOEQUIVALENTE(AE$6,AE$7,$B10)</f>
        <v>#VALUE!</v>
      </c>
      <c r="AF10" s="261" t="e">
        <f>ALUNOEQUIVALENTE(AE$6,AF$7,$B10)</f>
        <v>#VALUE!</v>
      </c>
      <c r="AG10" s="261" t="e">
        <f>ALUNOEQUIVALENTE(AG$6,AG$7,$B10)</f>
        <v>#VALUE!</v>
      </c>
      <c r="AH10" s="261" t="e">
        <f>ALUNOEQUIVALENTE(AG$6,AH$7,$B10)</f>
        <v>#VALUE!</v>
      </c>
      <c r="AI10" s="261" t="e">
        <f>ALUNOEQUIVALENTE(AI$6,AI$7,$B10)</f>
        <v>#VALUE!</v>
      </c>
      <c r="AJ10" s="261" t="e">
        <f>ALUNOEQUIVALENTE(AI$6,AJ$7,$B10)</f>
        <v>#VALUE!</v>
      </c>
      <c r="AK10" s="261" t="e">
        <f>ALUNOEQUIVALENTE(AK$6,AK$7,$B10)</f>
        <v>#VALUE!</v>
      </c>
      <c r="AL10" s="261" t="e">
        <f>ALUNOEQUIVALENTE(AK$6,AL$7,$B10)</f>
        <v>#VALUE!</v>
      </c>
      <c r="AM10" s="261" t="e">
        <f>ALUNOEQUIVALENTE(AM$6,AM$7,$B10)</f>
        <v>#VALUE!</v>
      </c>
      <c r="AN10" s="261" t="e">
        <f>ALUNOEQUIVALENTE(AM$6,AN$7,$B10)</f>
        <v>#VALUE!</v>
      </c>
      <c r="AO10" s="261" t="e">
        <f>ALUNOEQUIVALENTE(AO$6,AO$7,$B10)</f>
        <v>#VALUE!</v>
      </c>
      <c r="AP10" s="261" t="e">
        <f>ALUNOEQUIVALENTE(AO$6,AP$7,$B10)</f>
        <v>#VALUE!</v>
      </c>
      <c r="AR10" s="417" t="s">
        <v>1141</v>
      </c>
      <c r="AS10" s="417" t="e">
        <f t="shared" si="0"/>
        <v>#VALUE!</v>
      </c>
      <c r="AT10" s="417" t="e">
        <f t="shared" si="0"/>
        <v>#VALUE!</v>
      </c>
      <c r="AU10" s="417" t="e">
        <f t="shared" si="0"/>
        <v>#VALUE!</v>
      </c>
      <c r="AV10" s="417" t="e">
        <f t="shared" si="0"/>
        <v>#VALUE!</v>
      </c>
      <c r="AW10" s="417" t="e">
        <f t="shared" si="0"/>
        <v>#VALUE!</v>
      </c>
      <c r="AX10" s="417" t="e">
        <f t="shared" si="0"/>
        <v>#VALUE!</v>
      </c>
      <c r="AY10" s="417" t="e">
        <f t="shared" si="0"/>
        <v>#VALUE!</v>
      </c>
      <c r="AZ10" s="417" t="e">
        <f t="shared" si="0"/>
        <v>#VALUE!</v>
      </c>
      <c r="BA10" s="417" t="e">
        <f t="shared" si="0"/>
        <v>#VALUE!</v>
      </c>
      <c r="BB10" s="417" t="e">
        <f t="shared" si="0"/>
        <v>#VALUE!</v>
      </c>
      <c r="BC10" s="417" t="e">
        <f t="shared" si="1"/>
        <v>#VALUE!</v>
      </c>
      <c r="BD10" s="417" t="e">
        <f t="shared" si="1"/>
        <v>#VALUE!</v>
      </c>
      <c r="BE10" s="417" t="e">
        <f t="shared" si="1"/>
        <v>#VALUE!</v>
      </c>
      <c r="BF10" s="417" t="e">
        <f t="shared" si="1"/>
        <v>#VALUE!</v>
      </c>
      <c r="BG10" s="417" t="e">
        <f t="shared" si="1"/>
        <v>#VALUE!</v>
      </c>
      <c r="BH10" s="417" t="e">
        <f t="shared" si="1"/>
        <v>#VALUE!</v>
      </c>
      <c r="BI10" s="417" t="e">
        <f t="shared" si="1"/>
        <v>#VALUE!</v>
      </c>
      <c r="BJ10" s="417" t="e">
        <f t="shared" si="1"/>
        <v>#VALUE!</v>
      </c>
      <c r="BK10" s="417" t="e">
        <f t="shared" si="1"/>
        <v>#VALUE!</v>
      </c>
      <c r="BL10" s="417" t="e">
        <f t="shared" si="1"/>
        <v>#VALUE!</v>
      </c>
    </row>
    <row r="11" spans="1:64" x14ac:dyDescent="0.25">
      <c r="A11" s="256"/>
      <c r="B11" s="261" t="s">
        <v>1143</v>
      </c>
      <c r="C11" s="261" t="e">
        <f>ALUNOEQUIVALENTE(C$6,C$7,$B11)</f>
        <v>#VALUE!</v>
      </c>
      <c r="D11" s="261" t="e">
        <f>ALUNOEQUIVALENTE(C$6,D$7,$B11)</f>
        <v>#VALUE!</v>
      </c>
      <c r="E11" s="261" t="e">
        <f>ALUNOEQUIVALENTE(E$6,E$7,$B11)</f>
        <v>#VALUE!</v>
      </c>
      <c r="F11" s="261" t="e">
        <f>ALUNOEQUIVALENTE(E$6,F$7,$B11)</f>
        <v>#VALUE!</v>
      </c>
      <c r="G11" s="261" t="e">
        <f>ALUNOEQUIVALENTE(G$6,G$7,$B11)</f>
        <v>#VALUE!</v>
      </c>
      <c r="H11" s="261" t="e">
        <f>ALUNOEQUIVALENTE(G$6,H$7,$B11)</f>
        <v>#VALUE!</v>
      </c>
      <c r="I11" s="261" t="e">
        <f>ALUNOEQUIVALENTE(I$6,I$7,$B11)</f>
        <v>#VALUE!</v>
      </c>
      <c r="J11" s="261" t="e">
        <f>ALUNOEQUIVALENTE(I$6,J$7,$B11)</f>
        <v>#VALUE!</v>
      </c>
      <c r="K11" s="261" t="e">
        <f>ALUNOEQUIVALENTE(K$6,K$7,$B11)</f>
        <v>#VALUE!</v>
      </c>
      <c r="L11" s="261" t="e">
        <f>ALUNOEQUIVALENTE(K$6,L$7,$B11)</f>
        <v>#VALUE!</v>
      </c>
      <c r="M11" s="261" t="e">
        <f>ALUNOEQUIVALENTE(M$6,M$7,$B11)</f>
        <v>#VALUE!</v>
      </c>
      <c r="N11" s="261" t="e">
        <f>ALUNOEQUIVALENTE(M$6,N$7,$B11)</f>
        <v>#VALUE!</v>
      </c>
      <c r="O11" s="261" t="e">
        <f>ALUNOEQUIVALENTE(O$6,O$7,$B11)</f>
        <v>#VALUE!</v>
      </c>
      <c r="P11" s="261" t="e">
        <f>ALUNOEQUIVALENTE(O$6,P$7,$B11)</f>
        <v>#VALUE!</v>
      </c>
      <c r="Q11" s="261" t="e">
        <f>ALUNOEQUIVALENTE(Q$6,Q$7,$B11)</f>
        <v>#VALUE!</v>
      </c>
      <c r="R11" s="261" t="e">
        <f>ALUNOEQUIVALENTE(Q$6,R$7,$B11)</f>
        <v>#VALUE!</v>
      </c>
      <c r="S11" s="261" t="e">
        <f>ALUNOEQUIVALENTE(S$6,S$7,$B11)</f>
        <v>#VALUE!</v>
      </c>
      <c r="T11" s="261" t="e">
        <f>ALUNOEQUIVALENTE(S$6,T$7,$B11)</f>
        <v>#VALUE!</v>
      </c>
      <c r="U11" s="261" t="e">
        <f>ALUNOEQUIVALENTE(U$6,U$7,$B11)</f>
        <v>#VALUE!</v>
      </c>
      <c r="V11" s="261" t="e">
        <f>ALUNOEQUIVALENTE(U$6,V$7,$B11)</f>
        <v>#VALUE!</v>
      </c>
      <c r="W11" s="261" t="e">
        <f>ALUNOEQUIVALENTE(W$6,W$7,$B11)</f>
        <v>#VALUE!</v>
      </c>
      <c r="X11" s="261" t="e">
        <f>ALUNOEQUIVALENTE(W$6,X$7,$B11)</f>
        <v>#VALUE!</v>
      </c>
      <c r="Y11" s="261" t="e">
        <f>ALUNOEQUIVALENTE(Y$6,Y$7,$B11)</f>
        <v>#VALUE!</v>
      </c>
      <c r="Z11" s="261" t="e">
        <f>ALUNOEQUIVALENTE(Y$6,Z$7,$B11)</f>
        <v>#VALUE!</v>
      </c>
      <c r="AA11" s="261" t="e">
        <f>ALUNOEQUIVALENTE(AA$6,AA$7,$B11)</f>
        <v>#VALUE!</v>
      </c>
      <c r="AB11" s="261" t="e">
        <f>ALUNOEQUIVALENTE(AA$6,AB$7,$B11)</f>
        <v>#VALUE!</v>
      </c>
      <c r="AC11" s="261" t="e">
        <f>ALUNOEQUIVALENTE(AC$6,AC$7,$B11)</f>
        <v>#VALUE!</v>
      </c>
      <c r="AD11" s="261" t="e">
        <f>ALUNOEQUIVALENTE(AC$6,AD$7,$B11)</f>
        <v>#VALUE!</v>
      </c>
      <c r="AE11" s="261" t="e">
        <f>ALUNOEQUIVALENTE(AE$6,AE$7,$B11)</f>
        <v>#VALUE!</v>
      </c>
      <c r="AF11" s="261" t="e">
        <f>ALUNOEQUIVALENTE(AE$6,AF$7,$B11)</f>
        <v>#VALUE!</v>
      </c>
      <c r="AG11" s="261" t="e">
        <f>ALUNOEQUIVALENTE(AG$6,AG$7,$B11)</f>
        <v>#VALUE!</v>
      </c>
      <c r="AH11" s="261" t="e">
        <f>ALUNOEQUIVALENTE(AG$6,AH$7,$B11)</f>
        <v>#VALUE!</v>
      </c>
      <c r="AI11" s="261" t="e">
        <f>ALUNOEQUIVALENTE(AI$6,AI$7,$B11)</f>
        <v>#VALUE!</v>
      </c>
      <c r="AJ11" s="261" t="e">
        <f>ALUNOEQUIVALENTE(AI$6,AJ$7,$B11)</f>
        <v>#VALUE!</v>
      </c>
      <c r="AK11" s="261" t="e">
        <f>ALUNOEQUIVALENTE(AK$6,AK$7,$B11)</f>
        <v>#VALUE!</v>
      </c>
      <c r="AL11" s="261" t="e">
        <f>ALUNOEQUIVALENTE(AK$6,AL$7,$B11)</f>
        <v>#VALUE!</v>
      </c>
      <c r="AM11" s="261" t="e">
        <f>ALUNOEQUIVALENTE(AM$6,AM$7,$B11)</f>
        <v>#VALUE!</v>
      </c>
      <c r="AN11" s="261" t="e">
        <f>ALUNOEQUIVALENTE(AM$6,AN$7,$B11)</f>
        <v>#VALUE!</v>
      </c>
      <c r="AO11" s="261" t="e">
        <f>ALUNOEQUIVALENTE(AO$6,AO$7,$B11)</f>
        <v>#VALUE!</v>
      </c>
      <c r="AP11" s="261" t="e">
        <f>ALUNOEQUIVALENTE(AO$6,AP$7,$B11)</f>
        <v>#VALUE!</v>
      </c>
      <c r="AR11" s="417" t="s">
        <v>1143</v>
      </c>
      <c r="AS11" s="417" t="e">
        <f t="shared" si="0"/>
        <v>#VALUE!</v>
      </c>
      <c r="AT11" s="417" t="e">
        <f t="shared" si="0"/>
        <v>#VALUE!</v>
      </c>
      <c r="AU11" s="417" t="e">
        <f t="shared" si="0"/>
        <v>#VALUE!</v>
      </c>
      <c r="AV11" s="417" t="e">
        <f t="shared" si="0"/>
        <v>#VALUE!</v>
      </c>
      <c r="AW11" s="417" t="e">
        <f t="shared" si="0"/>
        <v>#VALUE!</v>
      </c>
      <c r="AX11" s="417" t="e">
        <f t="shared" si="0"/>
        <v>#VALUE!</v>
      </c>
      <c r="AY11" s="417" t="e">
        <f t="shared" si="0"/>
        <v>#VALUE!</v>
      </c>
      <c r="AZ11" s="417" t="e">
        <f t="shared" si="0"/>
        <v>#VALUE!</v>
      </c>
      <c r="BA11" s="417" t="e">
        <f t="shared" si="0"/>
        <v>#VALUE!</v>
      </c>
      <c r="BB11" s="417" t="e">
        <f t="shared" si="0"/>
        <v>#VALUE!</v>
      </c>
      <c r="BC11" s="417" t="e">
        <f t="shared" si="1"/>
        <v>#VALUE!</v>
      </c>
      <c r="BD11" s="417" t="e">
        <f t="shared" si="1"/>
        <v>#VALUE!</v>
      </c>
      <c r="BE11" s="417" t="e">
        <f t="shared" si="1"/>
        <v>#VALUE!</v>
      </c>
      <c r="BF11" s="417" t="e">
        <f t="shared" si="1"/>
        <v>#VALUE!</v>
      </c>
      <c r="BG11" s="417" t="e">
        <f t="shared" si="1"/>
        <v>#VALUE!</v>
      </c>
      <c r="BH11" s="417" t="e">
        <f t="shared" si="1"/>
        <v>#VALUE!</v>
      </c>
      <c r="BI11" s="417" t="e">
        <f t="shared" si="1"/>
        <v>#VALUE!</v>
      </c>
      <c r="BJ11" s="417" t="e">
        <f t="shared" si="1"/>
        <v>#VALUE!</v>
      </c>
      <c r="BK11" s="417" t="e">
        <f t="shared" si="1"/>
        <v>#VALUE!</v>
      </c>
      <c r="BL11" s="417" t="e">
        <f t="shared" si="1"/>
        <v>#VALUE!</v>
      </c>
    </row>
    <row r="12" spans="1:64" x14ac:dyDescent="0.25">
      <c r="A12" s="256"/>
      <c r="B12" s="261" t="s">
        <v>1142</v>
      </c>
      <c r="C12" s="261" t="e">
        <f>ALUNOEQUIVALENTE(C$6,C$7,$B12)</f>
        <v>#VALUE!</v>
      </c>
      <c r="D12" s="261" t="e">
        <f>ALUNOEQUIVALENTE(C$6,D$7,$B12)</f>
        <v>#VALUE!</v>
      </c>
      <c r="E12" s="261" t="e">
        <f>ALUNOEQUIVALENTE(E$6,E$7,$B12)</f>
        <v>#VALUE!</v>
      </c>
      <c r="F12" s="261" t="e">
        <f>ALUNOEQUIVALENTE(E$6,F$7,$B12)</f>
        <v>#VALUE!</v>
      </c>
      <c r="G12" s="261" t="e">
        <f>ALUNOEQUIVALENTE(G$6,G$7,$B12)</f>
        <v>#VALUE!</v>
      </c>
      <c r="H12" s="261" t="e">
        <f>ALUNOEQUIVALENTE(G$6,H$7,$B12)</f>
        <v>#VALUE!</v>
      </c>
      <c r="I12" s="261" t="e">
        <f>ALUNOEQUIVALENTE(I$6,I$7,$B12)</f>
        <v>#VALUE!</v>
      </c>
      <c r="J12" s="261" t="e">
        <f>ALUNOEQUIVALENTE(I$6,J$7,$B12)</f>
        <v>#VALUE!</v>
      </c>
      <c r="K12" s="261" t="e">
        <f>ALUNOEQUIVALENTE(K$6,K$7,$B12)</f>
        <v>#VALUE!</v>
      </c>
      <c r="L12" s="261" t="e">
        <f>ALUNOEQUIVALENTE(K$6,L$7,$B12)</f>
        <v>#VALUE!</v>
      </c>
      <c r="M12" s="261" t="e">
        <f>ALUNOEQUIVALENTE(M$6,M$7,$B12)</f>
        <v>#VALUE!</v>
      </c>
      <c r="N12" s="261" t="e">
        <f>ALUNOEQUIVALENTE(M$6,N$7,$B12)</f>
        <v>#VALUE!</v>
      </c>
      <c r="O12" s="261" t="e">
        <f>ALUNOEQUIVALENTE(O$6,O$7,$B12)</f>
        <v>#VALUE!</v>
      </c>
      <c r="P12" s="261" t="e">
        <f>ALUNOEQUIVALENTE(O$6,P$7,$B12)</f>
        <v>#VALUE!</v>
      </c>
      <c r="Q12" s="261" t="e">
        <f>ALUNOEQUIVALENTE(Q$6,Q$7,$B12)</f>
        <v>#VALUE!</v>
      </c>
      <c r="R12" s="261" t="e">
        <f>ALUNOEQUIVALENTE(Q$6,R$7,$B12)</f>
        <v>#VALUE!</v>
      </c>
      <c r="S12" s="261" t="e">
        <f>ALUNOEQUIVALENTE(S$6,S$7,$B12)</f>
        <v>#VALUE!</v>
      </c>
      <c r="T12" s="261" t="e">
        <f>ALUNOEQUIVALENTE(S$6,T$7,$B12)</f>
        <v>#VALUE!</v>
      </c>
      <c r="U12" s="261" t="e">
        <f>ALUNOEQUIVALENTE(U$6,U$7,$B12)</f>
        <v>#VALUE!</v>
      </c>
      <c r="V12" s="261" t="e">
        <f>ALUNOEQUIVALENTE(U$6,V$7,$B12)</f>
        <v>#VALUE!</v>
      </c>
      <c r="W12" s="261" t="e">
        <f>ALUNOEQUIVALENTE(W$6,W$7,$B12)</f>
        <v>#VALUE!</v>
      </c>
      <c r="X12" s="261" t="e">
        <f>ALUNOEQUIVALENTE(W$6,X$7,$B12)</f>
        <v>#VALUE!</v>
      </c>
      <c r="Y12" s="261" t="e">
        <f>ALUNOEQUIVALENTE(Y$6,Y$7,$B12)</f>
        <v>#VALUE!</v>
      </c>
      <c r="Z12" s="261" t="e">
        <f>ALUNOEQUIVALENTE(Y$6,Z$7,$B12)</f>
        <v>#VALUE!</v>
      </c>
      <c r="AA12" s="261" t="e">
        <f>ALUNOEQUIVALENTE(AA$6,AA$7,$B12)</f>
        <v>#VALUE!</v>
      </c>
      <c r="AB12" s="261" t="e">
        <f>ALUNOEQUIVALENTE(AA$6,AB$7,$B12)</f>
        <v>#VALUE!</v>
      </c>
      <c r="AC12" s="261" t="e">
        <f>ALUNOEQUIVALENTE(AC$6,AC$7,$B12)</f>
        <v>#VALUE!</v>
      </c>
      <c r="AD12" s="261" t="e">
        <f>ALUNOEQUIVALENTE(AC$6,AD$7,$B12)</f>
        <v>#VALUE!</v>
      </c>
      <c r="AE12" s="261" t="e">
        <f>ALUNOEQUIVALENTE(AE$6,AE$7,$B12)</f>
        <v>#VALUE!</v>
      </c>
      <c r="AF12" s="261" t="e">
        <f>ALUNOEQUIVALENTE(AE$6,AF$7,$B12)</f>
        <v>#VALUE!</v>
      </c>
      <c r="AG12" s="261" t="e">
        <f>ALUNOEQUIVALENTE(AG$6,AG$7,$B12)</f>
        <v>#VALUE!</v>
      </c>
      <c r="AH12" s="261" t="e">
        <f>ALUNOEQUIVALENTE(AG$6,AH$7,$B12)</f>
        <v>#VALUE!</v>
      </c>
      <c r="AI12" s="261" t="e">
        <f>ALUNOEQUIVALENTE(AI$6,AI$7,$B12)</f>
        <v>#VALUE!</v>
      </c>
      <c r="AJ12" s="261" t="e">
        <f>ALUNOEQUIVALENTE(AI$6,AJ$7,$B12)</f>
        <v>#VALUE!</v>
      </c>
      <c r="AK12" s="261" t="e">
        <f>ALUNOEQUIVALENTE(AK$6,AK$7,$B12)</f>
        <v>#VALUE!</v>
      </c>
      <c r="AL12" s="261" t="e">
        <f>ALUNOEQUIVALENTE(AK$6,AL$7,$B12)</f>
        <v>#VALUE!</v>
      </c>
      <c r="AM12" s="261" t="e">
        <f>ALUNOEQUIVALENTE(AM$6,AM$7,$B12)</f>
        <v>#VALUE!</v>
      </c>
      <c r="AN12" s="261" t="e">
        <f>ALUNOEQUIVALENTE(AM$6,AN$7,$B12)</f>
        <v>#VALUE!</v>
      </c>
      <c r="AO12" s="261" t="e">
        <f>ALUNOEQUIVALENTE(AO$6,AO$7,$B12)</f>
        <v>#VALUE!</v>
      </c>
      <c r="AP12" s="261" t="e">
        <f>ALUNOEQUIVALENTE(AO$6,AP$7,$B12)</f>
        <v>#VALUE!</v>
      </c>
      <c r="AR12" s="417" t="s">
        <v>1142</v>
      </c>
      <c r="AS12" s="417" t="e">
        <f t="shared" ref="AS12:BC12" si="2">ALUNOEQUIVALENTE(AS$6,AS$7,$AR12)</f>
        <v>#VALUE!</v>
      </c>
      <c r="AT12" s="417" t="e">
        <f t="shared" si="2"/>
        <v>#VALUE!</v>
      </c>
      <c r="AU12" s="417" t="e">
        <f t="shared" si="2"/>
        <v>#VALUE!</v>
      </c>
      <c r="AV12" s="417" t="e">
        <f t="shared" si="2"/>
        <v>#VALUE!</v>
      </c>
      <c r="AW12" s="417" t="e">
        <f t="shared" si="2"/>
        <v>#VALUE!</v>
      </c>
      <c r="AX12" s="417" t="e">
        <f t="shared" si="2"/>
        <v>#VALUE!</v>
      </c>
      <c r="AY12" s="417" t="e">
        <f t="shared" si="2"/>
        <v>#VALUE!</v>
      </c>
      <c r="AZ12" s="417" t="e">
        <f t="shared" si="2"/>
        <v>#VALUE!</v>
      </c>
      <c r="BA12" s="417" t="e">
        <f t="shared" si="2"/>
        <v>#VALUE!</v>
      </c>
      <c r="BB12" s="417" t="e">
        <f t="shared" si="2"/>
        <v>#VALUE!</v>
      </c>
      <c r="BC12" s="417" t="e">
        <f t="shared" si="2"/>
        <v>#VALUE!</v>
      </c>
      <c r="BD12" s="417" t="e">
        <f t="shared" ref="BD12:BL12" si="3">ALUNOEQUIVALENTE(BD$6,BD$7,$AR12)</f>
        <v>#VALUE!</v>
      </c>
      <c r="BE12" s="417" t="e">
        <f t="shared" si="3"/>
        <v>#VALUE!</v>
      </c>
      <c r="BF12" s="417" t="e">
        <f t="shared" si="3"/>
        <v>#VALUE!</v>
      </c>
      <c r="BG12" s="417" t="e">
        <f t="shared" si="3"/>
        <v>#VALUE!</v>
      </c>
      <c r="BH12" s="417" t="e">
        <f t="shared" si="3"/>
        <v>#VALUE!</v>
      </c>
      <c r="BI12" s="417" t="e">
        <f t="shared" si="3"/>
        <v>#VALUE!</v>
      </c>
      <c r="BJ12" s="417" t="e">
        <f t="shared" si="3"/>
        <v>#VALUE!</v>
      </c>
      <c r="BK12" s="417" t="e">
        <f t="shared" si="3"/>
        <v>#VALUE!</v>
      </c>
      <c r="BL12" s="417" t="e">
        <f t="shared" si="3"/>
        <v>#VALUE!</v>
      </c>
    </row>
    <row r="13" spans="1:64" x14ac:dyDescent="0.25">
      <c r="A13" s="256"/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57"/>
      <c r="S13" s="257"/>
      <c r="T13" s="257"/>
      <c r="U13" s="257"/>
      <c r="V13" s="257"/>
      <c r="W13" s="257"/>
      <c r="X13" s="257"/>
      <c r="Y13" s="257"/>
      <c r="Z13" s="257"/>
      <c r="AA13" s="257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257"/>
      <c r="AN13" s="257"/>
      <c r="AO13" s="257"/>
      <c r="AP13" s="258"/>
    </row>
    <row r="14" spans="1:64" x14ac:dyDescent="0.25">
      <c r="A14" s="256"/>
      <c r="B14" s="260" t="s">
        <v>1144</v>
      </c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257"/>
      <c r="T14" s="257"/>
      <c r="U14" s="257"/>
      <c r="V14" s="257"/>
      <c r="W14" s="257"/>
      <c r="X14" s="257"/>
      <c r="Y14" s="257"/>
      <c r="Z14" s="257"/>
      <c r="AA14" s="257"/>
      <c r="AB14" s="257"/>
      <c r="AC14" s="257"/>
      <c r="AD14" s="257"/>
      <c r="AE14" s="257"/>
      <c r="AF14" s="257"/>
      <c r="AG14" s="372"/>
      <c r="AH14" s="257"/>
      <c r="AI14" s="257"/>
      <c r="AJ14" s="257"/>
      <c r="AK14" s="257"/>
      <c r="AL14" s="257"/>
      <c r="AM14" s="257"/>
      <c r="AN14" s="257"/>
      <c r="AO14" s="257"/>
      <c r="AP14" s="258"/>
    </row>
    <row r="15" spans="1:64" x14ac:dyDescent="0.25">
      <c r="A15" s="256"/>
      <c r="B15" s="261" t="str">
        <f>B8</f>
        <v>Total</v>
      </c>
      <c r="C15" s="262" t="e">
        <f>IF(C$8&lt;&gt;0,C8/C$8,0)</f>
        <v>#VALUE!</v>
      </c>
      <c r="D15" s="262" t="e">
        <f t="shared" ref="D15:AP15" si="4">IF(D$8&lt;&gt;0,D8/D$8,0)</f>
        <v>#VALUE!</v>
      </c>
      <c r="E15" s="262" t="e">
        <f t="shared" si="4"/>
        <v>#VALUE!</v>
      </c>
      <c r="F15" s="262" t="e">
        <f t="shared" si="4"/>
        <v>#VALUE!</v>
      </c>
      <c r="G15" s="262" t="e">
        <f t="shared" si="4"/>
        <v>#VALUE!</v>
      </c>
      <c r="H15" s="262" t="e">
        <f t="shared" si="4"/>
        <v>#VALUE!</v>
      </c>
      <c r="I15" s="262" t="e">
        <f>IF(I$8&lt;&gt;0,I8/I$8,0)</f>
        <v>#VALUE!</v>
      </c>
      <c r="J15" s="262" t="e">
        <f t="shared" si="4"/>
        <v>#VALUE!</v>
      </c>
      <c r="K15" s="262" t="e">
        <f t="shared" si="4"/>
        <v>#VALUE!</v>
      </c>
      <c r="L15" s="262" t="e">
        <f t="shared" si="4"/>
        <v>#VALUE!</v>
      </c>
      <c r="M15" s="262" t="e">
        <f t="shared" si="4"/>
        <v>#VALUE!</v>
      </c>
      <c r="N15" s="262" t="e">
        <f t="shared" si="4"/>
        <v>#VALUE!</v>
      </c>
      <c r="O15" s="262" t="e">
        <f t="shared" si="4"/>
        <v>#VALUE!</v>
      </c>
      <c r="P15" s="262" t="e">
        <f t="shared" si="4"/>
        <v>#VALUE!</v>
      </c>
      <c r="Q15" s="262" t="e">
        <f t="shared" si="4"/>
        <v>#VALUE!</v>
      </c>
      <c r="R15" s="262" t="e">
        <f>IF(R$8&lt;&gt;0,R8/R$8,0)</f>
        <v>#VALUE!</v>
      </c>
      <c r="S15" s="262" t="e">
        <f t="shared" ref="S15:T19" si="5">IF(S$8&lt;&gt;0,S8/S$8,0)</f>
        <v>#VALUE!</v>
      </c>
      <c r="T15" s="262" t="e">
        <f t="shared" si="5"/>
        <v>#VALUE!</v>
      </c>
      <c r="U15" s="262" t="e">
        <f t="shared" ref="U15:Z19" si="6">IF(U$8&lt;&gt;0,U8/U$8,0)</f>
        <v>#VALUE!</v>
      </c>
      <c r="V15" s="262" t="e">
        <f>IF(V$8&lt;&gt;0,V8/V$8,0)</f>
        <v>#VALUE!</v>
      </c>
      <c r="W15" s="262" t="e">
        <f t="shared" si="6"/>
        <v>#VALUE!</v>
      </c>
      <c r="X15" s="262" t="e">
        <f t="shared" si="6"/>
        <v>#VALUE!</v>
      </c>
      <c r="Y15" s="262" t="e">
        <f t="shared" si="6"/>
        <v>#VALUE!</v>
      </c>
      <c r="Z15" s="262" t="e">
        <f t="shared" si="6"/>
        <v>#VALUE!</v>
      </c>
      <c r="AA15" s="262" t="e">
        <f>IF(AA$8&lt;&gt;0,AA8/AA$8,0)</f>
        <v>#VALUE!</v>
      </c>
      <c r="AB15" s="262" t="e">
        <f>IF(AB$8&lt;&gt;0,AB8/AB$8,0)</f>
        <v>#VALUE!</v>
      </c>
      <c r="AC15" s="262" t="e">
        <f>IF(AC$8&lt;&gt;0,AC8/AC$8,0)</f>
        <v>#VALUE!</v>
      </c>
      <c r="AD15" s="262" t="e">
        <f t="shared" si="4"/>
        <v>#VALUE!</v>
      </c>
      <c r="AE15" s="262" t="e">
        <f t="shared" ref="AE15:AF19" si="7">IF(AE$8&lt;&gt;0,AE8/AE$8,0)</f>
        <v>#VALUE!</v>
      </c>
      <c r="AF15" s="262" t="e">
        <f t="shared" si="7"/>
        <v>#VALUE!</v>
      </c>
      <c r="AG15" s="262" t="e">
        <f t="shared" si="4"/>
        <v>#VALUE!</v>
      </c>
      <c r="AH15" s="262" t="e">
        <f t="shared" si="4"/>
        <v>#VALUE!</v>
      </c>
      <c r="AI15" s="262" t="e">
        <f t="shared" si="4"/>
        <v>#VALUE!</v>
      </c>
      <c r="AJ15" s="262" t="e">
        <f t="shared" si="4"/>
        <v>#VALUE!</v>
      </c>
      <c r="AK15" s="262" t="e">
        <f t="shared" si="4"/>
        <v>#VALUE!</v>
      </c>
      <c r="AL15" s="262" t="e">
        <f t="shared" si="4"/>
        <v>#VALUE!</v>
      </c>
      <c r="AM15" s="262" t="e">
        <f t="shared" si="4"/>
        <v>#VALUE!</v>
      </c>
      <c r="AN15" s="262" t="e">
        <f t="shared" si="4"/>
        <v>#VALUE!</v>
      </c>
      <c r="AO15" s="262" t="e">
        <f t="shared" si="4"/>
        <v>#VALUE!</v>
      </c>
      <c r="AP15" s="263" t="e">
        <f t="shared" si="4"/>
        <v>#VALUE!</v>
      </c>
      <c r="AR15" s="417" t="s">
        <v>242</v>
      </c>
      <c r="AS15" s="262" t="e">
        <f t="shared" ref="AS15:BL15" si="8">IF(AS$8&lt;&gt;0,AS8/AS$8,0)</f>
        <v>#VALUE!</v>
      </c>
      <c r="AT15" s="262" t="e">
        <f t="shared" si="8"/>
        <v>#VALUE!</v>
      </c>
      <c r="AU15" s="262" t="e">
        <f t="shared" si="8"/>
        <v>#VALUE!</v>
      </c>
      <c r="AV15" s="262" t="e">
        <f t="shared" si="8"/>
        <v>#VALUE!</v>
      </c>
      <c r="AW15" s="262" t="e">
        <f t="shared" si="8"/>
        <v>#VALUE!</v>
      </c>
      <c r="AX15" s="262" t="e">
        <f t="shared" si="8"/>
        <v>#VALUE!</v>
      </c>
      <c r="AY15" s="262" t="e">
        <f t="shared" si="8"/>
        <v>#VALUE!</v>
      </c>
      <c r="AZ15" s="262" t="e">
        <f t="shared" si="8"/>
        <v>#VALUE!</v>
      </c>
      <c r="BA15" s="262" t="e">
        <f t="shared" si="8"/>
        <v>#VALUE!</v>
      </c>
      <c r="BB15" s="262" t="e">
        <f t="shared" si="8"/>
        <v>#VALUE!</v>
      </c>
      <c r="BC15" s="262" t="e">
        <f t="shared" si="8"/>
        <v>#VALUE!</v>
      </c>
      <c r="BD15" s="262" t="e">
        <f t="shared" si="8"/>
        <v>#VALUE!</v>
      </c>
      <c r="BE15" s="262" t="e">
        <f t="shared" si="8"/>
        <v>#VALUE!</v>
      </c>
      <c r="BF15" s="262" t="e">
        <f t="shared" si="8"/>
        <v>#VALUE!</v>
      </c>
      <c r="BG15" s="262" t="e">
        <f t="shared" si="8"/>
        <v>#VALUE!</v>
      </c>
      <c r="BH15" s="262" t="e">
        <f t="shared" si="8"/>
        <v>#VALUE!</v>
      </c>
      <c r="BI15" s="262" t="e">
        <f t="shared" si="8"/>
        <v>#VALUE!</v>
      </c>
      <c r="BJ15" s="262" t="e">
        <f t="shared" si="8"/>
        <v>#VALUE!</v>
      </c>
      <c r="BK15" s="262" t="e">
        <f t="shared" si="8"/>
        <v>#VALUE!</v>
      </c>
      <c r="BL15" s="262" t="e">
        <f t="shared" si="8"/>
        <v>#VALUE!</v>
      </c>
    </row>
    <row r="16" spans="1:64" x14ac:dyDescent="0.25">
      <c r="A16" s="256"/>
      <c r="B16" s="261" t="str">
        <f>B9</f>
        <v>Ensino médio</v>
      </c>
      <c r="C16" s="262" t="e">
        <f t="shared" ref="C16:AP16" si="9">IF(C$8&lt;&gt;0,C9/C$8,0)</f>
        <v>#VALUE!</v>
      </c>
      <c r="D16" s="262" t="e">
        <f t="shared" si="9"/>
        <v>#VALUE!</v>
      </c>
      <c r="E16" s="262" t="e">
        <f t="shared" si="9"/>
        <v>#VALUE!</v>
      </c>
      <c r="F16" s="262" t="e">
        <f t="shared" si="9"/>
        <v>#VALUE!</v>
      </c>
      <c r="G16" s="262" t="e">
        <f t="shared" si="9"/>
        <v>#VALUE!</v>
      </c>
      <c r="H16" s="262" t="e">
        <f t="shared" si="9"/>
        <v>#VALUE!</v>
      </c>
      <c r="I16" s="262" t="e">
        <f t="shared" si="9"/>
        <v>#VALUE!</v>
      </c>
      <c r="J16" s="262" t="e">
        <f t="shared" si="9"/>
        <v>#VALUE!</v>
      </c>
      <c r="K16" s="262" t="e">
        <f t="shared" si="9"/>
        <v>#VALUE!</v>
      </c>
      <c r="L16" s="262" t="e">
        <f t="shared" si="9"/>
        <v>#VALUE!</v>
      </c>
      <c r="M16" s="262" t="e">
        <f t="shared" si="9"/>
        <v>#VALUE!</v>
      </c>
      <c r="N16" s="262" t="e">
        <f t="shared" si="9"/>
        <v>#VALUE!</v>
      </c>
      <c r="O16" s="262" t="e">
        <f t="shared" si="9"/>
        <v>#VALUE!</v>
      </c>
      <c r="P16" s="262" t="e">
        <f t="shared" si="9"/>
        <v>#VALUE!</v>
      </c>
      <c r="Q16" s="262" t="e">
        <f t="shared" si="9"/>
        <v>#VALUE!</v>
      </c>
      <c r="R16" s="262" t="e">
        <f>IF(R$8&lt;&gt;0,R9/R$8,0)</f>
        <v>#VALUE!</v>
      </c>
      <c r="S16" s="262" t="e">
        <f t="shared" si="5"/>
        <v>#VALUE!</v>
      </c>
      <c r="T16" s="262" t="e">
        <f>IF(T$8&lt;&gt;0,T9/T$8,0)</f>
        <v>#VALUE!</v>
      </c>
      <c r="U16" s="262" t="e">
        <f>IF(U$8&lt;&gt;0,U9/U$8,0)</f>
        <v>#VALUE!</v>
      </c>
      <c r="V16" s="262" t="e">
        <f>IF(V$8&lt;&gt;0,V9/V$8,0)</f>
        <v>#VALUE!</v>
      </c>
      <c r="W16" s="262" t="e">
        <f t="shared" ref="W16:AB17" si="10">IF(W$8&lt;&gt;0,W9/W$8,0)</f>
        <v>#VALUE!</v>
      </c>
      <c r="X16" s="262" t="e">
        <f t="shared" si="10"/>
        <v>#VALUE!</v>
      </c>
      <c r="Y16" s="262" t="e">
        <f t="shared" si="10"/>
        <v>#VALUE!</v>
      </c>
      <c r="Z16" s="262" t="e">
        <f t="shared" si="10"/>
        <v>#VALUE!</v>
      </c>
      <c r="AA16" s="262" t="e">
        <f t="shared" si="10"/>
        <v>#VALUE!</v>
      </c>
      <c r="AB16" s="262" t="e">
        <f t="shared" si="10"/>
        <v>#VALUE!</v>
      </c>
      <c r="AC16" s="262" t="e">
        <f>IF(AC$8&lt;&gt;0,AC9/AC$8,0)</f>
        <v>#VALUE!</v>
      </c>
      <c r="AD16" s="262" t="e">
        <f t="shared" si="9"/>
        <v>#VALUE!</v>
      </c>
      <c r="AE16" s="262" t="e">
        <f t="shared" si="7"/>
        <v>#VALUE!</v>
      </c>
      <c r="AF16" s="262" t="e">
        <f t="shared" si="7"/>
        <v>#VALUE!</v>
      </c>
      <c r="AG16" s="262" t="e">
        <f t="shared" si="9"/>
        <v>#VALUE!</v>
      </c>
      <c r="AH16" s="262" t="e">
        <f>IF(AH$8&lt;&gt;0,AH9/AH$8,0)</f>
        <v>#VALUE!</v>
      </c>
      <c r="AI16" s="262" t="e">
        <f t="shared" si="9"/>
        <v>#VALUE!</v>
      </c>
      <c r="AJ16" s="262" t="e">
        <f t="shared" si="9"/>
        <v>#VALUE!</v>
      </c>
      <c r="AK16" s="262" t="e">
        <f>IF(AK$8&lt;&gt;0,AK9/AK$8,0)</f>
        <v>#VALUE!</v>
      </c>
      <c r="AL16" s="262" t="e">
        <f t="shared" si="9"/>
        <v>#VALUE!</v>
      </c>
      <c r="AM16" s="262" t="e">
        <f t="shared" si="9"/>
        <v>#VALUE!</v>
      </c>
      <c r="AN16" s="262" t="e">
        <f t="shared" si="9"/>
        <v>#VALUE!</v>
      </c>
      <c r="AO16" s="262" t="e">
        <f t="shared" si="9"/>
        <v>#VALUE!</v>
      </c>
      <c r="AP16" s="263" t="e">
        <f t="shared" si="9"/>
        <v>#VALUE!</v>
      </c>
      <c r="AR16" s="417" t="s">
        <v>1140</v>
      </c>
      <c r="AS16" s="262" t="e">
        <f t="shared" ref="AS16:BL16" si="11">IF(AS$8&lt;&gt;0,AS9/AS$8,0)</f>
        <v>#VALUE!</v>
      </c>
      <c r="AT16" s="262" t="e">
        <f t="shared" si="11"/>
        <v>#VALUE!</v>
      </c>
      <c r="AU16" s="262" t="e">
        <f t="shared" si="11"/>
        <v>#VALUE!</v>
      </c>
      <c r="AV16" s="262" t="e">
        <f t="shared" si="11"/>
        <v>#VALUE!</v>
      </c>
      <c r="AW16" s="262" t="e">
        <f t="shared" si="11"/>
        <v>#VALUE!</v>
      </c>
      <c r="AX16" s="262" t="e">
        <f t="shared" si="11"/>
        <v>#VALUE!</v>
      </c>
      <c r="AY16" s="262" t="e">
        <f t="shared" si="11"/>
        <v>#VALUE!</v>
      </c>
      <c r="AZ16" s="262" t="e">
        <f t="shared" si="11"/>
        <v>#VALUE!</v>
      </c>
      <c r="BA16" s="262" t="e">
        <f t="shared" si="11"/>
        <v>#VALUE!</v>
      </c>
      <c r="BB16" s="262" t="e">
        <f t="shared" si="11"/>
        <v>#VALUE!</v>
      </c>
      <c r="BC16" s="262" t="e">
        <f t="shared" si="11"/>
        <v>#VALUE!</v>
      </c>
      <c r="BD16" s="262" t="e">
        <f t="shared" si="11"/>
        <v>#VALUE!</v>
      </c>
      <c r="BE16" s="262" t="e">
        <f t="shared" si="11"/>
        <v>#VALUE!</v>
      </c>
      <c r="BF16" s="262" t="e">
        <f t="shared" si="11"/>
        <v>#VALUE!</v>
      </c>
      <c r="BG16" s="262" t="e">
        <f t="shared" si="11"/>
        <v>#VALUE!</v>
      </c>
      <c r="BH16" s="262" t="e">
        <f t="shared" si="11"/>
        <v>#VALUE!</v>
      </c>
      <c r="BI16" s="262" t="e">
        <f t="shared" si="11"/>
        <v>#VALUE!</v>
      </c>
      <c r="BJ16" s="262" t="e">
        <f t="shared" si="11"/>
        <v>#VALUE!</v>
      </c>
      <c r="BK16" s="262" t="e">
        <f t="shared" si="11"/>
        <v>#VALUE!</v>
      </c>
      <c r="BL16" s="262" t="e">
        <f t="shared" si="11"/>
        <v>#VALUE!</v>
      </c>
    </row>
    <row r="17" spans="1:64" x14ac:dyDescent="0.25">
      <c r="A17" s="256"/>
      <c r="B17" s="261" t="str">
        <f>B10</f>
        <v>Cursos de formação</v>
      </c>
      <c r="C17" s="262" t="e">
        <f t="shared" ref="C17:AP17" si="12">IF(C$8&lt;&gt;0,C10/C$8,0)</f>
        <v>#VALUE!</v>
      </c>
      <c r="D17" s="262" t="e">
        <f t="shared" si="12"/>
        <v>#VALUE!</v>
      </c>
      <c r="E17" s="262" t="e">
        <f t="shared" si="12"/>
        <v>#VALUE!</v>
      </c>
      <c r="F17" s="262" t="e">
        <f t="shared" si="12"/>
        <v>#VALUE!</v>
      </c>
      <c r="G17" s="262" t="e">
        <f t="shared" si="12"/>
        <v>#VALUE!</v>
      </c>
      <c r="H17" s="262" t="e">
        <f t="shared" si="12"/>
        <v>#VALUE!</v>
      </c>
      <c r="I17" s="262" t="e">
        <f t="shared" si="12"/>
        <v>#VALUE!</v>
      </c>
      <c r="J17" s="262" t="e">
        <f t="shared" si="12"/>
        <v>#VALUE!</v>
      </c>
      <c r="K17" s="262" t="e">
        <f t="shared" si="12"/>
        <v>#VALUE!</v>
      </c>
      <c r="L17" s="262" t="e">
        <f t="shared" si="12"/>
        <v>#VALUE!</v>
      </c>
      <c r="M17" s="262" t="e">
        <f t="shared" si="12"/>
        <v>#VALUE!</v>
      </c>
      <c r="N17" s="262" t="e">
        <f t="shared" si="12"/>
        <v>#VALUE!</v>
      </c>
      <c r="O17" s="262" t="e">
        <f t="shared" si="12"/>
        <v>#VALUE!</v>
      </c>
      <c r="P17" s="262" t="e">
        <f t="shared" si="12"/>
        <v>#VALUE!</v>
      </c>
      <c r="Q17" s="262" t="e">
        <f t="shared" si="12"/>
        <v>#VALUE!</v>
      </c>
      <c r="R17" s="262" t="e">
        <f>IF(R$8&lt;&gt;0,R10/R$8,0)</f>
        <v>#VALUE!</v>
      </c>
      <c r="S17" s="262" t="e">
        <f t="shared" si="5"/>
        <v>#VALUE!</v>
      </c>
      <c r="T17" s="262" t="e">
        <f t="shared" si="5"/>
        <v>#VALUE!</v>
      </c>
      <c r="U17" s="262" t="e">
        <f t="shared" si="6"/>
        <v>#VALUE!</v>
      </c>
      <c r="V17" s="262" t="e">
        <f t="shared" si="6"/>
        <v>#VALUE!</v>
      </c>
      <c r="W17" s="262" t="e">
        <f t="shared" si="10"/>
        <v>#VALUE!</v>
      </c>
      <c r="X17" s="262" t="e">
        <f t="shared" si="10"/>
        <v>#VALUE!</v>
      </c>
      <c r="Y17" s="262" t="e">
        <f t="shared" si="10"/>
        <v>#VALUE!</v>
      </c>
      <c r="Z17" s="262" t="e">
        <f t="shared" si="10"/>
        <v>#VALUE!</v>
      </c>
      <c r="AA17" s="262" t="e">
        <f t="shared" si="10"/>
        <v>#VALUE!</v>
      </c>
      <c r="AB17" s="262" t="e">
        <f t="shared" si="10"/>
        <v>#VALUE!</v>
      </c>
      <c r="AC17" s="262" t="e">
        <f>IF(AC$8&lt;&gt;0,AC10/AC$8,0)</f>
        <v>#VALUE!</v>
      </c>
      <c r="AD17" s="262" t="e">
        <f>IF(AD$8&lt;&gt;0,AD10/AD$8,0)</f>
        <v>#VALUE!</v>
      </c>
      <c r="AE17" s="262" t="e">
        <f t="shared" si="7"/>
        <v>#VALUE!</v>
      </c>
      <c r="AF17" s="262" t="e">
        <f t="shared" si="7"/>
        <v>#VALUE!</v>
      </c>
      <c r="AG17" s="262" t="e">
        <f t="shared" si="12"/>
        <v>#VALUE!</v>
      </c>
      <c r="AH17" s="262" t="e">
        <f t="shared" si="12"/>
        <v>#VALUE!</v>
      </c>
      <c r="AI17" s="262" t="e">
        <f t="shared" si="12"/>
        <v>#VALUE!</v>
      </c>
      <c r="AJ17" s="262" t="e">
        <f>IF(AJ$8&lt;&gt;0,AJ10/AJ$8,0)</f>
        <v>#VALUE!</v>
      </c>
      <c r="AK17" s="262" t="e">
        <f>IF(AK$8&lt;&gt;0,AK10/AK$8,0)</f>
        <v>#VALUE!</v>
      </c>
      <c r="AL17" s="262" t="e">
        <f t="shared" si="12"/>
        <v>#VALUE!</v>
      </c>
      <c r="AM17" s="262" t="e">
        <f>IF(AM$8&lt;&gt;0,AM10/AM$8,0)</f>
        <v>#VALUE!</v>
      </c>
      <c r="AN17" s="262" t="e">
        <f>IF(AN$8&lt;&gt;0,AN10/AN$8,0)</f>
        <v>#VALUE!</v>
      </c>
      <c r="AO17" s="262" t="e">
        <f>IF(AO$8&lt;&gt;0,AO10/AO$8,0)</f>
        <v>#VALUE!</v>
      </c>
      <c r="AP17" s="263" t="e">
        <f t="shared" si="12"/>
        <v>#VALUE!</v>
      </c>
      <c r="AR17" s="417" t="s">
        <v>1141</v>
      </c>
      <c r="AS17" s="262" t="e">
        <f t="shared" ref="AS17:BL17" si="13">IF(AS$8&lt;&gt;0,AS10/AS$8,0)</f>
        <v>#VALUE!</v>
      </c>
      <c r="AT17" s="262" t="e">
        <f t="shared" si="13"/>
        <v>#VALUE!</v>
      </c>
      <c r="AU17" s="262" t="e">
        <f t="shared" si="13"/>
        <v>#VALUE!</v>
      </c>
      <c r="AV17" s="262" t="e">
        <f t="shared" si="13"/>
        <v>#VALUE!</v>
      </c>
      <c r="AW17" s="262" t="e">
        <f t="shared" si="13"/>
        <v>#VALUE!</v>
      </c>
      <c r="AX17" s="262" t="e">
        <f t="shared" si="13"/>
        <v>#VALUE!</v>
      </c>
      <c r="AY17" s="262" t="e">
        <f t="shared" si="13"/>
        <v>#VALUE!</v>
      </c>
      <c r="AZ17" s="262" t="e">
        <f t="shared" si="13"/>
        <v>#VALUE!</v>
      </c>
      <c r="BA17" s="262" t="e">
        <f t="shared" si="13"/>
        <v>#VALUE!</v>
      </c>
      <c r="BB17" s="262" t="e">
        <f t="shared" si="13"/>
        <v>#VALUE!</v>
      </c>
      <c r="BC17" s="262" t="e">
        <f t="shared" si="13"/>
        <v>#VALUE!</v>
      </c>
      <c r="BD17" s="262" t="e">
        <f t="shared" si="13"/>
        <v>#VALUE!</v>
      </c>
      <c r="BE17" s="262" t="e">
        <f t="shared" si="13"/>
        <v>#VALUE!</v>
      </c>
      <c r="BF17" s="262" t="e">
        <f t="shared" si="13"/>
        <v>#VALUE!</v>
      </c>
      <c r="BG17" s="262" t="e">
        <f t="shared" si="13"/>
        <v>#VALUE!</v>
      </c>
      <c r="BH17" s="262" t="e">
        <f t="shared" si="13"/>
        <v>#VALUE!</v>
      </c>
      <c r="BI17" s="262" t="e">
        <f t="shared" si="13"/>
        <v>#VALUE!</v>
      </c>
      <c r="BJ17" s="262" t="e">
        <f t="shared" si="13"/>
        <v>#VALUE!</v>
      </c>
      <c r="BK17" s="262" t="e">
        <f t="shared" si="13"/>
        <v>#VALUE!</v>
      </c>
      <c r="BL17" s="262" t="e">
        <f t="shared" si="13"/>
        <v>#VALUE!</v>
      </c>
    </row>
    <row r="18" spans="1:64" x14ac:dyDescent="0.25">
      <c r="A18" s="256"/>
      <c r="B18" s="261" t="str">
        <f>B11</f>
        <v>Outros</v>
      </c>
      <c r="C18" s="262" t="e">
        <f t="shared" ref="C18:AP18" si="14">IF(C$8&lt;&gt;0,C11/C$8,0)</f>
        <v>#VALUE!</v>
      </c>
      <c r="D18" s="262" t="e">
        <f t="shared" si="14"/>
        <v>#VALUE!</v>
      </c>
      <c r="E18" s="262" t="e">
        <f t="shared" si="14"/>
        <v>#VALUE!</v>
      </c>
      <c r="F18" s="262" t="e">
        <f t="shared" si="14"/>
        <v>#VALUE!</v>
      </c>
      <c r="G18" s="262" t="e">
        <f t="shared" si="14"/>
        <v>#VALUE!</v>
      </c>
      <c r="H18" s="262" t="e">
        <f t="shared" si="14"/>
        <v>#VALUE!</v>
      </c>
      <c r="I18" s="262" t="e">
        <f t="shared" si="14"/>
        <v>#VALUE!</v>
      </c>
      <c r="J18" s="262" t="e">
        <f t="shared" si="14"/>
        <v>#VALUE!</v>
      </c>
      <c r="K18" s="262" t="e">
        <f t="shared" si="14"/>
        <v>#VALUE!</v>
      </c>
      <c r="L18" s="262" t="e">
        <f t="shared" si="14"/>
        <v>#VALUE!</v>
      </c>
      <c r="M18" s="262" t="e">
        <f t="shared" si="14"/>
        <v>#VALUE!</v>
      </c>
      <c r="N18" s="262" t="e">
        <f t="shared" si="14"/>
        <v>#VALUE!</v>
      </c>
      <c r="O18" s="262" t="e">
        <f t="shared" si="14"/>
        <v>#VALUE!</v>
      </c>
      <c r="P18" s="262" t="e">
        <f>IF(P$8&lt;&gt;0,P11/P$8,0)</f>
        <v>#VALUE!</v>
      </c>
      <c r="Q18" s="262" t="e">
        <f t="shared" si="14"/>
        <v>#VALUE!</v>
      </c>
      <c r="R18" s="262" t="e">
        <f>IF(R$8&lt;&gt;0,R11/R$8,0)</f>
        <v>#VALUE!</v>
      </c>
      <c r="S18" s="262" t="e">
        <f>IF(S$8&lt;&gt;0,S11/S$8,0)</f>
        <v>#VALUE!</v>
      </c>
      <c r="T18" s="262" t="e">
        <f t="shared" si="5"/>
        <v>#VALUE!</v>
      </c>
      <c r="U18" s="262" t="e">
        <f t="shared" si="6"/>
        <v>#VALUE!</v>
      </c>
      <c r="V18" s="262" t="e">
        <f t="shared" si="6"/>
        <v>#VALUE!</v>
      </c>
      <c r="W18" s="262" t="e">
        <f t="shared" si="6"/>
        <v>#VALUE!</v>
      </c>
      <c r="X18" s="262" t="e">
        <f>IF(X$8&lt;&gt;0,X11/X$8,0)</f>
        <v>#VALUE!</v>
      </c>
      <c r="Y18" s="262" t="e">
        <f t="shared" si="6"/>
        <v>#VALUE!</v>
      </c>
      <c r="Z18" s="262" t="e">
        <f t="shared" ref="Z18:AB19" si="15">IF(Z$8&lt;&gt;0,Z11/Z$8,0)</f>
        <v>#VALUE!</v>
      </c>
      <c r="AA18" s="262" t="e">
        <f t="shared" si="15"/>
        <v>#VALUE!</v>
      </c>
      <c r="AB18" s="262" t="e">
        <f t="shared" si="15"/>
        <v>#VALUE!</v>
      </c>
      <c r="AC18" s="262" t="e">
        <f>IF(AC$8&lt;&gt;0,AC11/AC$8,0)</f>
        <v>#VALUE!</v>
      </c>
      <c r="AD18" s="262" t="e">
        <f>IF(AD$8&lt;&gt;0,AD11/AD$8,0)</f>
        <v>#VALUE!</v>
      </c>
      <c r="AE18" s="262" t="e">
        <f t="shared" si="7"/>
        <v>#VALUE!</v>
      </c>
      <c r="AF18" s="262" t="e">
        <f t="shared" si="7"/>
        <v>#VALUE!</v>
      </c>
      <c r="AG18" s="262" t="e">
        <f t="shared" si="14"/>
        <v>#VALUE!</v>
      </c>
      <c r="AH18" s="262" t="e">
        <f t="shared" si="14"/>
        <v>#VALUE!</v>
      </c>
      <c r="AI18" s="262" t="e">
        <f t="shared" si="14"/>
        <v>#VALUE!</v>
      </c>
      <c r="AJ18" s="262" t="e">
        <f>IF(AJ$8&lt;&gt;0,AJ11/AJ$8,0)</f>
        <v>#VALUE!</v>
      </c>
      <c r="AK18" s="262" t="e">
        <f t="shared" si="14"/>
        <v>#VALUE!</v>
      </c>
      <c r="AL18" s="262" t="e">
        <f t="shared" si="14"/>
        <v>#VALUE!</v>
      </c>
      <c r="AM18" s="262" t="e">
        <f t="shared" si="14"/>
        <v>#VALUE!</v>
      </c>
      <c r="AN18" s="262" t="e">
        <f>IF(AN$8&lt;&gt;0,AN11/AN$8,0)</f>
        <v>#VALUE!</v>
      </c>
      <c r="AO18" s="262" t="e">
        <f t="shared" si="14"/>
        <v>#VALUE!</v>
      </c>
      <c r="AP18" s="263" t="e">
        <f t="shared" si="14"/>
        <v>#VALUE!</v>
      </c>
      <c r="AR18" s="417" t="s">
        <v>1143</v>
      </c>
      <c r="AS18" s="262" t="e">
        <f t="shared" ref="AS18:BL18" si="16">IF(AS$8&lt;&gt;0,AS11/AS$8,0)</f>
        <v>#VALUE!</v>
      </c>
      <c r="AT18" s="262" t="e">
        <f t="shared" si="16"/>
        <v>#VALUE!</v>
      </c>
      <c r="AU18" s="262" t="e">
        <f t="shared" si="16"/>
        <v>#VALUE!</v>
      </c>
      <c r="AV18" s="262" t="e">
        <f t="shared" si="16"/>
        <v>#VALUE!</v>
      </c>
      <c r="AW18" s="262" t="e">
        <f t="shared" si="16"/>
        <v>#VALUE!</v>
      </c>
      <c r="AX18" s="262" t="e">
        <f t="shared" si="16"/>
        <v>#VALUE!</v>
      </c>
      <c r="AY18" s="262" t="e">
        <f t="shared" si="16"/>
        <v>#VALUE!</v>
      </c>
      <c r="AZ18" s="262" t="e">
        <f t="shared" si="16"/>
        <v>#VALUE!</v>
      </c>
      <c r="BA18" s="262" t="e">
        <f t="shared" si="16"/>
        <v>#VALUE!</v>
      </c>
      <c r="BB18" s="262" t="e">
        <f t="shared" si="16"/>
        <v>#VALUE!</v>
      </c>
      <c r="BC18" s="262" t="e">
        <f t="shared" si="16"/>
        <v>#VALUE!</v>
      </c>
      <c r="BD18" s="262" t="e">
        <f t="shared" si="16"/>
        <v>#VALUE!</v>
      </c>
      <c r="BE18" s="262" t="e">
        <f t="shared" si="16"/>
        <v>#VALUE!</v>
      </c>
      <c r="BF18" s="262" t="e">
        <f t="shared" si="16"/>
        <v>#VALUE!</v>
      </c>
      <c r="BG18" s="262" t="e">
        <f t="shared" si="16"/>
        <v>#VALUE!</v>
      </c>
      <c r="BH18" s="262" t="e">
        <f t="shared" si="16"/>
        <v>#VALUE!</v>
      </c>
      <c r="BI18" s="262" t="e">
        <f t="shared" si="16"/>
        <v>#VALUE!</v>
      </c>
      <c r="BJ18" s="262" t="e">
        <f t="shared" si="16"/>
        <v>#VALUE!</v>
      </c>
      <c r="BK18" s="262" t="e">
        <f t="shared" si="16"/>
        <v>#VALUE!</v>
      </c>
      <c r="BL18" s="262" t="e">
        <f t="shared" si="16"/>
        <v>#VALUE!</v>
      </c>
    </row>
    <row r="19" spans="1:64" x14ac:dyDescent="0.25">
      <c r="A19" s="256"/>
      <c r="B19" s="261" t="str">
        <f>B12</f>
        <v>EJA</v>
      </c>
      <c r="C19" s="262" t="e">
        <f t="shared" ref="C19:AP19" si="17">IF(C$8&lt;&gt;0,C12/C$8,0)</f>
        <v>#VALUE!</v>
      </c>
      <c r="D19" s="262" t="e">
        <f t="shared" si="17"/>
        <v>#VALUE!</v>
      </c>
      <c r="E19" s="262" t="e">
        <f t="shared" si="17"/>
        <v>#VALUE!</v>
      </c>
      <c r="F19" s="262" t="e">
        <f t="shared" si="17"/>
        <v>#VALUE!</v>
      </c>
      <c r="G19" s="262" t="e">
        <f t="shared" si="17"/>
        <v>#VALUE!</v>
      </c>
      <c r="H19" s="262" t="e">
        <f t="shared" si="17"/>
        <v>#VALUE!</v>
      </c>
      <c r="I19" s="262" t="e">
        <f t="shared" si="17"/>
        <v>#VALUE!</v>
      </c>
      <c r="J19" s="262" t="e">
        <f t="shared" si="17"/>
        <v>#VALUE!</v>
      </c>
      <c r="K19" s="262" t="e">
        <f>IF(K$8&lt;&gt;0,K12/K$8,0)</f>
        <v>#VALUE!</v>
      </c>
      <c r="L19" s="262" t="e">
        <f t="shared" si="17"/>
        <v>#VALUE!</v>
      </c>
      <c r="M19" s="262" t="e">
        <f t="shared" si="17"/>
        <v>#VALUE!</v>
      </c>
      <c r="N19" s="262" t="e">
        <f t="shared" si="17"/>
        <v>#VALUE!</v>
      </c>
      <c r="O19" s="262" t="e">
        <f t="shared" si="17"/>
        <v>#VALUE!</v>
      </c>
      <c r="P19" s="262" t="e">
        <f t="shared" si="17"/>
        <v>#VALUE!</v>
      </c>
      <c r="Q19" s="262" t="e">
        <f t="shared" si="17"/>
        <v>#VALUE!</v>
      </c>
      <c r="R19" s="262" t="e">
        <f t="shared" si="17"/>
        <v>#VALUE!</v>
      </c>
      <c r="S19" s="262" t="e">
        <f t="shared" si="5"/>
        <v>#VALUE!</v>
      </c>
      <c r="T19" s="262" t="e">
        <f t="shared" si="5"/>
        <v>#VALUE!</v>
      </c>
      <c r="U19" s="262" t="e">
        <f t="shared" si="6"/>
        <v>#VALUE!</v>
      </c>
      <c r="V19" s="262" t="e">
        <f t="shared" si="6"/>
        <v>#VALUE!</v>
      </c>
      <c r="W19" s="262" t="e">
        <f t="shared" si="6"/>
        <v>#VALUE!</v>
      </c>
      <c r="X19" s="262" t="e">
        <f t="shared" si="6"/>
        <v>#VALUE!</v>
      </c>
      <c r="Y19" s="262" t="e">
        <f>IF(Y$8&lt;&gt;0,Y12/Y$8,0)</f>
        <v>#VALUE!</v>
      </c>
      <c r="Z19" s="262" t="e">
        <f t="shared" si="15"/>
        <v>#VALUE!</v>
      </c>
      <c r="AA19" s="262" t="e">
        <f t="shared" si="15"/>
        <v>#VALUE!</v>
      </c>
      <c r="AB19" s="262" t="e">
        <f t="shared" si="15"/>
        <v>#VALUE!</v>
      </c>
      <c r="AC19" s="262" t="e">
        <f>IF(AC$8&lt;&gt;0,AC12/AC$8,0)</f>
        <v>#VALUE!</v>
      </c>
      <c r="AD19" s="262" t="e">
        <f t="shared" si="17"/>
        <v>#VALUE!</v>
      </c>
      <c r="AE19" s="262" t="e">
        <f t="shared" si="7"/>
        <v>#VALUE!</v>
      </c>
      <c r="AF19" s="262" t="e">
        <f t="shared" si="7"/>
        <v>#VALUE!</v>
      </c>
      <c r="AG19" s="262" t="e">
        <f t="shared" si="17"/>
        <v>#VALUE!</v>
      </c>
      <c r="AH19" s="262" t="e">
        <f t="shared" si="17"/>
        <v>#VALUE!</v>
      </c>
      <c r="AI19" s="262" t="e">
        <f t="shared" si="17"/>
        <v>#VALUE!</v>
      </c>
      <c r="AJ19" s="262" t="e">
        <f>IF(AJ$8&lt;&gt;0,AJ12/AJ$8,0)</f>
        <v>#VALUE!</v>
      </c>
      <c r="AK19" s="262" t="e">
        <f t="shared" si="17"/>
        <v>#VALUE!</v>
      </c>
      <c r="AL19" s="262" t="e">
        <f t="shared" si="17"/>
        <v>#VALUE!</v>
      </c>
      <c r="AM19" s="262" t="e">
        <f t="shared" si="17"/>
        <v>#VALUE!</v>
      </c>
      <c r="AN19" s="262" t="e">
        <f t="shared" si="17"/>
        <v>#VALUE!</v>
      </c>
      <c r="AO19" s="262" t="e">
        <f t="shared" si="17"/>
        <v>#VALUE!</v>
      </c>
      <c r="AP19" s="263" t="e">
        <f t="shared" si="17"/>
        <v>#VALUE!</v>
      </c>
      <c r="AR19" s="417" t="s">
        <v>1142</v>
      </c>
      <c r="AS19" s="262" t="e">
        <f t="shared" ref="AS19:BL19" si="18">IF(AS$8&lt;&gt;0,AS12/AS$8,0)</f>
        <v>#VALUE!</v>
      </c>
      <c r="AT19" s="262" t="e">
        <f t="shared" si="18"/>
        <v>#VALUE!</v>
      </c>
      <c r="AU19" s="262" t="e">
        <f t="shared" si="18"/>
        <v>#VALUE!</v>
      </c>
      <c r="AV19" s="262" t="e">
        <f t="shared" si="18"/>
        <v>#VALUE!</v>
      </c>
      <c r="AW19" s="262" t="e">
        <f t="shared" si="18"/>
        <v>#VALUE!</v>
      </c>
      <c r="AX19" s="262" t="e">
        <f t="shared" si="18"/>
        <v>#VALUE!</v>
      </c>
      <c r="AY19" s="262" t="e">
        <f t="shared" si="18"/>
        <v>#VALUE!</v>
      </c>
      <c r="AZ19" s="262" t="e">
        <f t="shared" si="18"/>
        <v>#VALUE!</v>
      </c>
      <c r="BA19" s="262" t="e">
        <f t="shared" si="18"/>
        <v>#VALUE!</v>
      </c>
      <c r="BB19" s="262" t="e">
        <f t="shared" si="18"/>
        <v>#VALUE!</v>
      </c>
      <c r="BC19" s="262" t="e">
        <f t="shared" si="18"/>
        <v>#VALUE!</v>
      </c>
      <c r="BD19" s="262" t="e">
        <f t="shared" si="18"/>
        <v>#VALUE!</v>
      </c>
      <c r="BE19" s="262" t="e">
        <f t="shared" si="18"/>
        <v>#VALUE!</v>
      </c>
      <c r="BF19" s="262" t="e">
        <f t="shared" si="18"/>
        <v>#VALUE!</v>
      </c>
      <c r="BG19" s="262" t="e">
        <f t="shared" si="18"/>
        <v>#VALUE!</v>
      </c>
      <c r="BH19" s="262" t="e">
        <f t="shared" si="18"/>
        <v>#VALUE!</v>
      </c>
      <c r="BI19" s="262" t="e">
        <f t="shared" si="18"/>
        <v>#VALUE!</v>
      </c>
      <c r="BJ19" s="262" t="e">
        <f t="shared" si="18"/>
        <v>#VALUE!</v>
      </c>
      <c r="BK19" s="262" t="e">
        <f t="shared" si="18"/>
        <v>#VALUE!</v>
      </c>
      <c r="BL19" s="262" t="e">
        <f t="shared" si="18"/>
        <v>#VALUE!</v>
      </c>
    </row>
    <row r="20" spans="1:64" x14ac:dyDescent="0.25">
      <c r="A20" s="256"/>
      <c r="B20" s="257"/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 t="s">
        <v>1237</v>
      </c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8"/>
    </row>
    <row r="21" spans="1:64" x14ac:dyDescent="0.25">
      <c r="A21" s="256"/>
      <c r="B21" s="257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8"/>
    </row>
    <row r="22" spans="1:64" x14ac:dyDescent="0.25">
      <c r="A22" s="256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8"/>
    </row>
    <row r="23" spans="1:64" x14ac:dyDescent="0.25">
      <c r="A23" s="256"/>
      <c r="B23" s="257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8"/>
    </row>
    <row r="24" spans="1:64" x14ac:dyDescent="0.25">
      <c r="A24" s="256"/>
      <c r="B24" s="373"/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8"/>
    </row>
    <row r="25" spans="1:64" x14ac:dyDescent="0.25">
      <c r="A25" s="256"/>
      <c r="B25" s="373"/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8"/>
    </row>
    <row r="26" spans="1:64" x14ac:dyDescent="0.25">
      <c r="A26" s="256"/>
      <c r="B26" s="257"/>
      <c r="C26" s="257"/>
      <c r="D26" s="257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8"/>
    </row>
    <row r="27" spans="1:64" x14ac:dyDescent="0.25">
      <c r="A27" s="256"/>
      <c r="B27" s="257"/>
      <c r="C27" s="257"/>
      <c r="D27" s="257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8"/>
    </row>
    <row r="28" spans="1:64" x14ac:dyDescent="0.25">
      <c r="A28" s="256"/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8"/>
    </row>
    <row r="29" spans="1:64" x14ac:dyDescent="0.25">
      <c r="A29" s="256"/>
      <c r="B29" s="257"/>
      <c r="C29" s="257"/>
      <c r="D29" s="25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8"/>
    </row>
    <row r="30" spans="1:64" x14ac:dyDescent="0.25">
      <c r="A30" s="256"/>
      <c r="B30" s="257"/>
      <c r="C30" s="257"/>
      <c r="D30" s="25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8"/>
    </row>
    <row r="31" spans="1:64" x14ac:dyDescent="0.25">
      <c r="A31" s="256"/>
      <c r="B31" s="257"/>
      <c r="C31" s="257"/>
      <c r="D31" s="25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8"/>
    </row>
    <row r="32" spans="1:64" x14ac:dyDescent="0.25">
      <c r="A32" s="256"/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8"/>
    </row>
    <row r="33" spans="1:42" x14ac:dyDescent="0.25">
      <c r="A33" s="256"/>
      <c r="B33" s="257"/>
      <c r="C33" s="257"/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8"/>
    </row>
    <row r="34" spans="1:42" x14ac:dyDescent="0.25">
      <c r="A34" s="256"/>
      <c r="B34" s="257"/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8"/>
    </row>
    <row r="35" spans="1:42" x14ac:dyDescent="0.25">
      <c r="A35" s="259" t="s">
        <v>1148</v>
      </c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8"/>
    </row>
    <row r="36" spans="1:42" x14ac:dyDescent="0.25">
      <c r="A36" s="256" t="s">
        <v>1146</v>
      </c>
      <c r="B36" s="257"/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8"/>
    </row>
    <row r="37" spans="1:42" x14ac:dyDescent="0.25">
      <c r="A37" s="256" t="s">
        <v>1149</v>
      </c>
      <c r="B37" s="257"/>
      <c r="C37" s="257"/>
      <c r="D37" s="257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8"/>
    </row>
    <row r="38" spans="1:42" x14ac:dyDescent="0.25">
      <c r="A38" s="256"/>
      <c r="B38" s="257"/>
      <c r="C38" s="257">
        <v>2011</v>
      </c>
      <c r="D38" s="257"/>
      <c r="E38" s="257">
        <f>C38+1</f>
        <v>2012</v>
      </c>
      <c r="F38" s="257"/>
      <c r="G38" s="257">
        <f>E38+1</f>
        <v>2013</v>
      </c>
      <c r="H38" s="257"/>
      <c r="I38" s="257">
        <f>G38+1</f>
        <v>2014</v>
      </c>
      <c r="J38" s="257"/>
      <c r="K38" s="257">
        <f>I38+1</f>
        <v>2015</v>
      </c>
      <c r="L38" s="257"/>
      <c r="M38" s="257">
        <f>K38+1</f>
        <v>2016</v>
      </c>
      <c r="N38" s="257"/>
      <c r="O38" s="257">
        <f>M38+1</f>
        <v>2017</v>
      </c>
      <c r="P38" s="257"/>
      <c r="Q38" s="257">
        <f>O38+1</f>
        <v>2018</v>
      </c>
      <c r="R38" s="257"/>
      <c r="S38" s="257">
        <f>Q38+1</f>
        <v>2019</v>
      </c>
      <c r="T38" s="257"/>
      <c r="U38" s="257">
        <f>S38+1</f>
        <v>2020</v>
      </c>
      <c r="V38" s="257"/>
      <c r="W38" s="257">
        <f>U38+1</f>
        <v>2021</v>
      </c>
      <c r="X38" s="257"/>
      <c r="Y38" s="257">
        <f>W38+1</f>
        <v>2022</v>
      </c>
      <c r="Z38" s="257"/>
      <c r="AA38" s="257">
        <f>Y38+1</f>
        <v>2023</v>
      </c>
      <c r="AB38" s="257"/>
      <c r="AC38" s="257">
        <f>AA38+1</f>
        <v>2024</v>
      </c>
      <c r="AD38" s="257"/>
      <c r="AE38" s="257">
        <f>AC38+1</f>
        <v>2025</v>
      </c>
      <c r="AF38" s="257"/>
      <c r="AG38" s="257">
        <f>AE38+1</f>
        <v>2026</v>
      </c>
      <c r="AH38" s="257"/>
      <c r="AI38" s="257">
        <f>AG38+1</f>
        <v>2027</v>
      </c>
      <c r="AJ38" s="257"/>
      <c r="AK38" s="257">
        <f>AI38+1</f>
        <v>2028</v>
      </c>
      <c r="AL38" s="257"/>
      <c r="AM38" s="257">
        <f>AK38+1</f>
        <v>2029</v>
      </c>
      <c r="AN38" s="257"/>
      <c r="AO38" s="257">
        <f>AM38+1</f>
        <v>2030</v>
      </c>
      <c r="AP38" s="258"/>
    </row>
    <row r="39" spans="1:42" x14ac:dyDescent="0.25">
      <c r="A39" s="256"/>
      <c r="B39" s="257"/>
      <c r="C39" s="257">
        <v>1</v>
      </c>
      <c r="D39" s="257">
        <v>2</v>
      </c>
      <c r="E39" s="257">
        <f>C39</f>
        <v>1</v>
      </c>
      <c r="F39" s="257">
        <f>E39+1</f>
        <v>2</v>
      </c>
      <c r="G39" s="257">
        <f>E39</f>
        <v>1</v>
      </c>
      <c r="H39" s="257">
        <f>G39+1</f>
        <v>2</v>
      </c>
      <c r="I39" s="257">
        <f>G39</f>
        <v>1</v>
      </c>
      <c r="J39" s="257">
        <f>I39+1</f>
        <v>2</v>
      </c>
      <c r="K39" s="257">
        <f>I39</f>
        <v>1</v>
      </c>
      <c r="L39" s="257">
        <f>K39+1</f>
        <v>2</v>
      </c>
      <c r="M39" s="257">
        <f>K39</f>
        <v>1</v>
      </c>
      <c r="N39" s="257">
        <f>M39+1</f>
        <v>2</v>
      </c>
      <c r="O39" s="257">
        <f>M39</f>
        <v>1</v>
      </c>
      <c r="P39" s="257">
        <f>O39+1</f>
        <v>2</v>
      </c>
      <c r="Q39" s="257">
        <f>O39</f>
        <v>1</v>
      </c>
      <c r="R39" s="257">
        <f>Q39+1</f>
        <v>2</v>
      </c>
      <c r="S39" s="257">
        <f>Q39</f>
        <v>1</v>
      </c>
      <c r="T39" s="257">
        <f>S39+1</f>
        <v>2</v>
      </c>
      <c r="U39" s="257">
        <f>S39</f>
        <v>1</v>
      </c>
      <c r="V39" s="257">
        <f>U39+1</f>
        <v>2</v>
      </c>
      <c r="W39" s="257">
        <f>U39</f>
        <v>1</v>
      </c>
      <c r="X39" s="257">
        <f>W39+1</f>
        <v>2</v>
      </c>
      <c r="Y39" s="257">
        <f>W39</f>
        <v>1</v>
      </c>
      <c r="Z39" s="257">
        <f>Y39+1</f>
        <v>2</v>
      </c>
      <c r="AA39" s="257">
        <f>Y39</f>
        <v>1</v>
      </c>
      <c r="AB39" s="257">
        <f>AA39+1</f>
        <v>2</v>
      </c>
      <c r="AC39" s="257">
        <f>AA39</f>
        <v>1</v>
      </c>
      <c r="AD39" s="257">
        <f>AC39+1</f>
        <v>2</v>
      </c>
      <c r="AE39" s="257">
        <f>AC39</f>
        <v>1</v>
      </c>
      <c r="AF39" s="257">
        <f>AE39+1</f>
        <v>2</v>
      </c>
      <c r="AG39" s="257">
        <f>AE39</f>
        <v>1</v>
      </c>
      <c r="AH39" s="257">
        <f>AG39+1</f>
        <v>2</v>
      </c>
      <c r="AI39" s="257">
        <f>AG39</f>
        <v>1</v>
      </c>
      <c r="AJ39" s="257">
        <f>AI39+1</f>
        <v>2</v>
      </c>
      <c r="AK39" s="257">
        <f>AI39</f>
        <v>1</v>
      </c>
      <c r="AL39" s="257">
        <f>AK39+1</f>
        <v>2</v>
      </c>
      <c r="AM39" s="257">
        <f>AK39</f>
        <v>1</v>
      </c>
      <c r="AN39" s="257">
        <f>AM39+1</f>
        <v>2</v>
      </c>
      <c r="AO39" s="257">
        <f>AM39</f>
        <v>1</v>
      </c>
      <c r="AP39" s="258">
        <f>AO39+1</f>
        <v>2</v>
      </c>
    </row>
    <row r="40" spans="1:42" ht="45" x14ac:dyDescent="0.25">
      <c r="A40" s="256"/>
      <c r="B40" s="264" t="s">
        <v>1150</v>
      </c>
      <c r="C40" s="265">
        <v>0</v>
      </c>
      <c r="D40" s="265">
        <v>0</v>
      </c>
      <c r="E40" s="265">
        <v>0</v>
      </c>
      <c r="F40" s="265">
        <v>0</v>
      </c>
      <c r="G40" s="265">
        <v>10</v>
      </c>
      <c r="H40" s="265">
        <v>10</v>
      </c>
      <c r="I40" s="265">
        <v>10</v>
      </c>
      <c r="J40" s="265">
        <v>10</v>
      </c>
      <c r="K40" s="265">
        <v>20</v>
      </c>
      <c r="L40" s="265">
        <v>20</v>
      </c>
      <c r="M40" s="265">
        <v>68</v>
      </c>
      <c r="N40" s="265">
        <v>68</v>
      </c>
      <c r="O40" s="265">
        <v>71</v>
      </c>
      <c r="P40" s="265">
        <v>71</v>
      </c>
      <c r="Q40" s="265">
        <v>71</v>
      </c>
      <c r="R40" s="265">
        <v>71</v>
      </c>
      <c r="S40" s="265">
        <v>71</v>
      </c>
      <c r="T40" s="265">
        <v>71</v>
      </c>
      <c r="U40" s="265">
        <v>71</v>
      </c>
      <c r="V40" s="265">
        <v>71</v>
      </c>
      <c r="W40" s="265">
        <v>71</v>
      </c>
      <c r="X40" s="265">
        <v>71</v>
      </c>
      <c r="Y40" s="265">
        <v>70</v>
      </c>
      <c r="Z40" s="265">
        <v>70</v>
      </c>
      <c r="AA40" s="265">
        <v>70</v>
      </c>
      <c r="AB40" s="265">
        <v>70</v>
      </c>
      <c r="AC40" s="265">
        <v>70</v>
      </c>
      <c r="AD40" s="265">
        <v>70</v>
      </c>
      <c r="AE40" s="265">
        <v>70</v>
      </c>
      <c r="AF40" s="265">
        <v>70</v>
      </c>
      <c r="AG40" s="265">
        <v>70</v>
      </c>
      <c r="AH40" s="265">
        <v>70</v>
      </c>
      <c r="AI40" s="265">
        <v>70</v>
      </c>
      <c r="AJ40" s="265">
        <v>70</v>
      </c>
      <c r="AK40" s="265">
        <v>70</v>
      </c>
      <c r="AL40" s="265">
        <v>70</v>
      </c>
      <c r="AM40" s="265">
        <v>70</v>
      </c>
      <c r="AN40" s="265">
        <v>70</v>
      </c>
      <c r="AO40" s="265">
        <v>70</v>
      </c>
      <c r="AP40" s="265">
        <v>70</v>
      </c>
    </row>
    <row r="41" spans="1:42" x14ac:dyDescent="0.25">
      <c r="A41" s="256"/>
      <c r="B41" s="261" t="s">
        <v>1151</v>
      </c>
      <c r="C41" s="261">
        <f>RAP(C38,C39,C40)</f>
        <v>0</v>
      </c>
      <c r="D41" s="261">
        <f>RAP(C38,D39,D40)</f>
        <v>0</v>
      </c>
      <c r="E41" s="261">
        <f>RAP(E38,E39,E40)</f>
        <v>0</v>
      </c>
      <c r="F41" s="261">
        <f>RAP(E38,F39,F40)</f>
        <v>0</v>
      </c>
      <c r="G41" s="261">
        <f>RAP(G38,G39,G40)</f>
        <v>0</v>
      </c>
      <c r="H41" s="261">
        <f>RAP(G38,H39,H40)</f>
        <v>0</v>
      </c>
      <c r="I41" s="261">
        <f>RAP(I38,I39,I40)</f>
        <v>0</v>
      </c>
      <c r="J41" s="261">
        <f>RAP(I38,J39,J40)</f>
        <v>0</v>
      </c>
      <c r="K41" s="261">
        <f>RAP(K38,K39,K40)</f>
        <v>0</v>
      </c>
      <c r="L41" s="261">
        <f>RAP(K38,L39,L40)</f>
        <v>0</v>
      </c>
      <c r="M41" s="261">
        <f>RAP(M38,M39,M40)</f>
        <v>0.74705882352941178</v>
      </c>
      <c r="N41" s="261">
        <f>RAP(M38,N39,N40)</f>
        <v>0</v>
      </c>
      <c r="O41" s="261">
        <f>RAP(O38,O39,O40)</f>
        <v>0.71549295774647881</v>
      </c>
      <c r="P41" s="261">
        <f>RAP(O38,P39,P40)</f>
        <v>0</v>
      </c>
      <c r="Q41" s="261">
        <f>RAP(Q38,Q39,Q40)</f>
        <v>0.71549295774647881</v>
      </c>
      <c r="R41" s="261">
        <f>RAP(Q38,R39,R40)</f>
        <v>0</v>
      </c>
      <c r="S41" s="261">
        <f>RAP(S38,S39,S40)</f>
        <v>0.71549295774647881</v>
      </c>
      <c r="T41" s="261">
        <f>RAP(S38,T39,T40)</f>
        <v>0</v>
      </c>
      <c r="U41" s="261">
        <f>RAP(U38,U39,U40)</f>
        <v>0.71549295774647881</v>
      </c>
      <c r="V41" s="261">
        <f>RAP(U38,V39,V40)</f>
        <v>0</v>
      </c>
      <c r="W41" s="261">
        <f>RAP(W38,W39,W40)</f>
        <v>0.71549295774647881</v>
      </c>
      <c r="X41" s="261">
        <f>RAP(W38,X39,X40)</f>
        <v>0</v>
      </c>
      <c r="Y41" s="261">
        <f>RAP(Y38,Y39,Y40)</f>
        <v>0.72571428571428565</v>
      </c>
      <c r="Z41" s="261">
        <f>RAP(Y38,Z39,Z40)</f>
        <v>0</v>
      </c>
      <c r="AA41" s="261">
        <f>RAP(AA38,AA39,AA40)</f>
        <v>0.72571428571428565</v>
      </c>
      <c r="AB41" s="261">
        <f>RAP(AA38,AB39,AB40)</f>
        <v>0</v>
      </c>
      <c r="AC41" s="261">
        <f>RAP(AC38,AC39,AC40)</f>
        <v>0</v>
      </c>
      <c r="AD41" s="261">
        <f>RAP(AC38,AD39,AD40)</f>
        <v>0</v>
      </c>
      <c r="AE41" s="261">
        <f>RAP(AE38,AE39,AE40)</f>
        <v>0</v>
      </c>
      <c r="AF41" s="261">
        <f>RAP(AE38,AF39,AF40)</f>
        <v>0</v>
      </c>
      <c r="AG41" s="261">
        <f>RAP(AG38,AG39,AG40)</f>
        <v>0</v>
      </c>
      <c r="AH41" s="261">
        <f>RAP(AG38,AH39,AH40)</f>
        <v>0</v>
      </c>
      <c r="AI41" s="261">
        <f>RAP(AI38,AI39,AI40)</f>
        <v>0</v>
      </c>
      <c r="AJ41" s="261">
        <f>RAP(AI38,AJ39,AJ40)</f>
        <v>0</v>
      </c>
      <c r="AK41" s="261">
        <f>RAP(AK38,AK39,AK40)</f>
        <v>0</v>
      </c>
      <c r="AL41" s="261">
        <f>RAP(AK38,AL39,AL40)</f>
        <v>0</v>
      </c>
      <c r="AM41" s="261">
        <f>RAP(AM38,AM39,AM40)</f>
        <v>0</v>
      </c>
      <c r="AN41" s="261">
        <f>RAP(AM38,AN39,AN40)</f>
        <v>0</v>
      </c>
      <c r="AO41" s="261">
        <f>RAP(AO38,AO39,AO40)</f>
        <v>0</v>
      </c>
      <c r="AP41" s="261">
        <f>RAP(AO38,AP39,AP40)</f>
        <v>0</v>
      </c>
    </row>
    <row r="42" spans="1:42" x14ac:dyDescent="0.25">
      <c r="A42" s="256"/>
      <c r="B42" s="257"/>
      <c r="C42" s="257"/>
      <c r="D42" s="257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8"/>
    </row>
    <row r="43" spans="1:42" x14ac:dyDescent="0.25">
      <c r="A43" s="256"/>
      <c r="B43" s="257"/>
      <c r="C43" s="257"/>
      <c r="D43" s="257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8"/>
    </row>
    <row r="44" spans="1:42" x14ac:dyDescent="0.25">
      <c r="A44" s="256"/>
      <c r="B44" s="257"/>
      <c r="C44" s="257"/>
      <c r="D44" s="257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8"/>
    </row>
    <row r="45" spans="1:42" x14ac:dyDescent="0.25">
      <c r="A45" s="256"/>
      <c r="B45" s="257"/>
      <c r="C45" s="257"/>
      <c r="D45" s="25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8"/>
    </row>
    <row r="46" spans="1:42" x14ac:dyDescent="0.25">
      <c r="A46" s="256"/>
      <c r="B46" s="257"/>
      <c r="C46" s="257"/>
      <c r="D46" s="257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8"/>
    </row>
    <row r="47" spans="1:42" x14ac:dyDescent="0.25">
      <c r="A47" s="256"/>
      <c r="B47" s="257"/>
      <c r="C47" s="257"/>
      <c r="D47" s="257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8"/>
    </row>
    <row r="48" spans="1:42" x14ac:dyDescent="0.25">
      <c r="A48" s="256"/>
      <c r="B48" s="257"/>
      <c r="C48" s="257"/>
      <c r="D48" s="257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8"/>
    </row>
    <row r="49" spans="1:43" x14ac:dyDescent="0.25">
      <c r="A49" s="256"/>
      <c r="B49" s="257"/>
      <c r="C49" s="257"/>
      <c r="D49" s="257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8"/>
    </row>
    <row r="50" spans="1:43" x14ac:dyDescent="0.25">
      <c r="A50" s="256"/>
      <c r="B50" s="257"/>
      <c r="C50" s="257"/>
      <c r="D50" s="25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8"/>
    </row>
    <row r="51" spans="1:43" x14ac:dyDescent="0.25">
      <c r="A51" s="256"/>
      <c r="B51" s="257"/>
      <c r="C51" s="257"/>
      <c r="D51" s="257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8"/>
    </row>
    <row r="52" spans="1:43" x14ac:dyDescent="0.25">
      <c r="A52" s="256"/>
      <c r="B52" s="257"/>
      <c r="C52" s="257"/>
      <c r="D52" s="257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8"/>
    </row>
    <row r="53" spans="1:43" x14ac:dyDescent="0.25">
      <c r="A53" s="256"/>
      <c r="B53" s="257"/>
      <c r="C53" s="257"/>
      <c r="D53" s="257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8"/>
    </row>
    <row r="54" spans="1:43" x14ac:dyDescent="0.25">
      <c r="A54" s="256"/>
      <c r="B54" s="257"/>
      <c r="C54" s="257"/>
      <c r="D54" s="257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8"/>
    </row>
    <row r="55" spans="1:43" ht="15.75" thickBot="1" x14ac:dyDescent="0.3">
      <c r="A55" s="266"/>
      <c r="B55" s="267"/>
      <c r="C55" s="267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267"/>
      <c r="O55" s="267"/>
      <c r="P55" s="267"/>
      <c r="Q55" s="267"/>
      <c r="R55" s="267"/>
      <c r="S55" s="267"/>
      <c r="T55" s="267"/>
      <c r="U55" s="267"/>
      <c r="V55" s="267"/>
      <c r="W55" s="267"/>
      <c r="X55" s="267"/>
      <c r="Y55" s="267"/>
      <c r="Z55" s="267"/>
      <c r="AA55" s="267"/>
      <c r="AB55" s="267"/>
      <c r="AC55" s="267"/>
      <c r="AD55" s="267"/>
      <c r="AE55" s="267"/>
      <c r="AF55" s="267"/>
      <c r="AG55" s="267"/>
      <c r="AH55" s="267"/>
      <c r="AI55" s="267"/>
      <c r="AJ55" s="267"/>
      <c r="AK55" s="267"/>
      <c r="AL55" s="267"/>
      <c r="AM55" s="267"/>
      <c r="AN55" s="267"/>
      <c r="AO55" s="267"/>
      <c r="AP55" s="268"/>
    </row>
    <row r="57" spans="1:43" ht="15.75" thickBot="1" x14ac:dyDescent="0.3"/>
    <row r="58" spans="1:43" ht="18.75" x14ac:dyDescent="0.3">
      <c r="A58" s="222" t="s">
        <v>1133</v>
      </c>
      <c r="B58" s="223"/>
      <c r="C58" s="223"/>
      <c r="D58" s="223"/>
      <c r="E58" s="223"/>
      <c r="F58" s="223"/>
      <c r="G58" s="223"/>
      <c r="H58" s="223"/>
      <c r="I58" s="223"/>
      <c r="J58" s="223"/>
      <c r="K58" s="223"/>
      <c r="L58" s="223"/>
      <c r="M58" s="223"/>
      <c r="N58" s="223"/>
      <c r="O58" s="223"/>
      <c r="P58" s="223"/>
      <c r="Q58" s="223"/>
      <c r="R58" s="223"/>
      <c r="S58" s="223"/>
      <c r="T58" s="223"/>
      <c r="U58" s="223"/>
      <c r="V58" s="223"/>
      <c r="W58" s="223"/>
      <c r="X58" s="223"/>
      <c r="Y58" s="223"/>
      <c r="Z58" s="223"/>
      <c r="AA58" s="223"/>
      <c r="AB58" s="223"/>
      <c r="AC58" s="223"/>
      <c r="AD58" s="223"/>
      <c r="AE58" s="223"/>
      <c r="AF58" s="223"/>
      <c r="AG58" s="223"/>
      <c r="AH58" s="223"/>
      <c r="AI58" s="223"/>
      <c r="AJ58" s="223"/>
      <c r="AK58" s="223"/>
      <c r="AL58" s="223"/>
      <c r="AM58" s="223"/>
      <c r="AN58" s="223"/>
      <c r="AO58" s="223"/>
      <c r="AP58" s="224"/>
    </row>
    <row r="59" spans="1:43" x14ac:dyDescent="0.25">
      <c r="A59" s="225"/>
      <c r="B59" s="226"/>
      <c r="C59" s="226"/>
      <c r="D59" s="226"/>
      <c r="E59" s="226"/>
      <c r="F59" s="226"/>
      <c r="G59" s="226"/>
      <c r="H59" s="226"/>
      <c r="I59" s="226"/>
      <c r="J59" s="226"/>
      <c r="K59" s="226"/>
      <c r="L59" s="226"/>
      <c r="M59" s="226"/>
      <c r="N59" s="226"/>
      <c r="O59" s="226"/>
      <c r="P59" s="226"/>
      <c r="Q59" s="226"/>
      <c r="R59" s="226"/>
      <c r="S59" s="226"/>
      <c r="T59" s="226"/>
      <c r="U59" s="226"/>
      <c r="V59" s="226"/>
      <c r="W59" s="226"/>
      <c r="X59" s="226"/>
      <c r="Y59" s="226"/>
      <c r="Z59" s="226"/>
      <c r="AA59" s="226"/>
      <c r="AB59" s="226"/>
      <c r="AC59" s="226"/>
      <c r="AD59" s="226"/>
      <c r="AE59" s="226"/>
      <c r="AF59" s="226"/>
      <c r="AG59" s="226"/>
      <c r="AH59" s="226"/>
      <c r="AI59" s="226"/>
      <c r="AJ59" s="226"/>
      <c r="AK59" s="226"/>
      <c r="AL59" s="226"/>
      <c r="AM59" s="226"/>
      <c r="AN59" s="226"/>
      <c r="AO59" s="226"/>
      <c r="AP59" s="227"/>
    </row>
    <row r="60" spans="1:43" x14ac:dyDescent="0.25">
      <c r="A60" s="225"/>
      <c r="B60" s="226"/>
      <c r="C60" s="226">
        <v>2011</v>
      </c>
      <c r="D60" s="226"/>
      <c r="E60" s="226">
        <v>2012</v>
      </c>
      <c r="F60" s="226"/>
      <c r="G60" s="226">
        <v>2013</v>
      </c>
      <c r="H60" s="226"/>
      <c r="I60" s="226">
        <v>2014</v>
      </c>
      <c r="J60" s="226"/>
      <c r="K60" s="226">
        <v>2015</v>
      </c>
      <c r="L60" s="226"/>
      <c r="M60" s="226">
        <v>2016</v>
      </c>
      <c r="N60" s="226"/>
      <c r="O60" s="226">
        <v>2017</v>
      </c>
      <c r="P60" s="226"/>
      <c r="Q60" s="226">
        <v>2018</v>
      </c>
      <c r="R60" s="226"/>
      <c r="S60" s="226">
        <v>2019</v>
      </c>
      <c r="T60" s="226"/>
      <c r="U60" s="226">
        <v>2020</v>
      </c>
      <c r="V60" s="226"/>
      <c r="W60" s="226">
        <v>2021</v>
      </c>
      <c r="X60" s="226"/>
      <c r="Y60" s="226">
        <v>2022</v>
      </c>
      <c r="Z60" s="226"/>
      <c r="AA60" s="226">
        <v>2023</v>
      </c>
      <c r="AB60" s="226"/>
      <c r="AC60" s="226">
        <v>2024</v>
      </c>
      <c r="AD60" s="226"/>
      <c r="AE60" s="226">
        <v>2025</v>
      </c>
      <c r="AF60" s="226"/>
      <c r="AG60" s="226">
        <v>2026</v>
      </c>
      <c r="AH60" s="226"/>
      <c r="AI60" s="226">
        <v>2027</v>
      </c>
      <c r="AJ60" s="226"/>
      <c r="AK60" s="226">
        <v>2028</v>
      </c>
      <c r="AL60" s="226"/>
      <c r="AM60" s="226">
        <v>2029</v>
      </c>
      <c r="AN60" s="226"/>
      <c r="AO60" s="226">
        <v>2030</v>
      </c>
      <c r="AP60" s="227"/>
    </row>
    <row r="61" spans="1:43" x14ac:dyDescent="0.25">
      <c r="A61" s="225" t="s">
        <v>727</v>
      </c>
      <c r="B61" s="226"/>
      <c r="C61" s="226">
        <v>1</v>
      </c>
      <c r="D61" s="226">
        <v>2</v>
      </c>
      <c r="E61" s="226">
        <v>1</v>
      </c>
      <c r="F61" s="226">
        <v>2</v>
      </c>
      <c r="G61" s="226">
        <v>1</v>
      </c>
      <c r="H61" s="226">
        <v>2</v>
      </c>
      <c r="I61" s="226">
        <v>1</v>
      </c>
      <c r="J61" s="226">
        <v>2</v>
      </c>
      <c r="K61" s="226">
        <v>1</v>
      </c>
      <c r="L61" s="226">
        <v>2</v>
      </c>
      <c r="M61" s="226">
        <v>1</v>
      </c>
      <c r="N61" s="226">
        <v>2</v>
      </c>
      <c r="O61" s="226">
        <v>1</v>
      </c>
      <c r="P61" s="226">
        <v>2</v>
      </c>
      <c r="Q61" s="226">
        <v>1</v>
      </c>
      <c r="R61" s="226">
        <v>2</v>
      </c>
      <c r="S61" s="226">
        <v>1</v>
      </c>
      <c r="T61" s="226">
        <v>2</v>
      </c>
      <c r="U61" s="226">
        <v>1</v>
      </c>
      <c r="V61" s="226">
        <v>2</v>
      </c>
      <c r="W61" s="226">
        <v>1</v>
      </c>
      <c r="X61" s="226">
        <v>2</v>
      </c>
      <c r="Y61" s="226">
        <v>1</v>
      </c>
      <c r="Z61" s="226">
        <v>2</v>
      </c>
      <c r="AA61" s="226">
        <v>1</v>
      </c>
      <c r="AB61" s="226">
        <v>2</v>
      </c>
      <c r="AC61" s="226">
        <v>1</v>
      </c>
      <c r="AD61" s="226">
        <v>2</v>
      </c>
      <c r="AE61" s="226">
        <v>1</v>
      </c>
      <c r="AF61" s="226">
        <v>2</v>
      </c>
      <c r="AG61" s="226">
        <v>1</v>
      </c>
      <c r="AH61" s="226">
        <v>2</v>
      </c>
      <c r="AI61" s="226">
        <v>1</v>
      </c>
      <c r="AJ61" s="226">
        <v>2</v>
      </c>
      <c r="AK61" s="226">
        <v>1</v>
      </c>
      <c r="AL61" s="226">
        <v>2</v>
      </c>
      <c r="AM61" s="226">
        <v>1</v>
      </c>
      <c r="AN61" s="226">
        <v>2</v>
      </c>
      <c r="AO61" s="226">
        <v>1</v>
      </c>
      <c r="AP61" s="227">
        <v>2</v>
      </c>
    </row>
    <row r="62" spans="1:43" x14ac:dyDescent="0.25">
      <c r="A62" s="228" t="s">
        <v>12</v>
      </c>
      <c r="B62" s="237">
        <v>1</v>
      </c>
      <c r="C62" s="229">
        <v>0</v>
      </c>
      <c r="D62" s="229">
        <v>0</v>
      </c>
      <c r="E62" s="229">
        <v>0</v>
      </c>
      <c r="F62" s="229">
        <v>0</v>
      </c>
      <c r="G62" s="229">
        <v>0</v>
      </c>
      <c r="H62" s="229">
        <v>0</v>
      </c>
      <c r="I62" s="229">
        <v>0</v>
      </c>
      <c r="J62" s="229">
        <v>0</v>
      </c>
      <c r="K62" s="229">
        <v>0</v>
      </c>
      <c r="L62" s="229">
        <v>0</v>
      </c>
      <c r="M62" s="229">
        <v>0</v>
      </c>
      <c r="N62" s="229">
        <v>0</v>
      </c>
      <c r="O62" s="229">
        <v>0</v>
      </c>
      <c r="P62" s="229">
        <v>0</v>
      </c>
      <c r="Q62" s="229">
        <v>0</v>
      </c>
      <c r="R62" s="229">
        <v>0</v>
      </c>
      <c r="S62" s="229">
        <v>0</v>
      </c>
      <c r="T62" s="229">
        <v>0</v>
      </c>
      <c r="U62" s="229">
        <v>0</v>
      </c>
      <c r="V62" s="229">
        <v>0</v>
      </c>
      <c r="W62" s="229">
        <v>0</v>
      </c>
      <c r="X62" s="229">
        <v>0</v>
      </c>
      <c r="Y62" s="229">
        <v>0</v>
      </c>
      <c r="Z62" s="229">
        <v>0</v>
      </c>
      <c r="AA62" s="229">
        <v>0</v>
      </c>
      <c r="AB62" s="229">
        <v>0</v>
      </c>
      <c r="AC62" s="229">
        <v>0</v>
      </c>
      <c r="AD62" s="229">
        <v>0</v>
      </c>
      <c r="AE62" s="229">
        <v>0</v>
      </c>
      <c r="AF62" s="229">
        <v>0</v>
      </c>
      <c r="AG62" s="229">
        <v>0</v>
      </c>
      <c r="AH62" s="229">
        <v>0</v>
      </c>
      <c r="AI62" s="229">
        <v>0</v>
      </c>
      <c r="AJ62" s="229">
        <v>0</v>
      </c>
      <c r="AK62" s="229">
        <v>0</v>
      </c>
      <c r="AL62" s="229">
        <v>0</v>
      </c>
      <c r="AM62" s="229">
        <v>0</v>
      </c>
      <c r="AN62" s="229">
        <v>0</v>
      </c>
      <c r="AO62" s="229">
        <v>0</v>
      </c>
      <c r="AP62" s="230">
        <v>0</v>
      </c>
      <c r="AQ62" s="105"/>
    </row>
    <row r="63" spans="1:43" x14ac:dyDescent="0.25">
      <c r="A63" s="228" t="s">
        <v>20</v>
      </c>
      <c r="B63" s="237">
        <v>12</v>
      </c>
      <c r="C63" s="229">
        <v>0</v>
      </c>
      <c r="D63" s="229">
        <v>0</v>
      </c>
      <c r="E63" s="229">
        <v>0</v>
      </c>
      <c r="F63" s="229">
        <v>0</v>
      </c>
      <c r="G63" s="229">
        <v>0</v>
      </c>
      <c r="H63" s="229">
        <v>0</v>
      </c>
      <c r="I63" s="229">
        <v>0</v>
      </c>
      <c r="J63" s="229">
        <v>0</v>
      </c>
      <c r="K63" s="229">
        <v>0</v>
      </c>
      <c r="L63" s="229">
        <v>0</v>
      </c>
      <c r="M63" s="229">
        <v>0</v>
      </c>
      <c r="N63" s="229">
        <v>0</v>
      </c>
      <c r="O63" s="229">
        <v>0</v>
      </c>
      <c r="P63" s="229">
        <v>0</v>
      </c>
      <c r="Q63" s="229">
        <v>0</v>
      </c>
      <c r="R63" s="229">
        <v>0</v>
      </c>
      <c r="S63" s="229">
        <v>0</v>
      </c>
      <c r="T63" s="229">
        <v>0</v>
      </c>
      <c r="U63" s="229">
        <v>0</v>
      </c>
      <c r="V63" s="229">
        <v>0</v>
      </c>
      <c r="W63" s="229">
        <v>0</v>
      </c>
      <c r="X63" s="229">
        <v>0</v>
      </c>
      <c r="Y63" s="229">
        <v>0</v>
      </c>
      <c r="Z63" s="229">
        <v>0</v>
      </c>
      <c r="AA63" s="229">
        <v>0</v>
      </c>
      <c r="AB63" s="229">
        <v>0</v>
      </c>
      <c r="AC63" s="229">
        <v>0</v>
      </c>
      <c r="AD63" s="229">
        <v>0</v>
      </c>
      <c r="AE63" s="229">
        <v>0</v>
      </c>
      <c r="AF63" s="229">
        <v>0</v>
      </c>
      <c r="AG63" s="229">
        <v>0</v>
      </c>
      <c r="AH63" s="229">
        <v>0</v>
      </c>
      <c r="AI63" s="229">
        <v>0</v>
      </c>
      <c r="AJ63" s="229">
        <v>0</v>
      </c>
      <c r="AK63" s="229">
        <v>0</v>
      </c>
      <c r="AL63" s="229">
        <v>0</v>
      </c>
      <c r="AM63" s="229">
        <v>0</v>
      </c>
      <c r="AN63" s="229">
        <v>0</v>
      </c>
      <c r="AO63" s="229">
        <v>0</v>
      </c>
      <c r="AP63" s="230">
        <v>0</v>
      </c>
      <c r="AQ63" s="105"/>
    </row>
    <row r="64" spans="1:43" x14ac:dyDescent="0.25">
      <c r="A64" s="228" t="s">
        <v>5</v>
      </c>
      <c r="B64" s="229">
        <v>2</v>
      </c>
      <c r="C64" s="229">
        <v>0</v>
      </c>
      <c r="D64" s="229">
        <v>0</v>
      </c>
      <c r="E64" s="229">
        <v>0</v>
      </c>
      <c r="F64" s="229">
        <v>0</v>
      </c>
      <c r="G64" s="229">
        <v>0</v>
      </c>
      <c r="H64" s="229">
        <v>0</v>
      </c>
      <c r="I64" s="229">
        <v>0</v>
      </c>
      <c r="J64" s="229">
        <v>0</v>
      </c>
      <c r="K64" s="229">
        <v>0</v>
      </c>
      <c r="L64" s="229">
        <v>0</v>
      </c>
      <c r="M64" s="229">
        <v>0</v>
      </c>
      <c r="N64" s="229">
        <v>0</v>
      </c>
      <c r="O64" s="229">
        <v>0</v>
      </c>
      <c r="P64" s="229">
        <v>0</v>
      </c>
      <c r="Q64" s="229">
        <v>0</v>
      </c>
      <c r="R64" s="229">
        <v>0</v>
      </c>
      <c r="S64" s="229">
        <v>0</v>
      </c>
      <c r="T64" s="229">
        <v>0</v>
      </c>
      <c r="U64" s="229">
        <v>0</v>
      </c>
      <c r="V64" s="229">
        <v>0</v>
      </c>
      <c r="W64" s="229">
        <v>0</v>
      </c>
      <c r="X64" s="229">
        <v>0</v>
      </c>
      <c r="Y64" s="229">
        <v>0</v>
      </c>
      <c r="Z64" s="229">
        <v>0</v>
      </c>
      <c r="AA64" s="229">
        <v>0</v>
      </c>
      <c r="AB64" s="229">
        <v>0</v>
      </c>
      <c r="AC64" s="229">
        <v>0</v>
      </c>
      <c r="AD64" s="229">
        <v>0</v>
      </c>
      <c r="AE64" s="229">
        <v>0</v>
      </c>
      <c r="AF64" s="229">
        <v>0</v>
      </c>
      <c r="AG64" s="229">
        <v>0</v>
      </c>
      <c r="AH64" s="229">
        <v>0</v>
      </c>
      <c r="AI64" s="229">
        <v>0</v>
      </c>
      <c r="AJ64" s="229">
        <v>0</v>
      </c>
      <c r="AK64" s="229">
        <v>0</v>
      </c>
      <c r="AL64" s="229">
        <v>0</v>
      </c>
      <c r="AM64" s="229">
        <v>0</v>
      </c>
      <c r="AN64" s="229">
        <v>0</v>
      </c>
      <c r="AO64" s="229">
        <v>0</v>
      </c>
      <c r="AP64" s="230">
        <v>0</v>
      </c>
    </row>
    <row r="65" spans="1:42" x14ac:dyDescent="0.25">
      <c r="A65" s="228" t="s">
        <v>13</v>
      </c>
      <c r="B65" s="374">
        <v>2</v>
      </c>
      <c r="C65" s="229">
        <v>0</v>
      </c>
      <c r="D65" s="229">
        <v>0</v>
      </c>
      <c r="E65" s="229">
        <v>0</v>
      </c>
      <c r="F65" s="229">
        <v>0</v>
      </c>
      <c r="G65" s="229">
        <v>0</v>
      </c>
      <c r="H65" s="229">
        <v>0</v>
      </c>
      <c r="I65" s="229">
        <v>0</v>
      </c>
      <c r="J65" s="229">
        <v>0</v>
      </c>
      <c r="K65" s="229">
        <v>0</v>
      </c>
      <c r="L65" s="229">
        <v>0</v>
      </c>
      <c r="M65" s="229">
        <v>0</v>
      </c>
      <c r="N65" s="229">
        <v>0</v>
      </c>
      <c r="O65" s="229">
        <v>0</v>
      </c>
      <c r="P65" s="229">
        <v>0</v>
      </c>
      <c r="Q65" s="229">
        <v>0</v>
      </c>
      <c r="R65" s="229">
        <v>0</v>
      </c>
      <c r="S65" s="229">
        <v>0</v>
      </c>
      <c r="T65" s="229">
        <v>0</v>
      </c>
      <c r="U65" s="229">
        <v>0</v>
      </c>
      <c r="V65" s="229">
        <v>0</v>
      </c>
      <c r="W65" s="229">
        <v>0</v>
      </c>
      <c r="X65" s="229">
        <v>0</v>
      </c>
      <c r="Y65" s="229">
        <v>0</v>
      </c>
      <c r="Z65" s="229">
        <v>0</v>
      </c>
      <c r="AA65" s="229">
        <v>0</v>
      </c>
      <c r="AB65" s="229">
        <v>0</v>
      </c>
      <c r="AC65" s="229">
        <v>0</v>
      </c>
      <c r="AD65" s="229">
        <v>0</v>
      </c>
      <c r="AE65" s="229">
        <v>0</v>
      </c>
      <c r="AF65" s="229">
        <v>0</v>
      </c>
      <c r="AG65" s="229">
        <v>0</v>
      </c>
      <c r="AH65" s="229">
        <v>0</v>
      </c>
      <c r="AI65" s="229">
        <v>0</v>
      </c>
      <c r="AJ65" s="229">
        <v>0</v>
      </c>
      <c r="AK65" s="229">
        <v>0</v>
      </c>
      <c r="AL65" s="229">
        <v>0</v>
      </c>
      <c r="AM65" s="229">
        <v>0</v>
      </c>
      <c r="AN65" s="229">
        <v>0</v>
      </c>
      <c r="AO65" s="229">
        <v>0</v>
      </c>
      <c r="AP65" s="230">
        <v>0</v>
      </c>
    </row>
    <row r="66" spans="1:42" x14ac:dyDescent="0.25">
      <c r="A66" s="228" t="s">
        <v>17</v>
      </c>
      <c r="B66" s="229">
        <v>2</v>
      </c>
      <c r="C66" s="229">
        <v>0</v>
      </c>
      <c r="D66" s="229">
        <v>0</v>
      </c>
      <c r="E66" s="229">
        <v>0</v>
      </c>
      <c r="F66" s="229">
        <v>0</v>
      </c>
      <c r="G66" s="229">
        <v>0</v>
      </c>
      <c r="H66" s="229">
        <v>0</v>
      </c>
      <c r="I66" s="229">
        <v>0</v>
      </c>
      <c r="J66" s="229">
        <v>0</v>
      </c>
      <c r="K66" s="229">
        <v>0</v>
      </c>
      <c r="L66" s="229">
        <v>0</v>
      </c>
      <c r="M66" s="229">
        <v>0</v>
      </c>
      <c r="N66" s="229">
        <v>0</v>
      </c>
      <c r="O66" s="229">
        <v>0</v>
      </c>
      <c r="P66" s="229">
        <v>0</v>
      </c>
      <c r="Q66" s="229">
        <v>0</v>
      </c>
      <c r="R66" s="229">
        <v>0</v>
      </c>
      <c r="S66" s="229">
        <v>0</v>
      </c>
      <c r="T66" s="229">
        <v>0</v>
      </c>
      <c r="U66" s="229">
        <v>0</v>
      </c>
      <c r="V66" s="229">
        <v>0</v>
      </c>
      <c r="W66" s="229">
        <v>0</v>
      </c>
      <c r="X66" s="229">
        <v>0</v>
      </c>
      <c r="Y66" s="229">
        <v>0</v>
      </c>
      <c r="Z66" s="229">
        <v>0</v>
      </c>
      <c r="AA66" s="229">
        <v>0</v>
      </c>
      <c r="AB66" s="229">
        <v>0</v>
      </c>
      <c r="AC66" s="229">
        <v>0</v>
      </c>
      <c r="AD66" s="229">
        <v>0</v>
      </c>
      <c r="AE66" s="229">
        <v>0</v>
      </c>
      <c r="AF66" s="229">
        <v>0</v>
      </c>
      <c r="AG66" s="229">
        <v>0</v>
      </c>
      <c r="AH66" s="229">
        <v>0</v>
      </c>
      <c r="AI66" s="229">
        <v>0</v>
      </c>
      <c r="AJ66" s="229">
        <v>0</v>
      </c>
      <c r="AK66" s="229">
        <v>0</v>
      </c>
      <c r="AL66" s="229">
        <v>0</v>
      </c>
      <c r="AM66" s="229">
        <v>0</v>
      </c>
      <c r="AN66" s="229">
        <v>0</v>
      </c>
      <c r="AO66" s="229">
        <v>0</v>
      </c>
      <c r="AP66" s="230">
        <v>0</v>
      </c>
    </row>
    <row r="67" spans="1:42" x14ac:dyDescent="0.25">
      <c r="A67" s="228" t="s">
        <v>8</v>
      </c>
      <c r="B67" s="229">
        <v>1</v>
      </c>
      <c r="C67" s="229">
        <v>0</v>
      </c>
      <c r="D67" s="229">
        <v>0</v>
      </c>
      <c r="E67" s="229">
        <v>0</v>
      </c>
      <c r="F67" s="229">
        <v>0</v>
      </c>
      <c r="G67" s="229">
        <v>0</v>
      </c>
      <c r="H67" s="229">
        <v>0</v>
      </c>
      <c r="I67" s="229">
        <v>0</v>
      </c>
      <c r="J67" s="229">
        <v>0</v>
      </c>
      <c r="K67" s="229">
        <v>0</v>
      </c>
      <c r="L67" s="229">
        <v>0</v>
      </c>
      <c r="M67" s="229">
        <v>0</v>
      </c>
      <c r="N67" s="229">
        <v>0</v>
      </c>
      <c r="O67" s="229">
        <v>0</v>
      </c>
      <c r="P67" s="229">
        <v>0</v>
      </c>
      <c r="Q67" s="229">
        <v>0</v>
      </c>
      <c r="R67" s="229">
        <v>0</v>
      </c>
      <c r="S67" s="229">
        <v>0</v>
      </c>
      <c r="T67" s="229">
        <v>0</v>
      </c>
      <c r="U67" s="229">
        <v>0</v>
      </c>
      <c r="V67" s="229">
        <v>0</v>
      </c>
      <c r="W67" s="229">
        <v>0</v>
      </c>
      <c r="X67" s="229">
        <v>0</v>
      </c>
      <c r="Y67" s="229">
        <v>0</v>
      </c>
      <c r="Z67" s="229">
        <v>0</v>
      </c>
      <c r="AA67" s="229">
        <v>0</v>
      </c>
      <c r="AB67" s="229">
        <v>0</v>
      </c>
      <c r="AC67" s="229">
        <v>0</v>
      </c>
      <c r="AD67" s="229">
        <v>0</v>
      </c>
      <c r="AE67" s="229">
        <v>0</v>
      </c>
      <c r="AF67" s="229">
        <v>0</v>
      </c>
      <c r="AG67" s="229">
        <v>0</v>
      </c>
      <c r="AH67" s="229">
        <v>0</v>
      </c>
      <c r="AI67" s="229">
        <v>0</v>
      </c>
      <c r="AJ67" s="229">
        <v>0</v>
      </c>
      <c r="AK67" s="229">
        <v>0</v>
      </c>
      <c r="AL67" s="229">
        <v>0</v>
      </c>
      <c r="AM67" s="229">
        <v>0</v>
      </c>
      <c r="AN67" s="229">
        <v>0</v>
      </c>
      <c r="AO67" s="229">
        <v>0</v>
      </c>
      <c r="AP67" s="230">
        <v>0</v>
      </c>
    </row>
    <row r="68" spans="1:42" x14ac:dyDescent="0.25">
      <c r="A68" s="228" t="s">
        <v>6</v>
      </c>
      <c r="B68" s="229">
        <v>2</v>
      </c>
      <c r="C68" s="229">
        <v>0</v>
      </c>
      <c r="D68" s="229">
        <v>0</v>
      </c>
      <c r="E68" s="229">
        <v>0</v>
      </c>
      <c r="F68" s="229">
        <v>0</v>
      </c>
      <c r="G68" s="229">
        <v>0</v>
      </c>
      <c r="H68" s="229">
        <v>0</v>
      </c>
      <c r="I68" s="229">
        <v>0</v>
      </c>
      <c r="J68" s="229">
        <v>0</v>
      </c>
      <c r="K68" s="229">
        <v>0</v>
      </c>
      <c r="L68" s="229">
        <v>0</v>
      </c>
      <c r="M68" s="229">
        <v>0</v>
      </c>
      <c r="N68" s="229">
        <v>0</v>
      </c>
      <c r="O68" s="229">
        <v>0</v>
      </c>
      <c r="P68" s="229">
        <v>0</v>
      </c>
      <c r="Q68" s="229">
        <v>0</v>
      </c>
      <c r="R68" s="229">
        <v>0</v>
      </c>
      <c r="S68" s="229">
        <v>0</v>
      </c>
      <c r="T68" s="229">
        <v>0</v>
      </c>
      <c r="U68" s="229">
        <v>0</v>
      </c>
      <c r="V68" s="229">
        <v>0</v>
      </c>
      <c r="W68" s="229">
        <v>0</v>
      </c>
      <c r="X68" s="229">
        <v>0</v>
      </c>
      <c r="Y68" s="229">
        <v>0</v>
      </c>
      <c r="Z68" s="229">
        <v>0</v>
      </c>
      <c r="AA68" s="229">
        <v>0</v>
      </c>
      <c r="AB68" s="229">
        <v>0</v>
      </c>
      <c r="AC68" s="229">
        <v>0</v>
      </c>
      <c r="AD68" s="229">
        <v>0</v>
      </c>
      <c r="AE68" s="229">
        <v>0</v>
      </c>
      <c r="AF68" s="229">
        <v>0</v>
      </c>
      <c r="AG68" s="229">
        <v>0</v>
      </c>
      <c r="AH68" s="229">
        <v>0</v>
      </c>
      <c r="AI68" s="229">
        <v>0</v>
      </c>
      <c r="AJ68" s="229">
        <v>0</v>
      </c>
      <c r="AK68" s="229">
        <v>0</v>
      </c>
      <c r="AL68" s="229">
        <v>0</v>
      </c>
      <c r="AM68" s="229">
        <v>0</v>
      </c>
      <c r="AN68" s="229">
        <v>0</v>
      </c>
      <c r="AO68" s="229">
        <v>0</v>
      </c>
      <c r="AP68" s="230">
        <v>0</v>
      </c>
    </row>
    <row r="69" spans="1:42" x14ac:dyDescent="0.25">
      <c r="A69" s="228" t="s">
        <v>10</v>
      </c>
      <c r="B69" s="229">
        <v>1</v>
      </c>
      <c r="C69" s="229">
        <v>0</v>
      </c>
      <c r="D69" s="229">
        <v>0</v>
      </c>
      <c r="E69" s="229">
        <v>0</v>
      </c>
      <c r="F69" s="229">
        <v>0</v>
      </c>
      <c r="G69" s="229">
        <v>0</v>
      </c>
      <c r="H69" s="229">
        <v>0</v>
      </c>
      <c r="I69" s="229">
        <v>0</v>
      </c>
      <c r="J69" s="229">
        <v>0</v>
      </c>
      <c r="K69" s="229">
        <v>0</v>
      </c>
      <c r="L69" s="229">
        <v>0</v>
      </c>
      <c r="M69" s="229">
        <v>0</v>
      </c>
      <c r="N69" s="229">
        <v>0</v>
      </c>
      <c r="O69" s="229">
        <v>0</v>
      </c>
      <c r="P69" s="229">
        <v>0</v>
      </c>
      <c r="Q69" s="229">
        <v>0</v>
      </c>
      <c r="R69" s="229">
        <v>0</v>
      </c>
      <c r="S69" s="229">
        <v>0</v>
      </c>
      <c r="T69" s="229">
        <v>0</v>
      </c>
      <c r="U69" s="229">
        <v>0</v>
      </c>
      <c r="V69" s="229">
        <v>0</v>
      </c>
      <c r="W69" s="229">
        <v>0</v>
      </c>
      <c r="X69" s="229">
        <v>0</v>
      </c>
      <c r="Y69" s="229">
        <v>0</v>
      </c>
      <c r="Z69" s="229">
        <v>0</v>
      </c>
      <c r="AA69" s="229">
        <v>0</v>
      </c>
      <c r="AB69" s="229">
        <v>0</v>
      </c>
      <c r="AC69" s="229">
        <v>0</v>
      </c>
      <c r="AD69" s="229">
        <v>0</v>
      </c>
      <c r="AE69" s="229">
        <v>0</v>
      </c>
      <c r="AF69" s="229">
        <v>0</v>
      </c>
      <c r="AG69" s="229">
        <v>0</v>
      </c>
      <c r="AH69" s="229">
        <v>0</v>
      </c>
      <c r="AI69" s="229">
        <v>0</v>
      </c>
      <c r="AJ69" s="229">
        <v>0</v>
      </c>
      <c r="AK69" s="229">
        <v>0</v>
      </c>
      <c r="AL69" s="229">
        <v>0</v>
      </c>
      <c r="AM69" s="229">
        <v>0</v>
      </c>
      <c r="AN69" s="229">
        <v>0</v>
      </c>
      <c r="AO69" s="229">
        <v>0</v>
      </c>
      <c r="AP69" s="230">
        <v>0</v>
      </c>
    </row>
    <row r="70" spans="1:42" x14ac:dyDescent="0.25">
      <c r="A70" s="228" t="s">
        <v>315</v>
      </c>
      <c r="B70" s="229">
        <v>1</v>
      </c>
      <c r="C70" s="229">
        <v>0</v>
      </c>
      <c r="D70" s="229">
        <v>0</v>
      </c>
      <c r="E70" s="229">
        <v>0</v>
      </c>
      <c r="F70" s="229">
        <v>0</v>
      </c>
      <c r="G70" s="229">
        <v>0</v>
      </c>
      <c r="H70" s="229">
        <v>0</v>
      </c>
      <c r="I70" s="229">
        <v>0</v>
      </c>
      <c r="J70" s="229">
        <v>0</v>
      </c>
      <c r="K70" s="229">
        <v>0</v>
      </c>
      <c r="L70" s="229">
        <v>0</v>
      </c>
      <c r="M70" s="229">
        <v>0</v>
      </c>
      <c r="N70" s="229">
        <v>0</v>
      </c>
      <c r="O70" s="229">
        <v>0</v>
      </c>
      <c r="P70" s="229">
        <v>2</v>
      </c>
      <c r="Q70" s="229">
        <v>0</v>
      </c>
      <c r="R70" s="229">
        <v>2</v>
      </c>
      <c r="S70" s="229">
        <v>0</v>
      </c>
      <c r="T70" s="229">
        <v>2</v>
      </c>
      <c r="U70" s="229">
        <v>0</v>
      </c>
      <c r="V70" s="229">
        <v>2</v>
      </c>
      <c r="W70" s="229">
        <v>0</v>
      </c>
      <c r="X70" s="229">
        <v>2</v>
      </c>
      <c r="Y70" s="229">
        <v>0</v>
      </c>
      <c r="Z70" s="229">
        <v>2</v>
      </c>
      <c r="AA70" s="229">
        <v>2</v>
      </c>
      <c r="AB70" s="229">
        <v>2</v>
      </c>
      <c r="AC70" s="229">
        <v>2</v>
      </c>
      <c r="AD70" s="229">
        <v>2</v>
      </c>
      <c r="AE70" s="229">
        <v>0</v>
      </c>
      <c r="AF70" s="229">
        <v>0</v>
      </c>
      <c r="AG70" s="229">
        <v>0</v>
      </c>
      <c r="AH70" s="229">
        <v>0</v>
      </c>
      <c r="AI70" s="229">
        <v>0</v>
      </c>
      <c r="AJ70" s="229">
        <v>0</v>
      </c>
      <c r="AK70" s="229">
        <v>0</v>
      </c>
      <c r="AL70" s="229">
        <v>0</v>
      </c>
      <c r="AM70" s="229">
        <v>0</v>
      </c>
      <c r="AN70" s="229">
        <v>0</v>
      </c>
      <c r="AO70" s="229">
        <v>0</v>
      </c>
      <c r="AP70" s="230">
        <v>0</v>
      </c>
    </row>
    <row r="71" spans="1:42" x14ac:dyDescent="0.25">
      <c r="A71" s="228" t="s">
        <v>9</v>
      </c>
      <c r="B71" s="229">
        <v>2</v>
      </c>
      <c r="C71" s="229">
        <v>0</v>
      </c>
      <c r="D71" s="229">
        <v>0</v>
      </c>
      <c r="E71" s="229">
        <v>0</v>
      </c>
      <c r="F71" s="229">
        <v>0</v>
      </c>
      <c r="G71" s="229">
        <v>0</v>
      </c>
      <c r="H71" s="229">
        <v>0</v>
      </c>
      <c r="I71" s="229">
        <v>0</v>
      </c>
      <c r="J71" s="229">
        <v>0</v>
      </c>
      <c r="K71" s="229">
        <v>0</v>
      </c>
      <c r="L71" s="229">
        <v>0</v>
      </c>
      <c r="M71" s="229">
        <v>0</v>
      </c>
      <c r="N71" s="229">
        <v>0</v>
      </c>
      <c r="O71" s="229">
        <v>0</v>
      </c>
      <c r="P71" s="229">
        <v>0</v>
      </c>
      <c r="Q71" s="229">
        <v>0</v>
      </c>
      <c r="R71" s="229">
        <v>0</v>
      </c>
      <c r="S71" s="229">
        <v>0</v>
      </c>
      <c r="T71" s="229">
        <v>0</v>
      </c>
      <c r="U71" s="229">
        <v>0</v>
      </c>
      <c r="V71" s="229">
        <v>0</v>
      </c>
      <c r="W71" s="229">
        <v>0</v>
      </c>
      <c r="X71" s="229">
        <v>0</v>
      </c>
      <c r="Y71" s="229">
        <v>0</v>
      </c>
      <c r="Z71" s="229">
        <v>0</v>
      </c>
      <c r="AA71" s="229">
        <v>0</v>
      </c>
      <c r="AB71" s="229">
        <v>0</v>
      </c>
      <c r="AC71" s="229">
        <v>0</v>
      </c>
      <c r="AD71" s="229">
        <v>0</v>
      </c>
      <c r="AE71" s="229">
        <v>0</v>
      </c>
      <c r="AF71" s="229">
        <v>0</v>
      </c>
      <c r="AG71" s="229">
        <v>0</v>
      </c>
      <c r="AH71" s="229">
        <v>0</v>
      </c>
      <c r="AI71" s="229">
        <v>0</v>
      </c>
      <c r="AJ71" s="229">
        <v>0</v>
      </c>
      <c r="AK71" s="229">
        <v>0</v>
      </c>
      <c r="AL71" s="229">
        <v>0</v>
      </c>
      <c r="AM71" s="229">
        <v>0</v>
      </c>
      <c r="AN71" s="229">
        <v>0</v>
      </c>
      <c r="AO71" s="229">
        <v>0</v>
      </c>
      <c r="AP71" s="230">
        <v>0</v>
      </c>
    </row>
    <row r="72" spans="1:42" x14ac:dyDescent="0.25">
      <c r="A72" s="228" t="s">
        <v>1213</v>
      </c>
      <c r="B72" s="229">
        <v>6</v>
      </c>
      <c r="C72" s="229">
        <v>0</v>
      </c>
      <c r="D72" s="229">
        <v>0</v>
      </c>
      <c r="E72" s="229">
        <v>0</v>
      </c>
      <c r="F72" s="229">
        <v>0</v>
      </c>
      <c r="G72" s="229">
        <v>0</v>
      </c>
      <c r="H72" s="229">
        <v>0</v>
      </c>
      <c r="I72" s="229">
        <v>0</v>
      </c>
      <c r="J72" s="229">
        <v>0</v>
      </c>
      <c r="K72" s="229">
        <v>0</v>
      </c>
      <c r="L72" s="229">
        <v>0</v>
      </c>
      <c r="M72" s="229">
        <v>4</v>
      </c>
      <c r="N72" s="229">
        <v>0</v>
      </c>
      <c r="O72" s="229">
        <v>4</v>
      </c>
      <c r="P72" s="229">
        <v>0</v>
      </c>
      <c r="Q72" s="229">
        <v>4</v>
      </c>
      <c r="R72" s="229">
        <v>0</v>
      </c>
      <c r="S72" s="229">
        <v>4</v>
      </c>
      <c r="T72" s="229">
        <v>0</v>
      </c>
      <c r="U72" s="229">
        <v>4</v>
      </c>
      <c r="V72" s="229">
        <v>0</v>
      </c>
      <c r="W72" s="229">
        <v>4</v>
      </c>
      <c r="X72" s="229">
        <v>0</v>
      </c>
      <c r="Y72" s="229">
        <v>4</v>
      </c>
      <c r="Z72" s="229">
        <v>0</v>
      </c>
      <c r="AA72" s="229">
        <v>4</v>
      </c>
      <c r="AB72" s="229">
        <v>0</v>
      </c>
      <c r="AC72" s="229">
        <v>0</v>
      </c>
      <c r="AD72" s="229">
        <v>0</v>
      </c>
      <c r="AE72" s="229">
        <v>0</v>
      </c>
      <c r="AF72" s="229">
        <v>0</v>
      </c>
      <c r="AG72" s="229">
        <v>0</v>
      </c>
      <c r="AH72" s="229">
        <v>0</v>
      </c>
      <c r="AI72" s="229">
        <v>0</v>
      </c>
      <c r="AJ72" s="229">
        <v>0</v>
      </c>
      <c r="AK72" s="229">
        <v>0</v>
      </c>
      <c r="AL72" s="229">
        <v>0</v>
      </c>
      <c r="AM72" s="229">
        <v>0</v>
      </c>
      <c r="AN72" s="229">
        <v>0</v>
      </c>
      <c r="AO72" s="229">
        <v>0</v>
      </c>
      <c r="AP72" s="230">
        <v>0</v>
      </c>
    </row>
    <row r="73" spans="1:42" x14ac:dyDescent="0.25">
      <c r="A73" s="228" t="s">
        <v>1189</v>
      </c>
      <c r="B73" s="229">
        <v>11</v>
      </c>
      <c r="C73" s="229">
        <v>0</v>
      </c>
      <c r="D73" s="229">
        <v>0</v>
      </c>
      <c r="E73" s="229">
        <v>0</v>
      </c>
      <c r="F73" s="229">
        <v>0</v>
      </c>
      <c r="G73" s="229">
        <v>0</v>
      </c>
      <c r="H73" s="229">
        <v>0</v>
      </c>
      <c r="I73" s="229">
        <v>0</v>
      </c>
      <c r="J73" s="229">
        <v>0</v>
      </c>
      <c r="K73" s="229">
        <v>0</v>
      </c>
      <c r="L73" s="229">
        <v>0</v>
      </c>
      <c r="M73" s="229">
        <v>0</v>
      </c>
      <c r="N73" s="229">
        <v>0</v>
      </c>
      <c r="O73" s="229">
        <v>0</v>
      </c>
      <c r="P73" s="229">
        <v>0</v>
      </c>
      <c r="Q73" s="229">
        <v>0</v>
      </c>
      <c r="R73" s="229">
        <v>0</v>
      </c>
      <c r="S73" s="229">
        <v>0</v>
      </c>
      <c r="T73" s="229">
        <v>0</v>
      </c>
      <c r="U73" s="229">
        <v>0</v>
      </c>
      <c r="V73" s="229">
        <v>0</v>
      </c>
      <c r="W73" s="229">
        <v>0</v>
      </c>
      <c r="X73" s="229">
        <v>0</v>
      </c>
      <c r="Y73" s="229">
        <v>0</v>
      </c>
      <c r="Z73" s="229">
        <v>0</v>
      </c>
      <c r="AA73" s="229">
        <v>0</v>
      </c>
      <c r="AB73" s="229">
        <v>0</v>
      </c>
      <c r="AC73" s="229">
        <v>0</v>
      </c>
      <c r="AD73" s="229">
        <v>0</v>
      </c>
      <c r="AE73" s="229">
        <v>0</v>
      </c>
      <c r="AF73" s="229">
        <v>0</v>
      </c>
      <c r="AG73" s="229">
        <v>0</v>
      </c>
      <c r="AH73" s="229">
        <v>0</v>
      </c>
      <c r="AI73" s="229">
        <v>0</v>
      </c>
      <c r="AJ73" s="229">
        <v>0</v>
      </c>
      <c r="AK73" s="229">
        <v>0</v>
      </c>
      <c r="AL73" s="229">
        <v>0</v>
      </c>
      <c r="AM73" s="229">
        <v>0</v>
      </c>
      <c r="AN73" s="229">
        <v>0</v>
      </c>
      <c r="AO73" s="229">
        <v>0</v>
      </c>
      <c r="AP73" s="230">
        <v>0</v>
      </c>
    </row>
    <row r="74" spans="1:42" x14ac:dyDescent="0.25">
      <c r="A74" s="228" t="s">
        <v>15</v>
      </c>
      <c r="B74" s="229">
        <v>4</v>
      </c>
      <c r="C74" s="229">
        <v>0</v>
      </c>
      <c r="D74" s="229">
        <v>0</v>
      </c>
      <c r="E74" s="229">
        <v>0</v>
      </c>
      <c r="F74" s="229">
        <v>0</v>
      </c>
      <c r="G74" s="229">
        <v>0</v>
      </c>
      <c r="H74" s="229">
        <v>0</v>
      </c>
      <c r="I74" s="229">
        <v>0</v>
      </c>
      <c r="J74" s="229">
        <v>0</v>
      </c>
      <c r="K74" s="229">
        <v>0</v>
      </c>
      <c r="L74" s="229">
        <v>0</v>
      </c>
      <c r="M74" s="229">
        <v>0</v>
      </c>
      <c r="N74" s="229">
        <v>0</v>
      </c>
      <c r="O74" s="229">
        <v>0</v>
      </c>
      <c r="P74" s="229">
        <v>0</v>
      </c>
      <c r="Q74" s="229">
        <v>0</v>
      </c>
      <c r="R74" s="229">
        <v>0</v>
      </c>
      <c r="S74" s="229">
        <v>0</v>
      </c>
      <c r="T74" s="229">
        <v>0</v>
      </c>
      <c r="U74" s="229">
        <v>0</v>
      </c>
      <c r="V74" s="229">
        <v>0</v>
      </c>
      <c r="W74" s="229">
        <v>0</v>
      </c>
      <c r="X74" s="229">
        <v>0</v>
      </c>
      <c r="Y74" s="229">
        <v>0</v>
      </c>
      <c r="Z74" s="229">
        <v>0</v>
      </c>
      <c r="AA74" s="229">
        <v>0</v>
      </c>
      <c r="AB74" s="229">
        <v>0</v>
      </c>
      <c r="AC74" s="229">
        <v>0</v>
      </c>
      <c r="AD74" s="229">
        <v>0</v>
      </c>
      <c r="AE74" s="229">
        <v>0</v>
      </c>
      <c r="AF74" s="229">
        <v>0</v>
      </c>
      <c r="AG74" s="229">
        <v>0</v>
      </c>
      <c r="AH74" s="229">
        <v>0</v>
      </c>
      <c r="AI74" s="229">
        <v>0</v>
      </c>
      <c r="AJ74" s="229">
        <v>0</v>
      </c>
      <c r="AK74" s="229">
        <v>0</v>
      </c>
      <c r="AL74" s="229">
        <v>0</v>
      </c>
      <c r="AM74" s="229">
        <v>0</v>
      </c>
      <c r="AN74" s="229">
        <v>0</v>
      </c>
      <c r="AO74" s="229">
        <v>0</v>
      </c>
      <c r="AP74" s="230">
        <v>0</v>
      </c>
    </row>
    <row r="75" spans="1:42" x14ac:dyDescent="0.25">
      <c r="A75" s="228" t="s">
        <v>16</v>
      </c>
      <c r="B75" s="229">
        <v>1</v>
      </c>
      <c r="C75" s="229">
        <v>0</v>
      </c>
      <c r="D75" s="229">
        <v>0</v>
      </c>
      <c r="E75" s="229">
        <v>0</v>
      </c>
      <c r="F75" s="229">
        <v>0</v>
      </c>
      <c r="G75" s="229">
        <v>0</v>
      </c>
      <c r="H75" s="229">
        <v>0</v>
      </c>
      <c r="I75" s="229">
        <v>0</v>
      </c>
      <c r="J75" s="229">
        <v>0</v>
      </c>
      <c r="K75" s="229">
        <v>0</v>
      </c>
      <c r="L75" s="229">
        <v>0</v>
      </c>
      <c r="M75" s="229">
        <v>0</v>
      </c>
      <c r="N75" s="229">
        <v>0</v>
      </c>
      <c r="O75" s="229">
        <v>0</v>
      </c>
      <c r="P75" s="229">
        <v>0</v>
      </c>
      <c r="Q75" s="229">
        <v>0</v>
      </c>
      <c r="R75" s="229">
        <v>0</v>
      </c>
      <c r="S75" s="229">
        <v>0</v>
      </c>
      <c r="T75" s="229">
        <v>0</v>
      </c>
      <c r="U75" s="229">
        <v>0</v>
      </c>
      <c r="V75" s="229">
        <v>0</v>
      </c>
      <c r="W75" s="229">
        <v>0</v>
      </c>
      <c r="X75" s="229">
        <v>0</v>
      </c>
      <c r="Y75" s="229">
        <v>0</v>
      </c>
      <c r="Z75" s="229">
        <v>0</v>
      </c>
      <c r="AA75" s="229">
        <v>0</v>
      </c>
      <c r="AB75" s="229">
        <v>0</v>
      </c>
      <c r="AC75" s="229">
        <v>0</v>
      </c>
      <c r="AD75" s="229">
        <v>0</v>
      </c>
      <c r="AE75" s="229">
        <v>0</v>
      </c>
      <c r="AF75" s="229">
        <v>0</v>
      </c>
      <c r="AG75" s="229">
        <v>0</v>
      </c>
      <c r="AH75" s="229">
        <v>0</v>
      </c>
      <c r="AI75" s="229">
        <v>0</v>
      </c>
      <c r="AJ75" s="229">
        <v>0</v>
      </c>
      <c r="AK75" s="229">
        <v>0</v>
      </c>
      <c r="AL75" s="229">
        <v>0</v>
      </c>
      <c r="AM75" s="229">
        <v>0</v>
      </c>
      <c r="AN75" s="229">
        <v>0</v>
      </c>
      <c r="AO75" s="229">
        <v>0</v>
      </c>
      <c r="AP75" s="230">
        <v>0</v>
      </c>
    </row>
    <row r="76" spans="1:42" x14ac:dyDescent="0.25">
      <c r="A76" s="228" t="s">
        <v>21</v>
      </c>
      <c r="B76" s="229">
        <v>7.71</v>
      </c>
      <c r="C76" s="229">
        <v>0</v>
      </c>
      <c r="D76" s="229">
        <v>0</v>
      </c>
      <c r="E76" s="229">
        <v>0</v>
      </c>
      <c r="F76" s="229">
        <v>0</v>
      </c>
      <c r="G76" s="229">
        <v>0</v>
      </c>
      <c r="H76" s="229">
        <v>0</v>
      </c>
      <c r="I76" s="229">
        <v>0</v>
      </c>
      <c r="J76" s="229">
        <v>0</v>
      </c>
      <c r="K76" s="229">
        <v>0</v>
      </c>
      <c r="L76" s="229">
        <v>0</v>
      </c>
      <c r="M76" s="229">
        <v>0</v>
      </c>
      <c r="N76" s="229">
        <v>0</v>
      </c>
      <c r="O76" s="229">
        <v>0</v>
      </c>
      <c r="P76" s="229">
        <v>0</v>
      </c>
      <c r="Q76" s="229">
        <v>0</v>
      </c>
      <c r="R76" s="229">
        <v>0</v>
      </c>
      <c r="S76" s="229">
        <v>0</v>
      </c>
      <c r="T76" s="229">
        <v>0</v>
      </c>
      <c r="U76" s="229">
        <v>0</v>
      </c>
      <c r="V76" s="229">
        <v>0</v>
      </c>
      <c r="W76" s="229">
        <v>0</v>
      </c>
      <c r="X76" s="229">
        <v>0</v>
      </c>
      <c r="Y76" s="229">
        <v>0</v>
      </c>
      <c r="Z76" s="229">
        <v>0</v>
      </c>
      <c r="AA76" s="229">
        <v>0</v>
      </c>
      <c r="AB76" s="229">
        <v>0</v>
      </c>
      <c r="AC76" s="229">
        <v>0</v>
      </c>
      <c r="AD76" s="229">
        <v>0</v>
      </c>
      <c r="AE76" s="229">
        <v>0</v>
      </c>
      <c r="AF76" s="229">
        <v>0</v>
      </c>
      <c r="AG76" s="229">
        <v>0</v>
      </c>
      <c r="AH76" s="229">
        <v>0</v>
      </c>
      <c r="AI76" s="229">
        <v>0</v>
      </c>
      <c r="AJ76" s="229">
        <v>0</v>
      </c>
      <c r="AK76" s="229">
        <v>0</v>
      </c>
      <c r="AL76" s="229">
        <v>0</v>
      </c>
      <c r="AM76" s="229">
        <v>0</v>
      </c>
      <c r="AN76" s="229">
        <v>0</v>
      </c>
      <c r="AO76" s="229">
        <v>0</v>
      </c>
      <c r="AP76" s="230">
        <v>0</v>
      </c>
    </row>
    <row r="77" spans="1:42" x14ac:dyDescent="0.25">
      <c r="A77" s="228" t="s">
        <v>19</v>
      </c>
      <c r="B77" s="229">
        <v>12</v>
      </c>
      <c r="C77" s="229">
        <v>0</v>
      </c>
      <c r="D77" s="229">
        <v>0</v>
      </c>
      <c r="E77" s="229">
        <v>0</v>
      </c>
      <c r="F77" s="229">
        <v>0</v>
      </c>
      <c r="G77" s="229">
        <v>0</v>
      </c>
      <c r="H77" s="229">
        <v>0</v>
      </c>
      <c r="I77" s="229">
        <v>0</v>
      </c>
      <c r="J77" s="229">
        <v>0</v>
      </c>
      <c r="K77" s="229">
        <v>0</v>
      </c>
      <c r="L77" s="229">
        <v>0</v>
      </c>
      <c r="M77" s="229">
        <v>18</v>
      </c>
      <c r="N77" s="229">
        <v>30</v>
      </c>
      <c r="O77" s="229">
        <v>38</v>
      </c>
      <c r="P77" s="229">
        <v>48</v>
      </c>
      <c r="Q77" s="229">
        <v>38</v>
      </c>
      <c r="R77" s="229">
        <v>48</v>
      </c>
      <c r="S77" s="229">
        <v>38</v>
      </c>
      <c r="T77" s="229">
        <v>48</v>
      </c>
      <c r="U77" s="229">
        <v>38</v>
      </c>
      <c r="V77" s="229">
        <v>48</v>
      </c>
      <c r="W77" s="229">
        <v>38</v>
      </c>
      <c r="X77" s="229">
        <v>48</v>
      </c>
      <c r="Y77" s="229">
        <v>38</v>
      </c>
      <c r="Z77" s="229">
        <v>48</v>
      </c>
      <c r="AA77" s="229">
        <v>86</v>
      </c>
      <c r="AB77" s="229">
        <v>68</v>
      </c>
      <c r="AC77" s="229">
        <v>38</v>
      </c>
      <c r="AD77" s="229">
        <v>18</v>
      </c>
      <c r="AE77" s="229">
        <v>0</v>
      </c>
      <c r="AF77" s="229">
        <v>0</v>
      </c>
      <c r="AG77" s="229">
        <v>0</v>
      </c>
      <c r="AH77" s="229">
        <v>0</v>
      </c>
      <c r="AI77" s="229">
        <v>0</v>
      </c>
      <c r="AJ77" s="229">
        <v>0</v>
      </c>
      <c r="AK77" s="229">
        <v>0</v>
      </c>
      <c r="AL77" s="229">
        <v>0</v>
      </c>
      <c r="AM77" s="229">
        <v>0</v>
      </c>
      <c r="AN77" s="229">
        <v>0</v>
      </c>
      <c r="AO77" s="229">
        <v>0</v>
      </c>
      <c r="AP77" s="230">
        <v>0</v>
      </c>
    </row>
    <row r="78" spans="1:42" x14ac:dyDescent="0.25">
      <c r="A78" s="228" t="s">
        <v>225</v>
      </c>
      <c r="B78" s="229">
        <v>1</v>
      </c>
      <c r="C78" s="229">
        <v>0</v>
      </c>
      <c r="D78" s="229">
        <v>0</v>
      </c>
      <c r="E78" s="229">
        <v>0</v>
      </c>
      <c r="F78" s="229">
        <v>0</v>
      </c>
      <c r="G78" s="229">
        <v>0</v>
      </c>
      <c r="H78" s="229">
        <v>0</v>
      </c>
      <c r="I78" s="229">
        <v>0</v>
      </c>
      <c r="J78" s="229">
        <v>0</v>
      </c>
      <c r="K78" s="229">
        <v>0</v>
      </c>
      <c r="L78" s="229">
        <v>0</v>
      </c>
      <c r="M78" s="229">
        <v>0</v>
      </c>
      <c r="N78" s="229">
        <v>0</v>
      </c>
      <c r="O78" s="229">
        <v>0</v>
      </c>
      <c r="P78" s="229">
        <v>0</v>
      </c>
      <c r="Q78" s="229">
        <v>0</v>
      </c>
      <c r="R78" s="229">
        <v>0</v>
      </c>
      <c r="S78" s="229">
        <v>0</v>
      </c>
      <c r="T78" s="229">
        <v>0</v>
      </c>
      <c r="U78" s="229">
        <v>0</v>
      </c>
      <c r="V78" s="229">
        <v>0</v>
      </c>
      <c r="W78" s="229">
        <v>0</v>
      </c>
      <c r="X78" s="229">
        <v>0</v>
      </c>
      <c r="Y78" s="229">
        <v>0</v>
      </c>
      <c r="Z78" s="229">
        <v>0</v>
      </c>
      <c r="AA78" s="229">
        <v>0</v>
      </c>
      <c r="AB78" s="229">
        <v>0</v>
      </c>
      <c r="AC78" s="229">
        <v>0</v>
      </c>
      <c r="AD78" s="229">
        <v>0</v>
      </c>
      <c r="AE78" s="229">
        <v>0</v>
      </c>
      <c r="AF78" s="229">
        <v>0</v>
      </c>
      <c r="AG78" s="229">
        <v>0</v>
      </c>
      <c r="AH78" s="229">
        <v>0</v>
      </c>
      <c r="AI78" s="229">
        <v>0</v>
      </c>
      <c r="AJ78" s="229">
        <v>0</v>
      </c>
      <c r="AK78" s="229">
        <v>0</v>
      </c>
      <c r="AL78" s="229">
        <v>0</v>
      </c>
      <c r="AM78" s="229">
        <v>0</v>
      </c>
      <c r="AN78" s="229">
        <v>0</v>
      </c>
      <c r="AO78" s="229">
        <v>0</v>
      </c>
      <c r="AP78" s="230">
        <v>0</v>
      </c>
    </row>
    <row r="79" spans="1:42" x14ac:dyDescent="0.25">
      <c r="A79" s="228" t="s">
        <v>14</v>
      </c>
      <c r="B79" s="229">
        <v>6</v>
      </c>
      <c r="C79" s="229">
        <v>0</v>
      </c>
      <c r="D79" s="229">
        <v>0</v>
      </c>
      <c r="E79" s="229">
        <v>0</v>
      </c>
      <c r="F79" s="229">
        <v>0</v>
      </c>
      <c r="G79" s="229">
        <v>0</v>
      </c>
      <c r="H79" s="229">
        <v>0</v>
      </c>
      <c r="I79" s="229">
        <v>0</v>
      </c>
      <c r="J79" s="229">
        <v>0</v>
      </c>
      <c r="K79" s="229">
        <v>0</v>
      </c>
      <c r="L79" s="229">
        <v>0</v>
      </c>
      <c r="M79" s="229">
        <v>2</v>
      </c>
      <c r="N79" s="229">
        <v>0</v>
      </c>
      <c r="O79" s="229">
        <v>2</v>
      </c>
      <c r="P79" s="229">
        <v>0</v>
      </c>
      <c r="Q79" s="229">
        <v>2</v>
      </c>
      <c r="R79" s="229">
        <v>0</v>
      </c>
      <c r="S79" s="229">
        <v>2</v>
      </c>
      <c r="T79" s="229">
        <v>0</v>
      </c>
      <c r="U79" s="229">
        <v>2</v>
      </c>
      <c r="V79" s="229">
        <v>0</v>
      </c>
      <c r="W79" s="229">
        <v>2</v>
      </c>
      <c r="X79" s="229">
        <v>0</v>
      </c>
      <c r="Y79" s="229">
        <v>2</v>
      </c>
      <c r="Z79" s="229">
        <v>0</v>
      </c>
      <c r="AA79" s="229">
        <v>2</v>
      </c>
      <c r="AB79" s="229">
        <v>0</v>
      </c>
      <c r="AC79" s="229">
        <v>0</v>
      </c>
      <c r="AD79" s="229">
        <v>0</v>
      </c>
      <c r="AE79" s="229">
        <v>0</v>
      </c>
      <c r="AF79" s="229">
        <v>0</v>
      </c>
      <c r="AG79" s="229">
        <v>0</v>
      </c>
      <c r="AH79" s="229">
        <v>0</v>
      </c>
      <c r="AI79" s="229">
        <v>0</v>
      </c>
      <c r="AJ79" s="229">
        <v>0</v>
      </c>
      <c r="AK79" s="229">
        <v>0</v>
      </c>
      <c r="AL79" s="229">
        <v>0</v>
      </c>
      <c r="AM79" s="229">
        <v>0</v>
      </c>
      <c r="AN79" s="229">
        <v>0</v>
      </c>
      <c r="AO79" s="229">
        <v>0</v>
      </c>
      <c r="AP79" s="230">
        <v>0</v>
      </c>
    </row>
    <row r="80" spans="1:42" x14ac:dyDescent="0.25">
      <c r="A80" s="228" t="s">
        <v>7</v>
      </c>
      <c r="B80" s="229">
        <v>2</v>
      </c>
      <c r="C80" s="229">
        <v>0</v>
      </c>
      <c r="D80" s="229">
        <v>0</v>
      </c>
      <c r="E80" s="229">
        <v>0</v>
      </c>
      <c r="F80" s="229">
        <v>0</v>
      </c>
      <c r="G80" s="229">
        <v>0</v>
      </c>
      <c r="H80" s="229">
        <v>0</v>
      </c>
      <c r="I80" s="229">
        <v>0</v>
      </c>
      <c r="J80" s="229">
        <v>0</v>
      </c>
      <c r="K80" s="229">
        <v>0</v>
      </c>
      <c r="L80" s="229">
        <v>0</v>
      </c>
      <c r="M80" s="229">
        <v>0</v>
      </c>
      <c r="N80" s="229">
        <v>0</v>
      </c>
      <c r="O80" s="229">
        <v>0</v>
      </c>
      <c r="P80" s="229">
        <v>0</v>
      </c>
      <c r="Q80" s="229">
        <v>0</v>
      </c>
      <c r="R80" s="229">
        <v>0</v>
      </c>
      <c r="S80" s="229">
        <v>0</v>
      </c>
      <c r="T80" s="229">
        <v>0</v>
      </c>
      <c r="U80" s="229">
        <v>0</v>
      </c>
      <c r="V80" s="229">
        <v>0</v>
      </c>
      <c r="W80" s="229">
        <v>0</v>
      </c>
      <c r="X80" s="229">
        <v>0</v>
      </c>
      <c r="Y80" s="229">
        <v>0</v>
      </c>
      <c r="Z80" s="229">
        <v>0</v>
      </c>
      <c r="AA80" s="229">
        <v>0</v>
      </c>
      <c r="AB80" s="229">
        <v>0</v>
      </c>
      <c r="AC80" s="229">
        <v>0</v>
      </c>
      <c r="AD80" s="229">
        <v>0</v>
      </c>
      <c r="AE80" s="229">
        <v>0</v>
      </c>
      <c r="AF80" s="229">
        <v>0</v>
      </c>
      <c r="AG80" s="229">
        <v>0</v>
      </c>
      <c r="AH80" s="229">
        <v>0</v>
      </c>
      <c r="AI80" s="229">
        <v>0</v>
      </c>
      <c r="AJ80" s="229">
        <v>0</v>
      </c>
      <c r="AK80" s="229">
        <v>0</v>
      </c>
      <c r="AL80" s="229">
        <v>0</v>
      </c>
      <c r="AM80" s="229">
        <v>0</v>
      </c>
      <c r="AN80" s="229">
        <v>0</v>
      </c>
      <c r="AO80" s="229">
        <v>0</v>
      </c>
      <c r="AP80" s="230">
        <v>0</v>
      </c>
    </row>
    <row r="81" spans="1:42" x14ac:dyDescent="0.25">
      <c r="A81" s="358" t="s">
        <v>11</v>
      </c>
      <c r="B81" s="229">
        <v>1</v>
      </c>
      <c r="C81" s="229">
        <v>0</v>
      </c>
      <c r="D81" s="229">
        <v>0</v>
      </c>
      <c r="E81" s="229">
        <v>0</v>
      </c>
      <c r="F81" s="229">
        <v>0</v>
      </c>
      <c r="G81" s="229">
        <v>0</v>
      </c>
      <c r="H81" s="229">
        <v>0</v>
      </c>
      <c r="I81" s="229">
        <v>0</v>
      </c>
      <c r="J81" s="229">
        <v>0</v>
      </c>
      <c r="K81" s="229">
        <v>0</v>
      </c>
      <c r="L81" s="229">
        <v>0</v>
      </c>
      <c r="M81" s="229">
        <v>0</v>
      </c>
      <c r="N81" s="229">
        <v>0</v>
      </c>
      <c r="O81" s="229">
        <v>0</v>
      </c>
      <c r="P81" s="229">
        <v>0</v>
      </c>
      <c r="Q81" s="229">
        <v>0</v>
      </c>
      <c r="R81" s="229">
        <v>0</v>
      </c>
      <c r="S81" s="229">
        <v>0</v>
      </c>
      <c r="T81" s="229">
        <v>0</v>
      </c>
      <c r="U81" s="229">
        <v>0</v>
      </c>
      <c r="V81" s="229">
        <v>0</v>
      </c>
      <c r="W81" s="229">
        <v>0</v>
      </c>
      <c r="X81" s="229">
        <v>0</v>
      </c>
      <c r="Y81" s="229">
        <v>0</v>
      </c>
      <c r="Z81" s="229">
        <v>0</v>
      </c>
      <c r="AA81" s="229">
        <v>0</v>
      </c>
      <c r="AB81" s="229">
        <v>0</v>
      </c>
      <c r="AC81" s="229">
        <v>0</v>
      </c>
      <c r="AD81" s="229">
        <v>0</v>
      </c>
      <c r="AE81" s="229">
        <v>0</v>
      </c>
      <c r="AF81" s="229">
        <v>0</v>
      </c>
      <c r="AG81" s="229">
        <v>0</v>
      </c>
      <c r="AH81" s="229">
        <v>0</v>
      </c>
      <c r="AI81" s="229">
        <v>0</v>
      </c>
      <c r="AJ81" s="229">
        <v>0</v>
      </c>
      <c r="AK81" s="229">
        <v>0</v>
      </c>
      <c r="AL81" s="229">
        <v>0</v>
      </c>
      <c r="AM81" s="229">
        <v>0</v>
      </c>
      <c r="AN81" s="229">
        <v>0</v>
      </c>
      <c r="AO81" s="229">
        <v>0</v>
      </c>
      <c r="AP81" s="229">
        <v>0</v>
      </c>
    </row>
    <row r="82" spans="1:42" ht="15.75" thickBot="1" x14ac:dyDescent="0.3">
      <c r="A82" s="359"/>
      <c r="B82" s="360" t="s">
        <v>1134</v>
      </c>
      <c r="C82" s="360">
        <f>ROUNDUP(VLOOKUP($A$83,$A$62:$AP$81,2,FALSE)*14,0)</f>
        <v>168</v>
      </c>
      <c r="D82" s="360">
        <f>C82</f>
        <v>168</v>
      </c>
      <c r="E82" s="360">
        <f t="shared" ref="E82:AP82" si="19">D82</f>
        <v>168</v>
      </c>
      <c r="F82" s="360">
        <f t="shared" si="19"/>
        <v>168</v>
      </c>
      <c r="G82" s="360">
        <f t="shared" si="19"/>
        <v>168</v>
      </c>
      <c r="H82" s="360">
        <f t="shared" si="19"/>
        <v>168</v>
      </c>
      <c r="I82" s="360">
        <f t="shared" si="19"/>
        <v>168</v>
      </c>
      <c r="J82" s="360">
        <f t="shared" si="19"/>
        <v>168</v>
      </c>
      <c r="K82" s="360">
        <f t="shared" si="19"/>
        <v>168</v>
      </c>
      <c r="L82" s="360">
        <f>K82</f>
        <v>168</v>
      </c>
      <c r="M82" s="360">
        <f t="shared" si="19"/>
        <v>168</v>
      </c>
      <c r="N82" s="360">
        <f t="shared" si="19"/>
        <v>168</v>
      </c>
      <c r="O82" s="360">
        <f t="shared" si="19"/>
        <v>168</v>
      </c>
      <c r="P82" s="360">
        <f t="shared" si="19"/>
        <v>168</v>
      </c>
      <c r="Q82" s="360">
        <f t="shared" si="19"/>
        <v>168</v>
      </c>
      <c r="R82" s="360">
        <f t="shared" si="19"/>
        <v>168</v>
      </c>
      <c r="S82" s="360">
        <f t="shared" si="19"/>
        <v>168</v>
      </c>
      <c r="T82" s="360">
        <f t="shared" si="19"/>
        <v>168</v>
      </c>
      <c r="U82" s="360">
        <f t="shared" si="19"/>
        <v>168</v>
      </c>
      <c r="V82" s="360">
        <f t="shared" si="19"/>
        <v>168</v>
      </c>
      <c r="W82" s="360">
        <f t="shared" si="19"/>
        <v>168</v>
      </c>
      <c r="X82" s="360">
        <f t="shared" si="19"/>
        <v>168</v>
      </c>
      <c r="Y82" s="360">
        <f t="shared" si="19"/>
        <v>168</v>
      </c>
      <c r="Z82" s="360">
        <f>Y82</f>
        <v>168</v>
      </c>
      <c r="AA82" s="360">
        <f t="shared" si="19"/>
        <v>168</v>
      </c>
      <c r="AB82" s="360">
        <f t="shared" si="19"/>
        <v>168</v>
      </c>
      <c r="AC82" s="360">
        <f t="shared" si="19"/>
        <v>168</v>
      </c>
      <c r="AD82" s="360">
        <f t="shared" si="19"/>
        <v>168</v>
      </c>
      <c r="AE82" s="360">
        <f t="shared" si="19"/>
        <v>168</v>
      </c>
      <c r="AF82" s="360">
        <f t="shared" si="19"/>
        <v>168</v>
      </c>
      <c r="AG82" s="360">
        <f t="shared" si="19"/>
        <v>168</v>
      </c>
      <c r="AH82" s="360">
        <f t="shared" si="19"/>
        <v>168</v>
      </c>
      <c r="AI82" s="360">
        <f t="shared" si="19"/>
        <v>168</v>
      </c>
      <c r="AJ82" s="360">
        <f t="shared" si="19"/>
        <v>168</v>
      </c>
      <c r="AK82" s="360">
        <f t="shared" si="19"/>
        <v>168</v>
      </c>
      <c r="AL82" s="360">
        <f t="shared" si="19"/>
        <v>168</v>
      </c>
      <c r="AM82" s="360">
        <f t="shared" si="19"/>
        <v>168</v>
      </c>
      <c r="AN82" s="360">
        <f t="shared" si="19"/>
        <v>168</v>
      </c>
      <c r="AO82" s="360">
        <f t="shared" si="19"/>
        <v>168</v>
      </c>
      <c r="AP82" s="361">
        <f t="shared" si="19"/>
        <v>168</v>
      </c>
    </row>
    <row r="83" spans="1:42" ht="15.75" thickBot="1" x14ac:dyDescent="0.3">
      <c r="A83" s="362" t="s">
        <v>19</v>
      </c>
      <c r="B83" s="360" t="s">
        <v>1135</v>
      </c>
      <c r="C83" s="360">
        <f>VLOOKUP($A$83,$A$62:$AP$81,C84,)</f>
        <v>0</v>
      </c>
      <c r="D83" s="360">
        <f t="shared" ref="D83:N83" si="20">VLOOKUP($A$83,$A$62:$AP$81,D84,)</f>
        <v>0</v>
      </c>
      <c r="E83" s="360">
        <f t="shared" si="20"/>
        <v>0</v>
      </c>
      <c r="F83" s="360">
        <f t="shared" si="20"/>
        <v>0</v>
      </c>
      <c r="G83" s="360">
        <f t="shared" si="20"/>
        <v>0</v>
      </c>
      <c r="H83" s="360">
        <f t="shared" si="20"/>
        <v>0</v>
      </c>
      <c r="I83" s="360">
        <f t="shared" si="20"/>
        <v>0</v>
      </c>
      <c r="J83" s="360">
        <f t="shared" si="20"/>
        <v>0</v>
      </c>
      <c r="K83" s="360">
        <f t="shared" si="20"/>
        <v>0</v>
      </c>
      <c r="L83" s="360">
        <f t="shared" si="20"/>
        <v>0</v>
      </c>
      <c r="M83" s="360">
        <f t="shared" si="20"/>
        <v>18</v>
      </c>
      <c r="N83" s="360">
        <f t="shared" si="20"/>
        <v>30</v>
      </c>
      <c r="O83" s="360">
        <f t="shared" ref="O83:AP83" si="21">VLOOKUP($A$83,$A$62:$AP$81,O84,)</f>
        <v>38</v>
      </c>
      <c r="P83" s="360">
        <f t="shared" si="21"/>
        <v>48</v>
      </c>
      <c r="Q83" s="360">
        <f t="shared" si="21"/>
        <v>38</v>
      </c>
      <c r="R83" s="360">
        <f t="shared" si="21"/>
        <v>48</v>
      </c>
      <c r="S83" s="360">
        <f t="shared" si="21"/>
        <v>38</v>
      </c>
      <c r="T83" s="360">
        <f t="shared" si="21"/>
        <v>48</v>
      </c>
      <c r="U83" s="360">
        <f>VLOOKUP($A$83,$A$62:$AP$81,U84,)</f>
        <v>38</v>
      </c>
      <c r="V83" s="360">
        <f t="shared" si="21"/>
        <v>48</v>
      </c>
      <c r="W83" s="360">
        <f t="shared" si="21"/>
        <v>38</v>
      </c>
      <c r="X83" s="360">
        <f>VLOOKUP($A$83,$A$62:$AP$81,X84,)</f>
        <v>48</v>
      </c>
      <c r="Y83" s="360">
        <f t="shared" si="21"/>
        <v>38</v>
      </c>
      <c r="Z83" s="360">
        <f t="shared" si="21"/>
        <v>48</v>
      </c>
      <c r="AA83" s="360">
        <f t="shared" si="21"/>
        <v>86</v>
      </c>
      <c r="AB83" s="360">
        <f t="shared" si="21"/>
        <v>68</v>
      </c>
      <c r="AC83" s="360">
        <f>VLOOKUP($A$83,$A$62:$AP$81,AC84,)</f>
        <v>38</v>
      </c>
      <c r="AD83" s="360">
        <f t="shared" si="21"/>
        <v>18</v>
      </c>
      <c r="AE83" s="360">
        <f t="shared" si="21"/>
        <v>0</v>
      </c>
      <c r="AF83" s="360">
        <f t="shared" si="21"/>
        <v>0</v>
      </c>
      <c r="AG83" s="360">
        <f t="shared" si="21"/>
        <v>0</v>
      </c>
      <c r="AH83" s="360">
        <f t="shared" si="21"/>
        <v>0</v>
      </c>
      <c r="AI83" s="360">
        <f t="shared" si="21"/>
        <v>0</v>
      </c>
      <c r="AJ83" s="360">
        <f t="shared" si="21"/>
        <v>0</v>
      </c>
      <c r="AK83" s="360">
        <f t="shared" si="21"/>
        <v>0</v>
      </c>
      <c r="AL83" s="360">
        <f t="shared" si="21"/>
        <v>0</v>
      </c>
      <c r="AM83" s="360">
        <f t="shared" si="21"/>
        <v>0</v>
      </c>
      <c r="AN83" s="360">
        <f t="shared" si="21"/>
        <v>0</v>
      </c>
      <c r="AO83" s="360">
        <f t="shared" si="21"/>
        <v>0</v>
      </c>
      <c r="AP83" s="361">
        <f t="shared" si="21"/>
        <v>0</v>
      </c>
    </row>
    <row r="84" spans="1:42" x14ac:dyDescent="0.25">
      <c r="A84" s="231" t="s">
        <v>1136</v>
      </c>
      <c r="B84" s="226"/>
      <c r="C84" s="232">
        <v>3</v>
      </c>
      <c r="D84" s="232">
        <v>4</v>
      </c>
      <c r="E84" s="232">
        <v>5</v>
      </c>
      <c r="F84" s="232">
        <v>6</v>
      </c>
      <c r="G84" s="232">
        <v>7</v>
      </c>
      <c r="H84" s="232">
        <v>8</v>
      </c>
      <c r="I84" s="232">
        <v>9</v>
      </c>
      <c r="J84" s="232">
        <v>10</v>
      </c>
      <c r="K84" s="232">
        <v>11</v>
      </c>
      <c r="L84" s="232">
        <v>12</v>
      </c>
      <c r="M84" s="232">
        <v>13</v>
      </c>
      <c r="N84" s="232">
        <v>14</v>
      </c>
      <c r="O84" s="232">
        <v>15</v>
      </c>
      <c r="P84" s="232">
        <v>16</v>
      </c>
      <c r="Q84" s="232">
        <v>17</v>
      </c>
      <c r="R84" s="232">
        <v>18</v>
      </c>
      <c r="S84" s="232">
        <v>19</v>
      </c>
      <c r="T84" s="232">
        <v>20</v>
      </c>
      <c r="U84" s="232">
        <v>21</v>
      </c>
      <c r="V84" s="232">
        <v>22</v>
      </c>
      <c r="W84" s="232">
        <v>23</v>
      </c>
      <c r="X84" s="232">
        <v>24</v>
      </c>
      <c r="Y84" s="232">
        <v>25</v>
      </c>
      <c r="Z84" s="232">
        <v>26</v>
      </c>
      <c r="AA84" s="232">
        <v>27</v>
      </c>
      <c r="AB84" s="232">
        <v>28</v>
      </c>
      <c r="AC84" s="232">
        <v>29</v>
      </c>
      <c r="AD84" s="232">
        <v>30</v>
      </c>
      <c r="AE84" s="232">
        <v>31</v>
      </c>
      <c r="AF84" s="232">
        <v>32</v>
      </c>
      <c r="AG84" s="232">
        <v>33</v>
      </c>
      <c r="AH84" s="232">
        <v>34</v>
      </c>
      <c r="AI84" s="232">
        <v>35</v>
      </c>
      <c r="AJ84" s="232">
        <v>36</v>
      </c>
      <c r="AK84" s="232">
        <v>37</v>
      </c>
      <c r="AL84" s="232">
        <v>38</v>
      </c>
      <c r="AM84" s="232">
        <v>39</v>
      </c>
      <c r="AN84" s="232">
        <v>40</v>
      </c>
      <c r="AO84" s="232">
        <v>41</v>
      </c>
      <c r="AP84" s="233">
        <v>42</v>
      </c>
    </row>
    <row r="85" spans="1:42" ht="19.5" thickBot="1" x14ac:dyDescent="0.35">
      <c r="A85" s="283" t="s">
        <v>1217</v>
      </c>
      <c r="B85" s="284"/>
      <c r="C85" s="234"/>
      <c r="D85" s="234"/>
      <c r="E85" s="234"/>
      <c r="F85" s="234"/>
      <c r="G85" s="234"/>
      <c r="H85" s="234"/>
      <c r="I85" s="234"/>
      <c r="J85" s="234"/>
      <c r="K85" s="234"/>
      <c r="L85" s="234"/>
      <c r="M85" s="234"/>
      <c r="N85" s="234"/>
      <c r="O85" s="234"/>
      <c r="P85" s="234"/>
      <c r="Q85" s="234"/>
      <c r="R85" s="234"/>
      <c r="S85" s="234"/>
      <c r="T85" s="234"/>
      <c r="U85" s="234"/>
      <c r="V85" s="234"/>
      <c r="W85" s="234"/>
      <c r="X85" s="234"/>
      <c r="Y85" s="234"/>
      <c r="Z85" s="234"/>
      <c r="AA85" s="234"/>
      <c r="AB85" s="234"/>
      <c r="AC85" s="234"/>
      <c r="AD85" s="234"/>
      <c r="AE85" s="234"/>
      <c r="AF85" s="234"/>
      <c r="AG85" s="234"/>
      <c r="AH85" s="234"/>
      <c r="AI85" s="234"/>
      <c r="AJ85" s="234"/>
      <c r="AK85" s="234"/>
      <c r="AL85" s="234"/>
      <c r="AM85" s="234"/>
      <c r="AN85" s="234"/>
      <c r="AO85" s="234"/>
      <c r="AP85" s="235"/>
    </row>
    <row r="86" spans="1:42" ht="15.75" thickBot="1" x14ac:dyDescent="0.3"/>
    <row r="87" spans="1:42" ht="18.75" x14ac:dyDescent="0.3">
      <c r="A87" s="236" t="s">
        <v>1137</v>
      </c>
      <c r="B87" s="238"/>
      <c r="C87" s="238">
        <v>2011</v>
      </c>
      <c r="D87" s="238"/>
      <c r="E87" s="238">
        <v>2012</v>
      </c>
      <c r="F87" s="238"/>
      <c r="G87" s="238">
        <v>2013</v>
      </c>
      <c r="H87" s="238"/>
      <c r="I87" s="238">
        <v>2014</v>
      </c>
      <c r="J87" s="238"/>
      <c r="K87" s="238">
        <v>2015</v>
      </c>
      <c r="L87" s="238"/>
      <c r="M87" s="238">
        <v>2016</v>
      </c>
      <c r="N87" s="238"/>
      <c r="O87" s="238">
        <v>2017</v>
      </c>
      <c r="P87" s="238"/>
      <c r="Q87" s="238">
        <v>2018</v>
      </c>
      <c r="R87" s="238"/>
      <c r="S87" s="238">
        <v>2019</v>
      </c>
      <c r="T87" s="238"/>
      <c r="U87" s="238">
        <v>2020</v>
      </c>
      <c r="V87" s="238"/>
      <c r="W87" s="238">
        <v>2021</v>
      </c>
      <c r="X87" s="238"/>
      <c r="Y87" s="238">
        <v>2022</v>
      </c>
      <c r="Z87" s="238"/>
      <c r="AA87" s="238">
        <v>2023</v>
      </c>
      <c r="AB87" s="238"/>
      <c r="AC87" s="238">
        <v>2024</v>
      </c>
      <c r="AD87" s="238"/>
      <c r="AE87" s="238">
        <v>2025</v>
      </c>
      <c r="AF87" s="238"/>
      <c r="AG87" s="238">
        <v>2026</v>
      </c>
      <c r="AH87" s="238"/>
      <c r="AI87" s="238">
        <v>2027</v>
      </c>
      <c r="AJ87" s="238"/>
      <c r="AK87" s="238">
        <v>2028</v>
      </c>
      <c r="AL87" s="238"/>
      <c r="AM87" s="238">
        <v>2029</v>
      </c>
      <c r="AN87" s="238"/>
      <c r="AO87" s="238">
        <v>2030</v>
      </c>
      <c r="AP87" s="239"/>
    </row>
    <row r="88" spans="1:42" ht="18.75" x14ac:dyDescent="0.3">
      <c r="A88" s="240"/>
      <c r="B88" s="241" t="s">
        <v>728</v>
      </c>
      <c r="C88" s="242">
        <v>1</v>
      </c>
      <c r="D88" s="242">
        <v>2</v>
      </c>
      <c r="E88" s="242">
        <v>1</v>
      </c>
      <c r="F88" s="242">
        <v>2</v>
      </c>
      <c r="G88" s="242">
        <v>1</v>
      </c>
      <c r="H88" s="242">
        <v>2</v>
      </c>
      <c r="I88" s="242">
        <v>1</v>
      </c>
      <c r="J88" s="242">
        <v>2</v>
      </c>
      <c r="K88" s="242">
        <v>1</v>
      </c>
      <c r="L88" s="242">
        <v>2</v>
      </c>
      <c r="M88" s="242">
        <v>1</v>
      </c>
      <c r="N88" s="242">
        <v>2</v>
      </c>
      <c r="O88" s="242">
        <v>1</v>
      </c>
      <c r="P88" s="242">
        <v>2</v>
      </c>
      <c r="Q88" s="242">
        <v>1</v>
      </c>
      <c r="R88" s="242">
        <v>2</v>
      </c>
      <c r="S88" s="242">
        <v>1</v>
      </c>
      <c r="T88" s="242">
        <v>2</v>
      </c>
      <c r="U88" s="242">
        <v>1</v>
      </c>
      <c r="V88" s="242">
        <v>2</v>
      </c>
      <c r="W88" s="242">
        <v>1</v>
      </c>
      <c r="X88" s="242">
        <v>2</v>
      </c>
      <c r="Y88" s="242">
        <v>1</v>
      </c>
      <c r="Z88" s="242">
        <v>2</v>
      </c>
      <c r="AA88" s="242">
        <v>1</v>
      </c>
      <c r="AB88" s="242">
        <v>2</v>
      </c>
      <c r="AC88" s="242">
        <v>1</v>
      </c>
      <c r="AD88" s="242">
        <v>2</v>
      </c>
      <c r="AE88" s="242">
        <v>1</v>
      </c>
      <c r="AF88" s="242">
        <v>2</v>
      </c>
      <c r="AG88" s="242">
        <v>1</v>
      </c>
      <c r="AH88" s="242">
        <v>2</v>
      </c>
      <c r="AI88" s="242">
        <v>1</v>
      </c>
      <c r="AJ88" s="242">
        <v>2</v>
      </c>
      <c r="AK88" s="242">
        <v>1</v>
      </c>
      <c r="AL88" s="242">
        <v>2</v>
      </c>
      <c r="AM88" s="242">
        <v>1</v>
      </c>
      <c r="AN88" s="242">
        <v>2</v>
      </c>
      <c r="AO88" s="242">
        <v>1</v>
      </c>
      <c r="AP88" s="243">
        <v>2</v>
      </c>
    </row>
    <row r="89" spans="1:42" x14ac:dyDescent="0.25">
      <c r="A89" s="244" t="s">
        <v>230</v>
      </c>
      <c r="B89" s="245">
        <f>VLOOKUP(A89,'Cadastro dos cursos'!$A$26:$B$31,2,FALSE)</f>
        <v>12</v>
      </c>
      <c r="C89" s="246">
        <v>0</v>
      </c>
      <c r="D89" s="246">
        <v>0</v>
      </c>
      <c r="E89" s="246">
        <v>0</v>
      </c>
      <c r="F89" s="246">
        <v>0</v>
      </c>
      <c r="G89" s="246">
        <v>0</v>
      </c>
      <c r="H89" s="246">
        <v>0</v>
      </c>
      <c r="I89" s="246">
        <v>0</v>
      </c>
      <c r="J89" s="246">
        <v>0</v>
      </c>
      <c r="K89" s="246">
        <v>0</v>
      </c>
      <c r="L89" s="246">
        <v>0</v>
      </c>
      <c r="M89" s="246">
        <v>104</v>
      </c>
      <c r="N89" s="246">
        <v>104</v>
      </c>
      <c r="O89" s="246">
        <v>204</v>
      </c>
      <c r="P89" s="246">
        <v>204</v>
      </c>
      <c r="Q89" s="246">
        <v>314</v>
      </c>
      <c r="R89" s="246">
        <v>314</v>
      </c>
      <c r="S89" s="246">
        <v>298</v>
      </c>
      <c r="T89" s="246">
        <v>300</v>
      </c>
      <c r="U89" s="246">
        <v>306</v>
      </c>
      <c r="V89" s="246">
        <v>306</v>
      </c>
      <c r="W89" s="246">
        <v>309</v>
      </c>
      <c r="X89" s="246">
        <v>309</v>
      </c>
      <c r="Y89" s="246">
        <v>321</v>
      </c>
      <c r="Z89" s="246">
        <v>325</v>
      </c>
      <c r="AA89" s="246">
        <v>333</v>
      </c>
      <c r="AB89" s="246">
        <v>341</v>
      </c>
      <c r="AC89" s="246">
        <v>333</v>
      </c>
      <c r="AD89" s="246">
        <v>341</v>
      </c>
      <c r="AE89" s="246">
        <v>333</v>
      </c>
      <c r="AF89" s="246">
        <v>341</v>
      </c>
      <c r="AG89" s="246">
        <v>333</v>
      </c>
      <c r="AH89" s="246">
        <v>341</v>
      </c>
      <c r="AI89" s="246">
        <v>333</v>
      </c>
      <c r="AJ89" s="246">
        <v>341</v>
      </c>
      <c r="AK89" s="246">
        <v>333</v>
      </c>
      <c r="AL89" s="246">
        <v>341</v>
      </c>
      <c r="AM89" s="246">
        <v>333</v>
      </c>
      <c r="AN89" s="246">
        <v>341</v>
      </c>
      <c r="AO89" s="246">
        <v>333</v>
      </c>
      <c r="AP89" s="247">
        <v>0</v>
      </c>
    </row>
    <row r="90" spans="1:42" x14ac:dyDescent="0.25">
      <c r="A90" s="244" t="s">
        <v>231</v>
      </c>
      <c r="B90" s="245">
        <f>VLOOKUP(A90,'Cadastro dos cursos'!$A$26:$B$31,2,FALSE)</f>
        <v>7</v>
      </c>
      <c r="C90" s="246">
        <v>0</v>
      </c>
      <c r="D90" s="246">
        <v>0</v>
      </c>
      <c r="E90" s="246">
        <v>0</v>
      </c>
      <c r="F90" s="246">
        <v>0</v>
      </c>
      <c r="G90" s="246">
        <v>0</v>
      </c>
      <c r="H90" s="246">
        <v>0</v>
      </c>
      <c r="I90" s="246">
        <v>0</v>
      </c>
      <c r="J90" s="246">
        <v>0</v>
      </c>
      <c r="K90" s="246">
        <v>0</v>
      </c>
      <c r="L90" s="246">
        <v>0</v>
      </c>
      <c r="M90" s="246">
        <v>34</v>
      </c>
      <c r="N90" s="246">
        <v>34</v>
      </c>
      <c r="O90" s="246">
        <v>62</v>
      </c>
      <c r="P90" s="246">
        <v>62</v>
      </c>
      <c r="Q90" s="246">
        <v>92</v>
      </c>
      <c r="R90" s="246">
        <v>92</v>
      </c>
      <c r="S90" s="246">
        <v>110</v>
      </c>
      <c r="T90" s="246">
        <v>106</v>
      </c>
      <c r="U90" s="246">
        <v>118</v>
      </c>
      <c r="V90" s="246">
        <v>114</v>
      </c>
      <c r="W90" s="246">
        <v>124</v>
      </c>
      <c r="X90" s="246">
        <v>128</v>
      </c>
      <c r="Y90" s="246">
        <v>124</v>
      </c>
      <c r="Z90" s="246">
        <v>128</v>
      </c>
      <c r="AA90" s="246">
        <v>128</v>
      </c>
      <c r="AB90" s="246">
        <v>132</v>
      </c>
      <c r="AC90" s="246">
        <v>128</v>
      </c>
      <c r="AD90" s="246">
        <v>132</v>
      </c>
      <c r="AE90" s="246">
        <v>128</v>
      </c>
      <c r="AF90" s="246">
        <v>132</v>
      </c>
      <c r="AG90" s="246">
        <v>128</v>
      </c>
      <c r="AH90" s="246">
        <v>132</v>
      </c>
      <c r="AI90" s="246">
        <v>128</v>
      </c>
      <c r="AJ90" s="246">
        <v>132</v>
      </c>
      <c r="AK90" s="246">
        <v>128</v>
      </c>
      <c r="AL90" s="246">
        <v>132</v>
      </c>
      <c r="AM90" s="246">
        <v>128</v>
      </c>
      <c r="AN90" s="246">
        <v>132</v>
      </c>
      <c r="AO90" s="246">
        <v>128</v>
      </c>
      <c r="AP90" s="247">
        <v>0</v>
      </c>
    </row>
    <row r="91" spans="1:42" x14ac:dyDescent="0.25">
      <c r="A91" s="244" t="s">
        <v>230</v>
      </c>
      <c r="B91" s="248">
        <f>VLOOKUP(A91,'Cadastro dos cursos'!$A$26:$B$31,2,FALSE)</f>
        <v>12</v>
      </c>
      <c r="C91" s="248">
        <v>0</v>
      </c>
      <c r="D91" s="248">
        <v>0</v>
      </c>
      <c r="E91" s="248">
        <v>0</v>
      </c>
      <c r="F91" s="248">
        <v>0</v>
      </c>
      <c r="G91" s="248">
        <v>0</v>
      </c>
      <c r="H91" s="248">
        <v>0</v>
      </c>
      <c r="I91" s="248">
        <v>0</v>
      </c>
      <c r="J91" s="248">
        <v>0</v>
      </c>
      <c r="K91" s="248">
        <v>0</v>
      </c>
      <c r="L91" s="248">
        <v>0</v>
      </c>
      <c r="M91" s="248">
        <v>104</v>
      </c>
      <c r="N91" s="248">
        <v>104</v>
      </c>
      <c r="O91" s="248">
        <v>204</v>
      </c>
      <c r="P91" s="248">
        <v>204</v>
      </c>
      <c r="Q91" s="248">
        <v>314</v>
      </c>
      <c r="R91" s="248">
        <v>314</v>
      </c>
      <c r="S91" s="248">
        <v>298</v>
      </c>
      <c r="T91" s="248">
        <v>300</v>
      </c>
      <c r="U91" s="248">
        <v>306</v>
      </c>
      <c r="V91" s="248">
        <v>306</v>
      </c>
      <c r="W91" s="248">
        <v>309</v>
      </c>
      <c r="X91" s="248">
        <v>309</v>
      </c>
      <c r="Y91" s="248">
        <v>321</v>
      </c>
      <c r="Z91" s="248">
        <v>325</v>
      </c>
      <c r="AA91" s="248">
        <v>333</v>
      </c>
      <c r="AB91" s="248">
        <v>341</v>
      </c>
      <c r="AC91" s="248">
        <v>333</v>
      </c>
      <c r="AD91" s="248">
        <v>341</v>
      </c>
      <c r="AE91" s="248">
        <v>333</v>
      </c>
      <c r="AF91" s="248">
        <v>341</v>
      </c>
      <c r="AG91" s="248">
        <v>333</v>
      </c>
      <c r="AH91" s="248">
        <v>341</v>
      </c>
      <c r="AI91" s="248">
        <v>333</v>
      </c>
      <c r="AJ91" s="248">
        <v>341</v>
      </c>
      <c r="AK91" s="248">
        <v>333</v>
      </c>
      <c r="AL91" s="248">
        <v>341</v>
      </c>
      <c r="AM91" s="248">
        <v>333</v>
      </c>
      <c r="AN91" s="248">
        <v>341</v>
      </c>
      <c r="AO91" s="248">
        <v>333</v>
      </c>
      <c r="AP91" s="249">
        <v>0</v>
      </c>
    </row>
    <row r="92" spans="1:42" x14ac:dyDescent="0.25">
      <c r="A92" s="244" t="s">
        <v>230</v>
      </c>
      <c r="B92" s="248">
        <f>VLOOKUP(A92,'Cadastro dos cursos'!$A$26:$B$31,2,FALSE)</f>
        <v>12</v>
      </c>
      <c r="C92" s="248">
        <v>0</v>
      </c>
      <c r="D92" s="248">
        <v>0</v>
      </c>
      <c r="E92" s="248">
        <v>0</v>
      </c>
      <c r="F92" s="248">
        <v>0</v>
      </c>
      <c r="G92" s="248">
        <v>0</v>
      </c>
      <c r="H92" s="248">
        <v>0</v>
      </c>
      <c r="I92" s="248">
        <v>0</v>
      </c>
      <c r="J92" s="248">
        <v>0</v>
      </c>
      <c r="K92" s="248">
        <v>0</v>
      </c>
      <c r="L92" s="248">
        <v>0</v>
      </c>
      <c r="M92" s="248">
        <v>16</v>
      </c>
      <c r="N92" s="248">
        <v>4</v>
      </c>
      <c r="O92" s="248">
        <v>20</v>
      </c>
      <c r="P92" s="248">
        <v>14</v>
      </c>
      <c r="Q92" s="248">
        <v>20</v>
      </c>
      <c r="R92" s="248">
        <v>14</v>
      </c>
      <c r="S92" s="248">
        <v>20</v>
      </c>
      <c r="T92" s="248">
        <v>14</v>
      </c>
      <c r="U92" s="248">
        <v>20</v>
      </c>
      <c r="V92" s="248">
        <v>14</v>
      </c>
      <c r="W92" s="248">
        <v>20</v>
      </c>
      <c r="X92" s="248">
        <v>14</v>
      </c>
      <c r="Y92" s="248">
        <v>20</v>
      </c>
      <c r="Z92" s="248">
        <v>14</v>
      </c>
      <c r="AA92" s="248">
        <v>34</v>
      </c>
      <c r="AB92" s="248">
        <v>18</v>
      </c>
      <c r="AC92" s="248">
        <v>14</v>
      </c>
      <c r="AD92" s="248">
        <v>10</v>
      </c>
      <c r="AE92" s="248">
        <v>0</v>
      </c>
      <c r="AF92" s="248">
        <v>0</v>
      </c>
      <c r="AG92" s="248">
        <v>0</v>
      </c>
      <c r="AH92" s="248">
        <v>0</v>
      </c>
      <c r="AI92" s="248">
        <v>0</v>
      </c>
      <c r="AJ92" s="248">
        <v>0</v>
      </c>
      <c r="AK92" s="248">
        <v>0</v>
      </c>
      <c r="AL92" s="248">
        <v>0</v>
      </c>
      <c r="AM92" s="248">
        <v>0</v>
      </c>
      <c r="AN92" s="248">
        <v>0</v>
      </c>
      <c r="AO92" s="248">
        <v>0</v>
      </c>
      <c r="AP92" s="249">
        <v>0</v>
      </c>
    </row>
    <row r="93" spans="1:42" x14ac:dyDescent="0.25">
      <c r="A93" s="244" t="s">
        <v>231</v>
      </c>
      <c r="B93" s="248">
        <f>VLOOKUP(A93,'Cadastro dos cursos'!$A$26:$B$31,2,FALSE)</f>
        <v>7</v>
      </c>
      <c r="C93" s="248">
        <v>0</v>
      </c>
      <c r="D93" s="248">
        <v>0</v>
      </c>
      <c r="E93" s="248">
        <v>0</v>
      </c>
      <c r="F93" s="248">
        <v>0</v>
      </c>
      <c r="G93" s="248">
        <v>0</v>
      </c>
      <c r="H93" s="248">
        <v>0</v>
      </c>
      <c r="I93" s="248">
        <v>0</v>
      </c>
      <c r="J93" s="248">
        <v>0</v>
      </c>
      <c r="K93" s="248">
        <v>0</v>
      </c>
      <c r="L93" s="248">
        <v>0</v>
      </c>
      <c r="M93" s="248">
        <v>4</v>
      </c>
      <c r="N93" s="248">
        <v>8</v>
      </c>
      <c r="O93" s="248">
        <v>4</v>
      </c>
      <c r="P93" s="248">
        <v>8</v>
      </c>
      <c r="Q93" s="248">
        <v>4</v>
      </c>
      <c r="R93" s="248">
        <v>8</v>
      </c>
      <c r="S93" s="248">
        <v>4</v>
      </c>
      <c r="T93" s="248">
        <v>8</v>
      </c>
      <c r="U93" s="248">
        <v>4</v>
      </c>
      <c r="V93" s="248">
        <v>8</v>
      </c>
      <c r="W93" s="248">
        <v>4</v>
      </c>
      <c r="X93" s="248">
        <v>8</v>
      </c>
      <c r="Y93" s="248">
        <v>4</v>
      </c>
      <c r="Z93" s="248">
        <v>8</v>
      </c>
      <c r="AA93" s="248">
        <v>12</v>
      </c>
      <c r="AB93" s="248">
        <v>8</v>
      </c>
      <c r="AC93" s="248">
        <v>0</v>
      </c>
      <c r="AD93" s="248">
        <v>0</v>
      </c>
      <c r="AE93" s="248">
        <v>0</v>
      </c>
      <c r="AF93" s="248">
        <v>0</v>
      </c>
      <c r="AG93" s="248">
        <v>0</v>
      </c>
      <c r="AH93" s="248">
        <v>0</v>
      </c>
      <c r="AI93" s="248">
        <v>0</v>
      </c>
      <c r="AJ93" s="248">
        <v>0</v>
      </c>
      <c r="AK93" s="248">
        <v>0</v>
      </c>
      <c r="AL93" s="248">
        <v>0</v>
      </c>
      <c r="AM93" s="248">
        <v>0</v>
      </c>
      <c r="AN93" s="248">
        <v>0</v>
      </c>
      <c r="AO93" s="248">
        <v>0</v>
      </c>
      <c r="AP93" s="249">
        <v>0</v>
      </c>
    </row>
    <row r="94" spans="1:42" x14ac:dyDescent="0.25">
      <c r="A94" s="244" t="s">
        <v>232</v>
      </c>
      <c r="B94" s="248">
        <f>VLOOKUP(A94,'Cadastro dos cursos'!$A$26:$B$31,2,FALSE)</f>
        <v>13</v>
      </c>
      <c r="C94" s="248">
        <v>0</v>
      </c>
      <c r="D94" s="248">
        <v>0</v>
      </c>
      <c r="E94" s="248">
        <v>0</v>
      </c>
      <c r="F94" s="248">
        <v>0</v>
      </c>
      <c r="G94" s="248">
        <v>0</v>
      </c>
      <c r="H94" s="248">
        <v>0</v>
      </c>
      <c r="I94" s="248">
        <v>0</v>
      </c>
      <c r="J94" s="248">
        <v>0</v>
      </c>
      <c r="K94" s="248">
        <v>0</v>
      </c>
      <c r="L94" s="248">
        <v>0</v>
      </c>
      <c r="M94" s="248">
        <v>4</v>
      </c>
      <c r="N94" s="248">
        <v>18</v>
      </c>
      <c r="O94" s="248">
        <v>20</v>
      </c>
      <c r="P94" s="248">
        <v>24</v>
      </c>
      <c r="Q94" s="248">
        <v>20</v>
      </c>
      <c r="R94" s="248">
        <v>24</v>
      </c>
      <c r="S94" s="248">
        <v>20</v>
      </c>
      <c r="T94" s="248">
        <v>24</v>
      </c>
      <c r="U94" s="248">
        <v>20</v>
      </c>
      <c r="V94" s="248">
        <v>24</v>
      </c>
      <c r="W94" s="248">
        <v>20</v>
      </c>
      <c r="X94" s="248">
        <v>24</v>
      </c>
      <c r="Y94" s="248">
        <v>20</v>
      </c>
      <c r="Z94" s="248">
        <v>24</v>
      </c>
      <c r="AA94" s="248">
        <v>44</v>
      </c>
      <c r="AB94" s="248">
        <v>40</v>
      </c>
      <c r="AC94" s="248">
        <v>22</v>
      </c>
      <c r="AD94" s="248">
        <v>6</v>
      </c>
      <c r="AE94" s="248">
        <v>0</v>
      </c>
      <c r="AF94" s="248">
        <v>0</v>
      </c>
      <c r="AG94" s="248">
        <v>0</v>
      </c>
      <c r="AH94" s="248">
        <v>0</v>
      </c>
      <c r="AI94" s="248">
        <v>0</v>
      </c>
      <c r="AJ94" s="248">
        <v>0</v>
      </c>
      <c r="AK94" s="248">
        <v>0</v>
      </c>
      <c r="AL94" s="248">
        <v>0</v>
      </c>
      <c r="AM94" s="248">
        <v>0</v>
      </c>
      <c r="AN94" s="248">
        <v>0</v>
      </c>
      <c r="AO94" s="248">
        <v>0</v>
      </c>
      <c r="AP94" s="249">
        <v>0</v>
      </c>
    </row>
    <row r="95" spans="1:42" x14ac:dyDescent="0.25">
      <c r="A95" s="240" t="s">
        <v>233</v>
      </c>
      <c r="B95" s="242"/>
      <c r="C95" s="242">
        <v>0</v>
      </c>
      <c r="D95" s="242">
        <v>0</v>
      </c>
      <c r="E95" s="242">
        <v>0</v>
      </c>
      <c r="F95" s="242">
        <v>0</v>
      </c>
      <c r="G95" s="242">
        <v>0</v>
      </c>
      <c r="H95" s="242">
        <v>0</v>
      </c>
      <c r="I95" s="242">
        <v>0</v>
      </c>
      <c r="J95" s="242">
        <v>0</v>
      </c>
      <c r="K95" s="242">
        <v>0</v>
      </c>
      <c r="L95" s="242">
        <v>0</v>
      </c>
      <c r="M95" s="242">
        <v>0</v>
      </c>
      <c r="N95" s="242">
        <v>0</v>
      </c>
      <c r="O95" s="242">
        <v>0</v>
      </c>
      <c r="P95" s="242">
        <v>0</v>
      </c>
      <c r="Q95" s="242">
        <v>0</v>
      </c>
      <c r="R95" s="242">
        <v>0</v>
      </c>
      <c r="S95" s="242">
        <v>0</v>
      </c>
      <c r="T95" s="242">
        <v>0</v>
      </c>
      <c r="U95" s="242">
        <v>0</v>
      </c>
      <c r="V95" s="242">
        <v>0</v>
      </c>
      <c r="W95" s="242">
        <v>0</v>
      </c>
      <c r="X95" s="242">
        <v>0</v>
      </c>
      <c r="Y95" s="242">
        <v>0</v>
      </c>
      <c r="Z95" s="242">
        <v>0</v>
      </c>
      <c r="AA95" s="242">
        <v>0</v>
      </c>
      <c r="AB95" s="242">
        <v>0</v>
      </c>
      <c r="AC95" s="242">
        <v>0</v>
      </c>
      <c r="AD95" s="242">
        <v>0</v>
      </c>
      <c r="AE95" s="242">
        <v>0</v>
      </c>
      <c r="AF95" s="242">
        <v>0</v>
      </c>
      <c r="AG95" s="242">
        <v>0</v>
      </c>
      <c r="AH95" s="242">
        <v>0</v>
      </c>
      <c r="AI95" s="242">
        <v>0</v>
      </c>
      <c r="AJ95" s="242">
        <v>0</v>
      </c>
      <c r="AK95" s="242">
        <v>0</v>
      </c>
      <c r="AL95" s="242">
        <v>0</v>
      </c>
      <c r="AM95" s="242">
        <v>0</v>
      </c>
      <c r="AN95" s="242">
        <v>0</v>
      </c>
      <c r="AO95" s="242">
        <v>0</v>
      </c>
      <c r="AP95" s="243">
        <v>0</v>
      </c>
    </row>
    <row r="96" spans="1:42" ht="15.75" thickBot="1" x14ac:dyDescent="0.3">
      <c r="A96" s="250" t="s">
        <v>316</v>
      </c>
      <c r="B96" s="251"/>
      <c r="C96" s="251">
        <v>0</v>
      </c>
      <c r="D96" s="251">
        <v>0</v>
      </c>
      <c r="E96" s="251">
        <v>0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  <c r="M96" s="251">
        <v>0</v>
      </c>
      <c r="N96" s="251">
        <v>0</v>
      </c>
      <c r="O96" s="251">
        <v>0</v>
      </c>
      <c r="P96" s="251">
        <v>0</v>
      </c>
      <c r="Q96" s="251">
        <v>0</v>
      </c>
      <c r="R96" s="251">
        <v>0</v>
      </c>
      <c r="S96" s="251">
        <v>0</v>
      </c>
      <c r="T96" s="251">
        <v>0</v>
      </c>
      <c r="U96" s="251">
        <v>0</v>
      </c>
      <c r="V96" s="251">
        <v>0</v>
      </c>
      <c r="W96" s="251">
        <v>0</v>
      </c>
      <c r="X96" s="251">
        <v>0</v>
      </c>
      <c r="Y96" s="251">
        <v>0</v>
      </c>
      <c r="Z96" s="251">
        <v>0</v>
      </c>
      <c r="AA96" s="251">
        <v>0</v>
      </c>
      <c r="AB96" s="251">
        <v>0</v>
      </c>
      <c r="AC96" s="251">
        <v>0</v>
      </c>
      <c r="AD96" s="251">
        <v>0</v>
      </c>
      <c r="AE96" s="251">
        <v>0</v>
      </c>
      <c r="AF96" s="251">
        <v>0</v>
      </c>
      <c r="AG96" s="251">
        <v>0</v>
      </c>
      <c r="AH96" s="251">
        <v>0</v>
      </c>
      <c r="AI96" s="251">
        <v>0</v>
      </c>
      <c r="AJ96" s="251">
        <v>0</v>
      </c>
      <c r="AK96" s="251">
        <v>0</v>
      </c>
      <c r="AL96" s="251">
        <v>0</v>
      </c>
      <c r="AM96" s="251">
        <v>0</v>
      </c>
      <c r="AN96" s="251">
        <v>0</v>
      </c>
      <c r="AO96" s="251">
        <v>0</v>
      </c>
      <c r="AP96" s="252">
        <v>0</v>
      </c>
    </row>
    <row r="97" spans="1:42" x14ac:dyDescent="0.25">
      <c r="A97" t="s">
        <v>575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</row>
  </sheetData>
  <conditionalFormatting sqref="C16:AP16">
    <cfRule type="cellIs" dxfId="7" priority="7" operator="lessThan">
      <formula>0.5</formula>
    </cfRule>
  </conditionalFormatting>
  <conditionalFormatting sqref="C17:AP17">
    <cfRule type="cellIs" dxfId="6" priority="6" operator="lessThan">
      <formula>0.2</formula>
    </cfRule>
  </conditionalFormatting>
  <conditionalFormatting sqref="C19:AP19">
    <cfRule type="cellIs" dxfId="5" priority="5" operator="lessThan">
      <formula>0.1</formula>
    </cfRule>
  </conditionalFormatting>
  <conditionalFormatting sqref="C62:AP81">
    <cfRule type="cellIs" dxfId="4" priority="4" operator="lessThan">
      <formula>$B62*10</formula>
    </cfRule>
    <cfRule type="cellIs" dxfId="3" priority="8" operator="greaterThan">
      <formula>$B62*14</formula>
    </cfRule>
  </conditionalFormatting>
  <conditionalFormatting sqref="AS16:BL16">
    <cfRule type="cellIs" dxfId="2" priority="3" operator="lessThan">
      <formula>0.5</formula>
    </cfRule>
  </conditionalFormatting>
  <conditionalFormatting sqref="AS17:BL17">
    <cfRule type="cellIs" dxfId="1" priority="2" operator="lessThan">
      <formula>0.2</formula>
    </cfRule>
  </conditionalFormatting>
  <conditionalFormatting sqref="AS19:BL19">
    <cfRule type="cellIs" dxfId="0" priority="1" operator="lessThan">
      <formula>0.1</formula>
    </cfRule>
  </conditionalFormatting>
  <dataValidations count="1">
    <dataValidation type="list" allowBlank="1" showInputMessage="1" showErrorMessage="1" sqref="A83" xr:uid="{00000000-0002-0000-2F00-000000000000}">
      <formula1>Áreas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8433" r:id="rId3" name="Atualizar">
          <controlPr defaultSize="0" autoLine="0" r:id="rId4">
            <anchor moveWithCells="1">
              <from>
                <xdr:col>0</xdr:col>
                <xdr:colOff>1447800</xdr:colOff>
                <xdr:row>58</xdr:row>
                <xdr:rowOff>152400</xdr:rowOff>
              </from>
              <to>
                <xdr:col>1</xdr:col>
                <xdr:colOff>533400</xdr:colOff>
                <xdr:row>60</xdr:row>
                <xdr:rowOff>38100</xdr:rowOff>
              </to>
            </anchor>
          </controlPr>
        </control>
      </mc:Choice>
      <mc:Fallback>
        <control shapeId="18433" r:id="rId3" name="Atualizar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Planilha32"/>
  <dimension ref="A1:Q67"/>
  <sheetViews>
    <sheetView tabSelected="1" workbookViewId="0">
      <selection activeCell="A68" sqref="A68"/>
    </sheetView>
  </sheetViews>
  <sheetFormatPr defaultColWidth="9.140625" defaultRowHeight="15" x14ac:dyDescent="0.25"/>
  <cols>
    <col min="1" max="1" width="9.140625" style="275"/>
    <col min="2" max="2" width="10.7109375" style="275" bestFit="1" customWidth="1"/>
    <col min="3" max="16384" width="9.140625" style="275"/>
  </cols>
  <sheetData>
    <row r="1" spans="1:2" ht="21" x14ac:dyDescent="0.35">
      <c r="A1" s="278" t="s">
        <v>1154</v>
      </c>
    </row>
    <row r="3" spans="1:2" x14ac:dyDescent="0.25">
      <c r="A3" s="275" t="s">
        <v>1155</v>
      </c>
      <c r="B3" s="275" t="s">
        <v>1790</v>
      </c>
    </row>
    <row r="4" spans="1:2" x14ac:dyDescent="0.25">
      <c r="A4" s="275" t="s">
        <v>1156</v>
      </c>
      <c r="B4" s="276">
        <v>44855</v>
      </c>
    </row>
    <row r="5" spans="1:2" x14ac:dyDescent="0.25">
      <c r="A5" s="275" t="s">
        <v>1157</v>
      </c>
      <c r="B5" s="275" t="s">
        <v>1158</v>
      </c>
    </row>
    <row r="7" spans="1:2" ht="23.25" x14ac:dyDescent="0.35">
      <c r="A7" s="279" t="s">
        <v>1159</v>
      </c>
    </row>
    <row r="9" spans="1:2" s="281" customFormat="1" x14ac:dyDescent="0.25">
      <c r="A9" s="280" t="s">
        <v>1160</v>
      </c>
    </row>
    <row r="10" spans="1:2" s="281" customFormat="1" x14ac:dyDescent="0.25"/>
    <row r="11" spans="1:2" s="281" customFormat="1" x14ac:dyDescent="0.25">
      <c r="A11" s="281" t="s">
        <v>1161</v>
      </c>
    </row>
    <row r="12" spans="1:2" s="281" customFormat="1" x14ac:dyDescent="0.25">
      <c r="A12" s="281" t="s">
        <v>1185</v>
      </c>
    </row>
    <row r="13" spans="1:2" s="281" customFormat="1" x14ac:dyDescent="0.25"/>
    <row r="14" spans="1:2" x14ac:dyDescent="0.25">
      <c r="A14" s="277" t="s">
        <v>1162</v>
      </c>
    </row>
    <row r="16" spans="1:2" x14ac:dyDescent="0.25">
      <c r="A16" s="275" t="s">
        <v>1163</v>
      </c>
    </row>
    <row r="17" spans="1:1" x14ac:dyDescent="0.25">
      <c r="A17" s="275" t="s">
        <v>1164</v>
      </c>
    </row>
    <row r="18" spans="1:1" x14ac:dyDescent="0.25">
      <c r="A18" s="275" t="s">
        <v>1165</v>
      </c>
    </row>
    <row r="20" spans="1:1" s="281" customFormat="1" x14ac:dyDescent="0.25">
      <c r="A20" s="280" t="s">
        <v>1166</v>
      </c>
    </row>
    <row r="21" spans="1:1" s="281" customFormat="1" x14ac:dyDescent="0.25"/>
    <row r="22" spans="1:1" s="281" customFormat="1" x14ac:dyDescent="0.25">
      <c r="A22" s="281" t="s">
        <v>1167</v>
      </c>
    </row>
    <row r="23" spans="1:1" s="281" customFormat="1" x14ac:dyDescent="0.25">
      <c r="A23" s="281" t="s">
        <v>1168</v>
      </c>
    </row>
    <row r="24" spans="1:1" s="281" customFormat="1" x14ac:dyDescent="0.25"/>
    <row r="25" spans="1:1" x14ac:dyDescent="0.25">
      <c r="A25" s="277" t="s">
        <v>1169</v>
      </c>
    </row>
    <row r="27" spans="1:1" x14ac:dyDescent="0.25">
      <c r="A27" s="275" t="s">
        <v>1170</v>
      </c>
    </row>
    <row r="28" spans="1:1" x14ac:dyDescent="0.25">
      <c r="A28" s="275" t="s">
        <v>1173</v>
      </c>
    </row>
    <row r="30" spans="1:1" s="281" customFormat="1" x14ac:dyDescent="0.25">
      <c r="A30" s="280" t="s">
        <v>1171</v>
      </c>
    </row>
    <row r="31" spans="1:1" s="281" customFormat="1" x14ac:dyDescent="0.25"/>
    <row r="32" spans="1:1" s="281" customFormat="1" x14ac:dyDescent="0.25">
      <c r="A32" s="281" t="s">
        <v>1172</v>
      </c>
    </row>
    <row r="33" spans="1:1" s="281" customFormat="1" x14ac:dyDescent="0.25">
      <c r="A33" s="281" t="s">
        <v>1174</v>
      </c>
    </row>
    <row r="34" spans="1:1" s="281" customFormat="1" x14ac:dyDescent="0.25"/>
    <row r="35" spans="1:1" x14ac:dyDescent="0.25">
      <c r="A35" s="277" t="s">
        <v>1175</v>
      </c>
    </row>
    <row r="37" spans="1:1" x14ac:dyDescent="0.25">
      <c r="A37" s="275" t="s">
        <v>1176</v>
      </c>
    </row>
    <row r="38" spans="1:1" x14ac:dyDescent="0.25">
      <c r="A38" s="275" t="s">
        <v>1177</v>
      </c>
    </row>
    <row r="39" spans="1:1" x14ac:dyDescent="0.25">
      <c r="A39" s="275" t="s">
        <v>1178</v>
      </c>
    </row>
    <row r="40" spans="1:1" x14ac:dyDescent="0.25">
      <c r="A40" s="275" t="s">
        <v>1231</v>
      </c>
    </row>
    <row r="41" spans="1:1" x14ac:dyDescent="0.25">
      <c r="A41" s="275" t="s">
        <v>1179</v>
      </c>
    </row>
    <row r="42" spans="1:1" x14ac:dyDescent="0.25">
      <c r="A42" s="275" t="s">
        <v>1180</v>
      </c>
    </row>
    <row r="44" spans="1:1" s="281" customFormat="1" x14ac:dyDescent="0.25">
      <c r="A44" s="280" t="s">
        <v>1181</v>
      </c>
    </row>
    <row r="45" spans="1:1" s="281" customFormat="1" x14ac:dyDescent="0.25"/>
    <row r="46" spans="1:1" s="281" customFormat="1" x14ac:dyDescent="0.25">
      <c r="A46" s="281" t="s">
        <v>1182</v>
      </c>
    </row>
    <row r="47" spans="1:1" s="281" customFormat="1" x14ac:dyDescent="0.25">
      <c r="A47" s="281" t="s">
        <v>1183</v>
      </c>
    </row>
    <row r="48" spans="1:1" s="281" customFormat="1" x14ac:dyDescent="0.25"/>
    <row r="51" spans="1:2" ht="18.75" x14ac:dyDescent="0.3">
      <c r="A51" s="282" t="s">
        <v>1186</v>
      </c>
    </row>
    <row r="52" spans="1:2" x14ac:dyDescent="0.25">
      <c r="A52" s="275" t="s">
        <v>1187</v>
      </c>
    </row>
    <row r="53" spans="1:2" x14ac:dyDescent="0.25">
      <c r="A53" s="275" t="s">
        <v>1268</v>
      </c>
    </row>
    <row r="55" spans="1:2" s="364" customFormat="1" ht="18.75" x14ac:dyDescent="0.3">
      <c r="A55" s="363" t="s">
        <v>1218</v>
      </c>
    </row>
    <row r="56" spans="1:2" s="364" customFormat="1" x14ac:dyDescent="0.25">
      <c r="A56" s="367" t="s">
        <v>1219</v>
      </c>
      <c r="B56" s="365">
        <v>43362</v>
      </c>
    </row>
    <row r="57" spans="1:2" s="364" customFormat="1" x14ac:dyDescent="0.25">
      <c r="A57" s="366" t="s">
        <v>1220</v>
      </c>
    </row>
    <row r="58" spans="1:2" s="364" customFormat="1" x14ac:dyDescent="0.25">
      <c r="A58" s="367" t="s">
        <v>1234</v>
      </c>
      <c r="B58" s="365">
        <v>43370</v>
      </c>
    </row>
    <row r="59" spans="1:2" s="364" customFormat="1" x14ac:dyDescent="0.25">
      <c r="A59" s="366" t="s">
        <v>1235</v>
      </c>
    </row>
    <row r="60" spans="1:2" s="364" customFormat="1" x14ac:dyDescent="0.25">
      <c r="A60" s="366" t="s">
        <v>1236</v>
      </c>
    </row>
    <row r="61" spans="1:2" s="364" customFormat="1" x14ac:dyDescent="0.25">
      <c r="A61" s="364" t="s">
        <v>1240</v>
      </c>
      <c r="B61" s="365">
        <v>43622</v>
      </c>
    </row>
    <row r="62" spans="1:2" s="364" customFormat="1" x14ac:dyDescent="0.25">
      <c r="A62" s="366" t="s">
        <v>1241</v>
      </c>
    </row>
    <row r="63" spans="1:2" s="364" customFormat="1" x14ac:dyDescent="0.25">
      <c r="A63" s="364" t="s">
        <v>1263</v>
      </c>
      <c r="B63" s="365">
        <v>43741</v>
      </c>
    </row>
    <row r="64" spans="1:2" s="364" customFormat="1" x14ac:dyDescent="0.25">
      <c r="A64" s="366" t="s">
        <v>1264</v>
      </c>
    </row>
    <row r="65" spans="1:17" s="364" customFormat="1" x14ac:dyDescent="0.25">
      <c r="A65" s="366" t="s">
        <v>1265</v>
      </c>
    </row>
    <row r="66" spans="1:17" x14ac:dyDescent="0.25">
      <c r="A66" s="364" t="s">
        <v>1791</v>
      </c>
      <c r="B66" s="365">
        <v>44855</v>
      </c>
      <c r="C66" s="364"/>
      <c r="D66" s="364"/>
      <c r="E66" s="364"/>
      <c r="F66" s="364"/>
      <c r="G66" s="364"/>
      <c r="H66" s="364"/>
      <c r="I66" s="364"/>
      <c r="J66" s="364"/>
      <c r="K66" s="364"/>
      <c r="L66" s="364"/>
      <c r="M66" s="364"/>
      <c r="N66" s="364"/>
      <c r="O66" s="364"/>
      <c r="P66" s="364"/>
      <c r="Q66" s="364"/>
    </row>
    <row r="67" spans="1:17" x14ac:dyDescent="0.25">
      <c r="A67" s="366" t="s">
        <v>1792</v>
      </c>
      <c r="B67" s="364"/>
      <c r="C67" s="364"/>
      <c r="D67" s="364"/>
      <c r="E67" s="364"/>
      <c r="F67" s="364"/>
      <c r="G67" s="364"/>
      <c r="H67" s="364"/>
      <c r="I67" s="364"/>
      <c r="J67" s="364"/>
      <c r="K67" s="364"/>
      <c r="L67" s="364"/>
      <c r="M67" s="364"/>
      <c r="N67" s="364"/>
      <c r="O67" s="364"/>
      <c r="P67" s="364"/>
      <c r="Q67" s="364"/>
    </row>
  </sheetData>
  <pageMargins left="0.511811024" right="0.511811024" top="0.78740157499999996" bottom="0.78740157499999996" header="0.31496062000000002" footer="0.3149606200000000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Planilha14"/>
  <dimension ref="A3:F21"/>
  <sheetViews>
    <sheetView topLeftCell="A160" workbookViewId="0">
      <selection activeCell="C12" sqref="C12"/>
    </sheetView>
  </sheetViews>
  <sheetFormatPr defaultRowHeight="15" x14ac:dyDescent="0.25"/>
  <cols>
    <col min="1" max="1" width="58.5703125" bestFit="1" customWidth="1"/>
    <col min="2" max="2" width="19.5703125" bestFit="1" customWidth="1"/>
    <col min="3" max="3" width="9.42578125" bestFit="1" customWidth="1"/>
    <col min="4" max="4" width="10" bestFit="1" customWidth="1"/>
    <col min="5" max="5" width="6.42578125" bestFit="1" customWidth="1"/>
    <col min="6" max="6" width="10.7109375" bestFit="1" customWidth="1"/>
    <col min="7" max="7" width="5.85546875" bestFit="1" customWidth="1"/>
    <col min="8" max="8" width="9.7109375" bestFit="1" customWidth="1"/>
    <col min="9" max="9" width="7.28515625" bestFit="1" customWidth="1"/>
    <col min="10" max="10" width="7.85546875" bestFit="1" customWidth="1"/>
    <col min="11" max="11" width="6.28515625" bestFit="1" customWidth="1"/>
    <col min="12" max="12" width="6.140625" bestFit="1" customWidth="1"/>
    <col min="13" max="13" width="11.5703125" bestFit="1" customWidth="1"/>
    <col min="14" max="14" width="9.42578125" bestFit="1" customWidth="1"/>
    <col min="15" max="15" width="10.140625" bestFit="1" customWidth="1"/>
    <col min="16" max="16" width="10" bestFit="1" customWidth="1"/>
    <col min="17" max="17" width="8.28515625" bestFit="1" customWidth="1"/>
    <col min="18" max="18" width="10" bestFit="1" customWidth="1"/>
    <col min="19" max="19" width="7" bestFit="1" customWidth="1"/>
    <col min="20" max="20" width="6.42578125" bestFit="1" customWidth="1"/>
    <col min="21" max="21" width="12.42578125" bestFit="1" customWidth="1"/>
    <col min="22" max="22" width="7.85546875" bestFit="1" customWidth="1"/>
    <col min="23" max="24" width="10.7109375" bestFit="1" customWidth="1"/>
    <col min="25" max="26" width="10" bestFit="1" customWidth="1"/>
    <col min="27" max="27" width="10.7109375" bestFit="1" customWidth="1"/>
  </cols>
  <sheetData>
    <row r="3" spans="1:6" x14ac:dyDescent="0.25">
      <c r="A3" s="103" t="s">
        <v>483</v>
      </c>
      <c r="B3" s="103" t="s">
        <v>709</v>
      </c>
    </row>
    <row r="4" spans="1:6" x14ac:dyDescent="0.25">
      <c r="A4" s="103" t="s">
        <v>710</v>
      </c>
      <c r="B4" t="s">
        <v>315</v>
      </c>
      <c r="C4" t="s">
        <v>19</v>
      </c>
      <c r="D4" t="s">
        <v>14</v>
      </c>
      <c r="E4" t="s">
        <v>1213</v>
      </c>
      <c r="F4" t="s">
        <v>477</v>
      </c>
    </row>
    <row r="5" spans="1:6" x14ac:dyDescent="0.25">
      <c r="A5" s="116" t="s">
        <v>574</v>
      </c>
      <c r="B5" s="604">
        <v>2</v>
      </c>
      <c r="C5" s="604">
        <v>86</v>
      </c>
      <c r="D5" s="604">
        <v>2</v>
      </c>
      <c r="E5" s="604">
        <v>4</v>
      </c>
      <c r="F5" s="604">
        <v>94</v>
      </c>
    </row>
    <row r="6" spans="1:6" x14ac:dyDescent="0.25">
      <c r="A6" s="117" t="s">
        <v>51</v>
      </c>
      <c r="B6" s="604"/>
      <c r="C6" s="604">
        <v>18</v>
      </c>
      <c r="D6" s="604">
        <v>2</v>
      </c>
      <c r="E6" s="604">
        <v>4</v>
      </c>
      <c r="F6" s="604">
        <v>24</v>
      </c>
    </row>
    <row r="7" spans="1:6" x14ac:dyDescent="0.25">
      <c r="A7" s="118" t="s">
        <v>231</v>
      </c>
      <c r="B7" s="604"/>
      <c r="C7" s="604"/>
      <c r="D7" s="604"/>
      <c r="E7" s="604">
        <v>4</v>
      </c>
      <c r="F7" s="604">
        <v>4</v>
      </c>
    </row>
    <row r="8" spans="1:6" x14ac:dyDescent="0.25">
      <c r="A8" s="118" t="s">
        <v>232</v>
      </c>
      <c r="B8" s="604"/>
      <c r="C8" s="604">
        <v>4</v>
      </c>
      <c r="D8" s="604"/>
      <c r="E8" s="604"/>
      <c r="F8" s="604">
        <v>4</v>
      </c>
    </row>
    <row r="9" spans="1:6" x14ac:dyDescent="0.25">
      <c r="A9" s="118" t="s">
        <v>251</v>
      </c>
      <c r="B9" s="604"/>
      <c r="C9" s="604">
        <v>14</v>
      </c>
      <c r="D9" s="604">
        <v>2</v>
      </c>
      <c r="E9" s="604"/>
      <c r="F9" s="604">
        <v>16</v>
      </c>
    </row>
    <row r="10" spans="1:6" x14ac:dyDescent="0.25">
      <c r="A10" s="117" t="s">
        <v>67</v>
      </c>
      <c r="B10" s="604"/>
      <c r="C10" s="604">
        <v>30</v>
      </c>
      <c r="D10" s="604"/>
      <c r="E10" s="604"/>
      <c r="F10" s="604">
        <v>30</v>
      </c>
    </row>
    <row r="11" spans="1:6" x14ac:dyDescent="0.25">
      <c r="A11" s="118" t="s">
        <v>231</v>
      </c>
      <c r="B11" s="604"/>
      <c r="C11" s="604">
        <v>8</v>
      </c>
      <c r="D11" s="604"/>
      <c r="E11" s="604"/>
      <c r="F11" s="604">
        <v>8</v>
      </c>
    </row>
    <row r="12" spans="1:6" x14ac:dyDescent="0.25">
      <c r="A12" s="118" t="s">
        <v>232</v>
      </c>
      <c r="B12" s="604"/>
      <c r="C12" s="604">
        <v>18</v>
      </c>
      <c r="D12" s="604"/>
      <c r="E12" s="604"/>
      <c r="F12" s="604">
        <v>18</v>
      </c>
    </row>
    <row r="13" spans="1:6" x14ac:dyDescent="0.25">
      <c r="A13" s="118" t="s">
        <v>251</v>
      </c>
      <c r="B13" s="604"/>
      <c r="C13" s="604">
        <v>4</v>
      </c>
      <c r="D13" s="604"/>
      <c r="E13" s="604"/>
      <c r="F13" s="604">
        <v>4</v>
      </c>
    </row>
    <row r="14" spans="1:6" x14ac:dyDescent="0.25">
      <c r="A14" s="117" t="s">
        <v>85</v>
      </c>
      <c r="B14" s="604"/>
      <c r="C14" s="604">
        <v>20</v>
      </c>
      <c r="D14" s="604"/>
      <c r="E14" s="604"/>
      <c r="F14" s="604">
        <v>20</v>
      </c>
    </row>
    <row r="15" spans="1:6" x14ac:dyDescent="0.25">
      <c r="A15" s="118" t="s">
        <v>232</v>
      </c>
      <c r="B15" s="604"/>
      <c r="C15" s="604">
        <v>16</v>
      </c>
      <c r="D15" s="604"/>
      <c r="E15" s="604"/>
      <c r="F15" s="604">
        <v>16</v>
      </c>
    </row>
    <row r="16" spans="1:6" x14ac:dyDescent="0.25">
      <c r="A16" s="118" t="s">
        <v>251</v>
      </c>
      <c r="B16" s="604"/>
      <c r="C16" s="604">
        <v>4</v>
      </c>
      <c r="D16" s="604"/>
      <c r="E16" s="604"/>
      <c r="F16" s="604">
        <v>4</v>
      </c>
    </row>
    <row r="17" spans="1:6" x14ac:dyDescent="0.25">
      <c r="A17" s="117" t="s">
        <v>99</v>
      </c>
      <c r="B17" s="604">
        <v>2</v>
      </c>
      <c r="C17" s="604">
        <v>18</v>
      </c>
      <c r="D17" s="604"/>
      <c r="E17" s="604"/>
      <c r="F17" s="604">
        <v>20</v>
      </c>
    </row>
    <row r="18" spans="1:6" x14ac:dyDescent="0.25">
      <c r="A18" s="118" t="s">
        <v>498</v>
      </c>
      <c r="B18" s="604"/>
      <c r="C18" s="604">
        <v>4</v>
      </c>
      <c r="D18" s="604"/>
      <c r="E18" s="604"/>
      <c r="F18" s="604">
        <v>4</v>
      </c>
    </row>
    <row r="19" spans="1:6" x14ac:dyDescent="0.25">
      <c r="A19" s="118" t="s">
        <v>232</v>
      </c>
      <c r="B19" s="604"/>
      <c r="C19" s="604">
        <v>6</v>
      </c>
      <c r="D19" s="604"/>
      <c r="E19" s="604"/>
      <c r="F19" s="604">
        <v>6</v>
      </c>
    </row>
    <row r="20" spans="1:6" x14ac:dyDescent="0.25">
      <c r="A20" s="118" t="s">
        <v>251</v>
      </c>
      <c r="B20" s="604">
        <v>2</v>
      </c>
      <c r="C20" s="604">
        <v>8</v>
      </c>
      <c r="D20" s="604"/>
      <c r="E20" s="604"/>
      <c r="F20" s="604">
        <v>10</v>
      </c>
    </row>
    <row r="21" spans="1:6" x14ac:dyDescent="0.25">
      <c r="A21" s="116" t="s">
        <v>477</v>
      </c>
      <c r="B21" s="604">
        <v>2</v>
      </c>
      <c r="C21" s="604">
        <v>86</v>
      </c>
      <c r="D21" s="604">
        <v>2</v>
      </c>
      <c r="E21" s="604">
        <v>4</v>
      </c>
      <c r="F21" s="604">
        <v>94</v>
      </c>
    </row>
  </sheetData>
  <sheetProtection selectLockedCells="1" selectUnlockedCells="1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F8BE1D55EAF774296D04016C6227B39" ma:contentTypeVersion="4" ma:contentTypeDescription="Crie um novo documento." ma:contentTypeScope="" ma:versionID="b0a74d703809d3ece7adcebe7b3ff04f">
  <xsd:schema xmlns:xsd="http://www.w3.org/2001/XMLSchema" xmlns:xs="http://www.w3.org/2001/XMLSchema" xmlns:p="http://schemas.microsoft.com/office/2006/metadata/properties" xmlns:ns2="be2349fc-8a65-478f-93ec-ba365d946b9e" targetNamespace="http://schemas.microsoft.com/office/2006/metadata/properties" ma:root="true" ma:fieldsID="4c679fcc748fb1278b0a143494238bc9" ns2:_="">
    <xsd:import namespace="be2349fc-8a65-478f-93ec-ba365d946b9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2349fc-8a65-478f-93ec-ba365d946b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241EF8-7FB1-474C-8172-00C66247C5B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E7D4E2-8B02-46C8-9B77-7DCA98D25127}">
  <ds:schemaRefs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be2349fc-8a65-478f-93ec-ba365d946b9e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C757C81-2AF4-4885-AAAA-8A12021E41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2349fc-8a65-478f-93ec-ba365d946b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58</vt:i4>
      </vt:variant>
      <vt:variant>
        <vt:lpstr>Intervalos Nomeados</vt:lpstr>
      </vt:variant>
      <vt:variant>
        <vt:i4>4</vt:i4>
      </vt:variant>
    </vt:vector>
  </HeadingPairs>
  <TitlesOfParts>
    <vt:vector size="62" baseType="lpstr">
      <vt:lpstr>IntInf4anos</vt:lpstr>
      <vt:lpstr>IntAut4anos</vt:lpstr>
      <vt:lpstr>IntMec4anos</vt:lpstr>
      <vt:lpstr>IntMec</vt:lpstr>
      <vt:lpstr>IntInf</vt:lpstr>
      <vt:lpstr>IntAut</vt:lpstr>
      <vt:lpstr>LicMat 2022</vt:lpstr>
      <vt:lpstr>ConcMSI (40 vagas) 2022</vt:lpstr>
      <vt:lpstr>ConcEletroTurmaUnica 2022</vt:lpstr>
      <vt:lpstr>EspecEduc 2022</vt:lpstr>
      <vt:lpstr>EspecLetras 2022</vt:lpstr>
      <vt:lpstr>ADS 2022</vt:lpstr>
      <vt:lpstr>ECA 2022</vt:lpstr>
      <vt:lpstr>LicMat (real)</vt:lpstr>
      <vt:lpstr>LicMat</vt:lpstr>
      <vt:lpstr>ADS</vt:lpstr>
      <vt:lpstr>MecanicaPira</vt:lpstr>
      <vt:lpstr>FabMec (antigo)</vt:lpstr>
      <vt:lpstr>ECA</vt:lpstr>
      <vt:lpstr>FabMec (novo) (real)</vt:lpstr>
      <vt:lpstr>FabMec (novo)</vt:lpstr>
      <vt:lpstr>ConcMecaHto</vt:lpstr>
      <vt:lpstr>ConcMecaBra</vt:lpstr>
      <vt:lpstr>ConcEletro20vagas</vt:lpstr>
      <vt:lpstr>ConcEletro</vt:lpstr>
      <vt:lpstr>FormacaoNLicenc</vt:lpstr>
      <vt:lpstr>ConcMSI (25 vagas)</vt:lpstr>
      <vt:lpstr>ConcMSI</vt:lpstr>
      <vt:lpstr>ConcEletroTurmaUnica</vt:lpstr>
      <vt:lpstr>EJAFICInfo</vt:lpstr>
      <vt:lpstr>EspecEduc</vt:lpstr>
      <vt:lpstr>EspecLetras</vt:lpstr>
      <vt:lpstr>FabMec 2022</vt:lpstr>
      <vt:lpstr>EJAFICUsinagem</vt:lpstr>
      <vt:lpstr>EJAFICSolda</vt:lpstr>
      <vt:lpstr>Taquara</vt:lpstr>
      <vt:lpstr>MecaIFC</vt:lpstr>
      <vt:lpstr>MecaEESC</vt:lpstr>
      <vt:lpstr>ProejaIntMec</vt:lpstr>
      <vt:lpstr>IntMec (mínimo)</vt:lpstr>
      <vt:lpstr>IntMec (2018)</vt:lpstr>
      <vt:lpstr>IntAuto (mínimo)</vt:lpstr>
      <vt:lpstr>IntAuto (2018)</vt:lpstr>
      <vt:lpstr>IntInfo (mínimo)</vt:lpstr>
      <vt:lpstr>IntInfo (2018)</vt:lpstr>
      <vt:lpstr>ConcEletro (real)</vt:lpstr>
      <vt:lpstr>ECA (mínimo)</vt:lpstr>
      <vt:lpstr>OptativasSemestrais</vt:lpstr>
      <vt:lpstr>OptativasIntegrado (2018)</vt:lpstr>
      <vt:lpstr>EJAFICELETRO</vt:lpstr>
      <vt:lpstr>Cadastro dos cursos</vt:lpstr>
      <vt:lpstr>Resumo das disciplinas</vt:lpstr>
      <vt:lpstr>Progressão temporal das turmas</vt:lpstr>
      <vt:lpstr>Alocação de docentes</vt:lpstr>
      <vt:lpstr>Alocação de ambientes</vt:lpstr>
      <vt:lpstr>Relatório consolidado</vt:lpstr>
      <vt:lpstr>LEIA-ME</vt:lpstr>
      <vt:lpstr>Tabela geral</vt:lpstr>
      <vt:lpstr>Ambientes</vt:lpstr>
      <vt:lpstr>'Progressão temporal das turmas'!Area_de_impressao</vt:lpstr>
      <vt:lpstr>Áreas</vt:lpstr>
      <vt:lpstr>Cursos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geral de impacto campus Hortolândia</dc:title>
  <dc:creator/>
  <cp:keywords>v 2.1.3</cp:keywords>
  <cp:lastModifiedBy/>
  <dcterms:created xsi:type="dcterms:W3CDTF">2015-06-05T18:19:34Z</dcterms:created>
  <dcterms:modified xsi:type="dcterms:W3CDTF">2022-10-21T03:16:46Z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0x0101009F8BE1D55EAF774296D04016C6227B39</vt:lpwstr>
  </property>
</Properties>
</file>